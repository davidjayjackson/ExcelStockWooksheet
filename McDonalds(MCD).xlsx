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5806A053-673F-49FF-8FFC-6F7194DCAB47}" xr6:coauthVersionLast="47" xr6:coauthVersionMax="47" xr10:uidLastSave="{00000000-0000-0000-0000-000000000000}"/>
  <bookViews>
    <workbookView xWindow="-120" yWindow="-120" windowWidth="20730" windowHeight="11040" activeTab="4" xr2:uid="{92AFEA67-FCE1-458C-9A7E-ADF426D7B024}"/>
  </bookViews>
  <sheets>
    <sheet name="Intro" sheetId="10" r:id="rId1"/>
    <sheet name="Data" sheetId="1" r:id="rId2"/>
    <sheet name="Forecast" sheetId="18" r:id="rId3"/>
    <sheet name="Weekly" sheetId="17" r:id="rId4"/>
    <sheet name="Dashboard" sheetId="7" r:id="rId5"/>
    <sheet name="Dividends" sheetId="16" r:id="rId6"/>
  </sheets>
  <definedNames>
    <definedName name="data">Data!$1:$1048576</definedName>
    <definedName name="ExternalData_1" localSheetId="2" hidden="1">Forecast!$A$1:$B$120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2" i="18" l="1"/>
  <c r="F113" i="18"/>
  <c r="F114" i="18"/>
  <c r="F115" i="18"/>
  <c r="F116" i="18"/>
  <c r="F117" i="18"/>
  <c r="F118" i="18"/>
  <c r="F119" i="18"/>
  <c r="F120" i="18"/>
  <c r="E112" i="18"/>
  <c r="E113" i="18"/>
  <c r="E114" i="18"/>
  <c r="E115" i="18"/>
  <c r="E116" i="18"/>
  <c r="E117" i="18"/>
  <c r="E118" i="18"/>
  <c r="E119" i="18"/>
  <c r="E120" i="18"/>
  <c r="U515" i="1"/>
  <c r="V515" i="1"/>
  <c r="U516" i="1"/>
  <c r="V516" i="1"/>
  <c r="U517" i="1"/>
  <c r="V517" i="1"/>
  <c r="U518" i="1"/>
  <c r="V518" i="1"/>
  <c r="U519" i="1"/>
  <c r="V519" i="1"/>
  <c r="U520" i="1"/>
  <c r="V520" i="1"/>
  <c r="U521" i="1"/>
  <c r="V521" i="1"/>
  <c r="U522" i="1"/>
  <c r="V522" i="1"/>
  <c r="U523" i="1"/>
  <c r="V523" i="1"/>
  <c r="U524" i="1"/>
  <c r="V524" i="1"/>
  <c r="U525" i="1"/>
  <c r="V525" i="1"/>
  <c r="U526" i="1"/>
  <c r="V526" i="1"/>
  <c r="U527" i="1"/>
  <c r="V527" i="1"/>
  <c r="U528" i="1"/>
  <c r="V528" i="1"/>
  <c r="U529" i="1"/>
  <c r="V529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D120" i="18"/>
  <c r="D113" i="18"/>
  <c r="D114" i="18"/>
  <c r="D115" i="18"/>
  <c r="D116" i="18"/>
  <c r="D117" i="18"/>
  <c r="D118" i="18"/>
  <c r="D119" i="18"/>
  <c r="D112" i="18"/>
  <c r="C113" i="18"/>
  <c r="C114" i="18"/>
  <c r="C115" i="18"/>
  <c r="C116" i="18"/>
  <c r="C117" i="18"/>
  <c r="C118" i="18"/>
  <c r="C119" i="18"/>
  <c r="C120" i="18"/>
  <c r="C112" i="18"/>
  <c r="B1" i="1" a="1"/>
  <c r="E515" i="1" l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K516" i="1"/>
  <c r="K522" i="1"/>
  <c r="K527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K518" i="1"/>
  <c r="K526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K517" i="1"/>
  <c r="K519" i="1"/>
  <c r="K521" i="1"/>
  <c r="K525" i="1"/>
  <c r="K529" i="1"/>
  <c r="K523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K515" i="1"/>
  <c r="K520" i="1"/>
  <c r="K528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K524" i="1"/>
  <c r="A524" i="1"/>
  <c r="A525" i="1"/>
  <c r="A526" i="1"/>
  <c r="A527" i="1"/>
  <c r="A528" i="1"/>
  <c r="A529" i="1"/>
  <c r="B1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259" i="1"/>
  <c r="A267" i="1"/>
  <c r="A275" i="1"/>
  <c r="A283" i="1"/>
  <c r="A291" i="1"/>
  <c r="A299" i="1"/>
  <c r="A307" i="1"/>
  <c r="A315" i="1"/>
  <c r="A323" i="1"/>
  <c r="A331" i="1"/>
  <c r="A339" i="1"/>
  <c r="A347" i="1"/>
  <c r="A355" i="1"/>
  <c r="A363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5" i="1"/>
  <c r="A483" i="1"/>
  <c r="A491" i="1"/>
  <c r="A499" i="1"/>
  <c r="A507" i="1"/>
  <c r="A515" i="1"/>
  <c r="A523" i="1"/>
  <c r="A396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260" i="1"/>
  <c r="A268" i="1"/>
  <c r="A276" i="1"/>
  <c r="A284" i="1"/>
  <c r="A292" i="1"/>
  <c r="A300" i="1"/>
  <c r="A308" i="1"/>
  <c r="A316" i="1"/>
  <c r="A324" i="1"/>
  <c r="A332" i="1"/>
  <c r="A340" i="1"/>
  <c r="A348" i="1"/>
  <c r="A356" i="1"/>
  <c r="A364" i="1"/>
  <c r="A372" i="1"/>
  <c r="A380" i="1"/>
  <c r="A388" i="1"/>
  <c r="A404" i="1"/>
  <c r="A412" i="1"/>
  <c r="A420" i="1"/>
  <c r="A428" i="1"/>
  <c r="A436" i="1"/>
  <c r="A444" i="1"/>
  <c r="A452" i="1"/>
  <c r="A460" i="1"/>
  <c r="A468" i="1"/>
  <c r="A476" i="1"/>
  <c r="A484" i="1"/>
  <c r="A492" i="1"/>
  <c r="A500" i="1"/>
  <c r="A508" i="1"/>
  <c r="A516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253" i="1"/>
  <c r="A261" i="1"/>
  <c r="A269" i="1"/>
  <c r="A277" i="1"/>
  <c r="A285" i="1"/>
  <c r="A293" i="1"/>
  <c r="A301" i="1"/>
  <c r="A309" i="1"/>
  <c r="A317" i="1"/>
  <c r="A325" i="1"/>
  <c r="A333" i="1"/>
  <c r="A341" i="1"/>
  <c r="A349" i="1"/>
  <c r="A357" i="1"/>
  <c r="A365" i="1"/>
  <c r="A373" i="1"/>
  <c r="A381" i="1"/>
  <c r="A389" i="1"/>
  <c r="A397" i="1"/>
  <c r="A405" i="1"/>
  <c r="A413" i="1"/>
  <c r="A421" i="1"/>
  <c r="A429" i="1"/>
  <c r="A437" i="1"/>
  <c r="A445" i="1"/>
  <c r="A453" i="1"/>
  <c r="A461" i="1"/>
  <c r="A469" i="1"/>
  <c r="A477" i="1"/>
  <c r="A485" i="1"/>
  <c r="A493" i="1"/>
  <c r="A501" i="1"/>
  <c r="A509" i="1"/>
  <c r="A517" i="1"/>
  <c r="A406" i="1"/>
  <c r="A518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254" i="1"/>
  <c r="A262" i="1"/>
  <c r="A270" i="1"/>
  <c r="A278" i="1"/>
  <c r="A286" i="1"/>
  <c r="A294" i="1"/>
  <c r="A302" i="1"/>
  <c r="A310" i="1"/>
  <c r="A318" i="1"/>
  <c r="A326" i="1"/>
  <c r="A334" i="1"/>
  <c r="A342" i="1"/>
  <c r="A350" i="1"/>
  <c r="A358" i="1"/>
  <c r="A366" i="1"/>
  <c r="A374" i="1"/>
  <c r="A382" i="1"/>
  <c r="A390" i="1"/>
  <c r="A398" i="1"/>
  <c r="A414" i="1"/>
  <c r="A422" i="1"/>
  <c r="A430" i="1"/>
  <c r="A438" i="1"/>
  <c r="A446" i="1"/>
  <c r="A454" i="1"/>
  <c r="A462" i="1"/>
  <c r="A470" i="1"/>
  <c r="A478" i="1"/>
  <c r="A486" i="1"/>
  <c r="A494" i="1"/>
  <c r="A502" i="1"/>
  <c r="A510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55" i="1"/>
  <c r="A263" i="1"/>
  <c r="A271" i="1"/>
  <c r="A279" i="1"/>
  <c r="A287" i="1"/>
  <c r="A295" i="1"/>
  <c r="A303" i="1"/>
  <c r="A311" i="1"/>
  <c r="A319" i="1"/>
  <c r="A327" i="1"/>
  <c r="A335" i="1"/>
  <c r="A343" i="1"/>
  <c r="A351" i="1"/>
  <c r="A359" i="1"/>
  <c r="A367" i="1"/>
  <c r="A375" i="1"/>
  <c r="A383" i="1"/>
  <c r="A391" i="1"/>
  <c r="A399" i="1"/>
  <c r="A407" i="1"/>
  <c r="A415" i="1"/>
  <c r="A423" i="1"/>
  <c r="A431" i="1"/>
  <c r="A439" i="1"/>
  <c r="A447" i="1"/>
  <c r="A455" i="1"/>
  <c r="A463" i="1"/>
  <c r="A471" i="1"/>
  <c r="A479" i="1"/>
  <c r="A487" i="1"/>
  <c r="A495" i="1"/>
  <c r="A503" i="1"/>
  <c r="A511" i="1"/>
  <c r="A519" i="1"/>
  <c r="A26" i="1"/>
  <c r="A82" i="1"/>
  <c r="A114" i="1"/>
  <c r="A138" i="1"/>
  <c r="A162" i="1"/>
  <c r="A186" i="1"/>
  <c r="A218" i="1"/>
  <c r="A250" i="1"/>
  <c r="A274" i="1"/>
  <c r="A298" i="1"/>
  <c r="A322" i="1"/>
  <c r="A346" i="1"/>
  <c r="A370" i="1"/>
  <c r="A394" i="1"/>
  <c r="A418" i="1"/>
  <c r="A442" i="1"/>
  <c r="A466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56" i="1"/>
  <c r="A264" i="1"/>
  <c r="A272" i="1"/>
  <c r="A280" i="1"/>
  <c r="A288" i="1"/>
  <c r="A296" i="1"/>
  <c r="A304" i="1"/>
  <c r="A312" i="1"/>
  <c r="A320" i="1"/>
  <c r="A328" i="1"/>
  <c r="A336" i="1"/>
  <c r="A344" i="1"/>
  <c r="A352" i="1"/>
  <c r="A360" i="1"/>
  <c r="A368" i="1"/>
  <c r="A376" i="1"/>
  <c r="A384" i="1"/>
  <c r="A392" i="1"/>
  <c r="A400" i="1"/>
  <c r="A408" i="1"/>
  <c r="A416" i="1"/>
  <c r="A424" i="1"/>
  <c r="A432" i="1"/>
  <c r="A440" i="1"/>
  <c r="A448" i="1"/>
  <c r="A456" i="1"/>
  <c r="A464" i="1"/>
  <c r="A472" i="1"/>
  <c r="A480" i="1"/>
  <c r="A488" i="1"/>
  <c r="A496" i="1"/>
  <c r="A504" i="1"/>
  <c r="A512" i="1"/>
  <c r="A520" i="1"/>
  <c r="A18" i="1"/>
  <c r="A34" i="1"/>
  <c r="A50" i="1"/>
  <c r="A66" i="1"/>
  <c r="A90" i="1"/>
  <c r="A106" i="1"/>
  <c r="A130" i="1"/>
  <c r="A154" i="1"/>
  <c r="A178" i="1"/>
  <c r="A202" i="1"/>
  <c r="A242" i="1"/>
  <c r="A266" i="1"/>
  <c r="A290" i="1"/>
  <c r="A314" i="1"/>
  <c r="A338" i="1"/>
  <c r="A378" i="1"/>
  <c r="A402" i="1"/>
  <c r="A434" i="1"/>
  <c r="A458" i="1"/>
  <c r="A474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257" i="1"/>
  <c r="A265" i="1"/>
  <c r="A273" i="1"/>
  <c r="A281" i="1"/>
  <c r="A289" i="1"/>
  <c r="A297" i="1"/>
  <c r="A305" i="1"/>
  <c r="A313" i="1"/>
  <c r="A321" i="1"/>
  <c r="A329" i="1"/>
  <c r="A337" i="1"/>
  <c r="A345" i="1"/>
  <c r="A353" i="1"/>
  <c r="A361" i="1"/>
  <c r="A369" i="1"/>
  <c r="A377" i="1"/>
  <c r="A385" i="1"/>
  <c r="A393" i="1"/>
  <c r="A401" i="1"/>
  <c r="A409" i="1"/>
  <c r="A417" i="1"/>
  <c r="A425" i="1"/>
  <c r="A433" i="1"/>
  <c r="A441" i="1"/>
  <c r="A449" i="1"/>
  <c r="A457" i="1"/>
  <c r="A465" i="1"/>
  <c r="A473" i="1"/>
  <c r="A481" i="1"/>
  <c r="A489" i="1"/>
  <c r="A497" i="1"/>
  <c r="A505" i="1"/>
  <c r="A513" i="1"/>
  <c r="A521" i="1"/>
  <c r="A10" i="1"/>
  <c r="A42" i="1"/>
  <c r="A58" i="1"/>
  <c r="A74" i="1"/>
  <c r="A98" i="1"/>
  <c r="A122" i="1"/>
  <c r="A146" i="1"/>
  <c r="A170" i="1"/>
  <c r="A194" i="1"/>
  <c r="A226" i="1"/>
  <c r="A258" i="1"/>
  <c r="A282" i="1"/>
  <c r="A306" i="1"/>
  <c r="A330" i="1"/>
  <c r="A354" i="1"/>
  <c r="A362" i="1"/>
  <c r="A386" i="1"/>
  <c r="A410" i="1"/>
  <c r="A426" i="1"/>
  <c r="A450" i="1"/>
  <c r="A210" i="1"/>
  <c r="A234" i="1"/>
  <c r="A482" i="1"/>
  <c r="A490" i="1"/>
  <c r="A498" i="1"/>
  <c r="A506" i="1"/>
  <c r="A514" i="1"/>
  <c r="A522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AB278" i="1"/>
  <c r="N272" i="1"/>
  <c r="N427" i="1"/>
  <c r="N114" i="1"/>
  <c r="AB105" i="1"/>
  <c r="K294" i="1"/>
  <c r="AB241" i="1"/>
  <c r="AB366" i="1"/>
  <c r="N34" i="1"/>
  <c r="AB361" i="1"/>
  <c r="AB495" i="1"/>
  <c r="AB268" i="1"/>
  <c r="AB489" i="1"/>
  <c r="N108" i="1"/>
  <c r="N315" i="1"/>
  <c r="N329" i="1"/>
  <c r="AB482" i="1"/>
  <c r="AB413" i="1"/>
  <c r="AB178" i="1"/>
  <c r="AB476" i="1"/>
  <c r="AB509" i="1"/>
  <c r="AB283" i="1"/>
  <c r="N54" i="1"/>
  <c r="N342" i="1"/>
  <c r="AB267" i="1"/>
  <c r="K372" i="1"/>
  <c r="N324" i="1"/>
  <c r="AB327" i="1"/>
  <c r="N474" i="1"/>
  <c r="N142" i="1"/>
  <c r="AB423" i="1"/>
  <c r="N59" i="1"/>
  <c r="AB503" i="1"/>
  <c r="N139" i="1"/>
  <c r="N145" i="1"/>
  <c r="N332" i="1"/>
  <c r="AB101" i="1"/>
  <c r="K327" i="1"/>
  <c r="AB115" i="1"/>
  <c r="AB104" i="1"/>
  <c r="N291" i="1"/>
  <c r="AB211" i="1"/>
  <c r="AB217" i="1"/>
  <c r="AB291" i="1"/>
  <c r="AB220" i="1"/>
  <c r="K278" i="1"/>
  <c r="N132" i="1"/>
  <c r="N121" i="1"/>
  <c r="N510" i="1"/>
  <c r="N71" i="1"/>
  <c r="AB379" i="1"/>
  <c r="AB312" i="1"/>
  <c r="N167" i="1"/>
  <c r="AB389" i="1"/>
  <c r="N80" i="1"/>
  <c r="N456" i="1"/>
  <c r="N56" i="1"/>
  <c r="AB343" i="1"/>
  <c r="K102" i="1"/>
  <c r="AB505" i="1"/>
  <c r="AB174" i="1"/>
  <c r="N168" i="1"/>
  <c r="AB145" i="1"/>
  <c r="AB303" i="1"/>
  <c r="AB225" i="1"/>
  <c r="AB350" i="1"/>
  <c r="N299" i="1"/>
  <c r="N452" i="1"/>
  <c r="N386" i="1"/>
  <c r="AB297" i="1"/>
  <c r="AB334" i="1"/>
  <c r="N353" i="1"/>
  <c r="N51" i="1"/>
  <c r="N150" i="1"/>
  <c r="K205" i="1"/>
  <c r="N53" i="1"/>
  <c r="K411" i="1"/>
  <c r="N125" i="1"/>
  <c r="AB235" i="1"/>
  <c r="K53" i="1"/>
  <c r="AB135" i="1"/>
  <c r="N282" i="1"/>
  <c r="AB485" i="1"/>
  <c r="AB231" i="1"/>
  <c r="N378" i="1"/>
  <c r="AB311" i="1"/>
  <c r="N458" i="1"/>
  <c r="N77" i="1"/>
  <c r="N437" i="1"/>
  <c r="AB300" i="1"/>
  <c r="K135" i="1"/>
  <c r="AB426" i="1"/>
  <c r="AB399" i="1"/>
  <c r="N35" i="1"/>
  <c r="AB116" i="1"/>
  <c r="AB345" i="1"/>
  <c r="AB484" i="1"/>
  <c r="AB215" i="1"/>
  <c r="K86" i="1"/>
  <c r="N129" i="1"/>
  <c r="N513" i="1"/>
  <c r="N126" i="1"/>
  <c r="N390" i="1"/>
  <c r="AB187" i="1"/>
  <c r="AB120" i="1"/>
  <c r="N486" i="1"/>
  <c r="AB197" i="1"/>
  <c r="N55" i="1"/>
  <c r="N362" i="1"/>
  <c r="N350" i="1"/>
  <c r="K511" i="1"/>
  <c r="N5" i="1"/>
  <c r="AB352" i="1"/>
  <c r="N384" i="1"/>
  <c r="N143" i="1"/>
  <c r="AB448" i="1"/>
  <c r="AB111" i="1"/>
  <c r="AB441" i="1"/>
  <c r="AB158" i="1"/>
  <c r="N303" i="1"/>
  <c r="N165" i="1"/>
  <c r="N328" i="1"/>
  <c r="AB216" i="1"/>
  <c r="AB260" i="1"/>
  <c r="AB121" i="1"/>
  <c r="AB190" i="1"/>
  <c r="AB125" i="1"/>
  <c r="AB402" i="1"/>
  <c r="AB205" i="1"/>
  <c r="AB188" i="1"/>
  <c r="AB364" i="1"/>
  <c r="K286" i="1"/>
  <c r="N68" i="1"/>
  <c r="AB422" i="1"/>
  <c r="N90" i="1"/>
  <c r="AB293" i="1"/>
  <c r="AB353" i="1"/>
  <c r="N186" i="1"/>
  <c r="AB119" i="1"/>
  <c r="N266" i="1"/>
  <c r="N492" i="1"/>
  <c r="N175" i="1"/>
  <c r="AB131" i="1"/>
  <c r="K451" i="1"/>
  <c r="AB234" i="1"/>
  <c r="AB207" i="1"/>
  <c r="N354" i="1"/>
  <c r="AB330" i="1"/>
  <c r="AB328" i="1"/>
  <c r="AB410" i="1"/>
  <c r="AB383" i="1"/>
  <c r="N488" i="1"/>
  <c r="N311" i="1"/>
  <c r="N243" i="1"/>
  <c r="AB237" i="1"/>
  <c r="AB272" i="1"/>
  <c r="N195" i="1"/>
  <c r="N375" i="1"/>
  <c r="N219" i="1"/>
  <c r="J150" i="1"/>
  <c r="N347" i="1"/>
  <c r="K441" i="1"/>
  <c r="K480" i="1"/>
  <c r="N352" i="1"/>
  <c r="K436" i="1"/>
  <c r="AB160" i="1"/>
  <c r="N29" i="1"/>
  <c r="N462" i="1"/>
  <c r="AB256" i="1"/>
  <c r="AB398" i="1"/>
  <c r="AB336" i="1"/>
  <c r="N363" i="1"/>
  <c r="N508" i="1"/>
  <c r="N100" i="1"/>
  <c r="N111" i="1"/>
  <c r="K164" i="1"/>
  <c r="AB435" i="1"/>
  <c r="AB424" i="1"/>
  <c r="N480" i="1"/>
  <c r="AB132" i="1"/>
  <c r="AB210" i="1"/>
  <c r="AB236" i="1"/>
  <c r="AB356" i="1"/>
  <c r="AB279" i="1"/>
  <c r="K94" i="1"/>
  <c r="N377" i="1"/>
  <c r="AB230" i="1"/>
  <c r="N224" i="1"/>
  <c r="AB492" i="1"/>
  <c r="AB326" i="1"/>
  <c r="N320" i="1"/>
  <c r="AB406" i="1"/>
  <c r="N74" i="1"/>
  <c r="N217" i="1"/>
  <c r="N370" i="1"/>
  <c r="AB122" i="1"/>
  <c r="K422" i="1"/>
  <c r="AB393" i="1"/>
  <c r="AB494" i="1"/>
  <c r="N162" i="1"/>
  <c r="AB138" i="1"/>
  <c r="AB136" i="1"/>
  <c r="AB218" i="1"/>
  <c r="AB191" i="1"/>
  <c r="N380" i="1"/>
  <c r="N340" i="1"/>
  <c r="N331" i="1"/>
  <c r="AB323" i="1"/>
  <c r="N6" i="1"/>
  <c r="AB306" i="1"/>
  <c r="AB223" i="1"/>
  <c r="N102" i="1"/>
  <c r="AB411" i="1"/>
  <c r="N182" i="1"/>
  <c r="N87" i="1"/>
  <c r="AB252" i="1"/>
  <c r="K127" i="1"/>
  <c r="N496" i="1"/>
  <c r="AB455" i="1"/>
  <c r="N91" i="1"/>
  <c r="N270" i="1"/>
  <c r="AB228" i="1"/>
  <c r="AB206" i="1"/>
  <c r="AB144" i="1"/>
  <c r="N489" i="1"/>
  <c r="N356" i="1"/>
  <c r="N503" i="1"/>
  <c r="N238" i="1"/>
  <c r="K455" i="1"/>
  <c r="AB243" i="1"/>
  <c r="AB232" i="1"/>
  <c r="N203" i="1"/>
  <c r="AB339" i="1"/>
  <c r="AB369" i="1"/>
  <c r="AB419" i="1"/>
  <c r="AB417" i="1"/>
  <c r="K406" i="1"/>
  <c r="N509" i="1"/>
  <c r="N17" i="1"/>
  <c r="N88" i="1"/>
  <c r="N267" i="1"/>
  <c r="N415" i="1"/>
  <c r="N220" i="1"/>
  <c r="N359" i="1"/>
  <c r="AB420" i="1"/>
  <c r="K316" i="1"/>
  <c r="K370" i="1"/>
  <c r="K32" i="1"/>
  <c r="N169" i="1"/>
  <c r="N268" i="1"/>
  <c r="AB177" i="1"/>
  <c r="AB302" i="1"/>
  <c r="N296" i="1"/>
  <c r="AB273" i="1"/>
  <c r="AB431" i="1"/>
  <c r="AB377" i="1"/>
  <c r="AB478" i="1"/>
  <c r="N475" i="1"/>
  <c r="N45" i="1"/>
  <c r="N123" i="1"/>
  <c r="AB314" i="1"/>
  <c r="AB349" i="1"/>
  <c r="AB114" i="1"/>
  <c r="AB510" i="1"/>
  <c r="AB445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X526" i="1" s="1"/>
  <c r="X527" i="1" s="1"/>
  <c r="X528" i="1" s="1"/>
  <c r="X529" i="1" s="1"/>
  <c r="N214" i="1"/>
  <c r="AB107" i="1"/>
  <c r="K355" i="1"/>
  <c r="N221" i="1"/>
  <c r="AB263" i="1"/>
  <c r="N410" i="1"/>
  <c r="N78" i="1"/>
  <c r="AB359" i="1"/>
  <c r="N506" i="1"/>
  <c r="AB439" i="1"/>
  <c r="N75" i="1"/>
  <c r="N493" i="1"/>
  <c r="N229" i="1"/>
  <c r="AB373" i="1"/>
  <c r="K263" i="1"/>
  <c r="AB308" i="1"/>
  <c r="AB433" i="1"/>
  <c r="N163" i="1"/>
  <c r="AB147" i="1"/>
  <c r="AB153" i="1"/>
  <c r="AB227" i="1"/>
  <c r="AB368" i="1"/>
  <c r="K214" i="1"/>
  <c r="N401" i="1"/>
  <c r="N461" i="1"/>
  <c r="N382" i="1"/>
  <c r="N7" i="1"/>
  <c r="AB315" i="1"/>
  <c r="AB248" i="1"/>
  <c r="N103" i="1"/>
  <c r="AB325" i="1"/>
  <c r="N16" i="1"/>
  <c r="N107" i="1"/>
  <c r="N95" i="1"/>
  <c r="AB310" i="1"/>
  <c r="K38" i="1"/>
  <c r="AB480" i="1"/>
  <c r="AB110" i="1"/>
  <c r="N104" i="1"/>
  <c r="AB412" i="1"/>
  <c r="AB239" i="1"/>
  <c r="AB161" i="1"/>
  <c r="AB286" i="1"/>
  <c r="N196" i="1"/>
  <c r="N367" i="1"/>
  <c r="N258" i="1"/>
  <c r="AB129" i="1"/>
  <c r="AB157" i="1"/>
  <c r="AB249" i="1"/>
  <c r="AB318" i="1"/>
  <c r="AB253" i="1"/>
  <c r="AB244" i="1"/>
  <c r="AB333" i="1"/>
  <c r="AB341" i="1"/>
  <c r="AB452" i="1"/>
  <c r="K414" i="1"/>
  <c r="N69" i="1"/>
  <c r="AB212" i="1"/>
  <c r="N325" i="1"/>
  <c r="N444" i="1"/>
  <c r="N468" i="1"/>
  <c r="K175" i="1"/>
  <c r="N152" i="1"/>
  <c r="AB471" i="1"/>
  <c r="K291" i="1"/>
  <c r="K129" i="1"/>
  <c r="K504" i="1"/>
  <c r="K488" i="1"/>
  <c r="AB362" i="1"/>
  <c r="AB335" i="1"/>
  <c r="N482" i="1"/>
  <c r="AB458" i="1"/>
  <c r="AB456" i="1"/>
  <c r="AB276" i="1"/>
  <c r="AB182" i="1"/>
  <c r="K22" i="1"/>
  <c r="N485" i="1"/>
  <c r="N428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N326" i="1"/>
  <c r="AB123" i="1"/>
  <c r="AB497" i="1"/>
  <c r="N422" i="1"/>
  <c r="AB133" i="1"/>
  <c r="N502" i="1"/>
  <c r="N234" i="1"/>
  <c r="N222" i="1"/>
  <c r="K447" i="1"/>
  <c r="N360" i="1"/>
  <c r="AB288" i="1"/>
  <c r="N292" i="1"/>
  <c r="N79" i="1"/>
  <c r="AB384" i="1"/>
  <c r="AB425" i="1"/>
  <c r="AB464" i="1"/>
  <c r="N33" i="1"/>
  <c r="N499" i="1"/>
  <c r="N457" i="1"/>
  <c r="N200" i="1"/>
  <c r="AB407" i="1"/>
  <c r="AB164" i="1"/>
  <c r="AB513" i="1"/>
  <c r="AB126" i="1"/>
  <c r="AB332" i="1"/>
  <c r="AB338" i="1"/>
  <c r="AB141" i="1"/>
  <c r="AB427" i="1"/>
  <c r="AB408" i="1"/>
  <c r="K222" i="1"/>
  <c r="N369" i="1"/>
  <c r="AB358" i="1"/>
  <c r="N26" i="1"/>
  <c r="AB229" i="1"/>
  <c r="AB454" i="1"/>
  <c r="N122" i="1"/>
  <c r="AB457" i="1"/>
  <c r="N202" i="1"/>
  <c r="N407" i="1"/>
  <c r="N115" i="1"/>
  <c r="AB450" i="1"/>
  <c r="K368" i="1"/>
  <c r="AB170" i="1"/>
  <c r="AB143" i="1"/>
  <c r="N290" i="1"/>
  <c r="AB266" i="1"/>
  <c r="AB264" i="1"/>
  <c r="AB346" i="1"/>
  <c r="AB319" i="1"/>
  <c r="N327" i="1"/>
  <c r="N209" i="1"/>
  <c r="N117" i="1"/>
  <c r="AB316" i="1"/>
  <c r="N134" i="1"/>
  <c r="AB434" i="1"/>
  <c r="AB351" i="1"/>
  <c r="N230" i="1"/>
  <c r="AB140" i="1"/>
  <c r="N310" i="1"/>
  <c r="N176" i="1"/>
  <c r="AB365" i="1"/>
  <c r="K255" i="1"/>
  <c r="N275" i="1"/>
  <c r="AB500" i="1"/>
  <c r="N440" i="1"/>
  <c r="K238" i="1"/>
  <c r="N476" i="1"/>
  <c r="K192" i="1"/>
  <c r="N207" i="1"/>
  <c r="N264" i="1"/>
  <c r="K357" i="1"/>
  <c r="K58" i="1"/>
  <c r="K40" i="1"/>
  <c r="K354" i="1"/>
  <c r="AB371" i="1"/>
  <c r="AB360" i="1"/>
  <c r="N395" i="1"/>
  <c r="AB467" i="1"/>
  <c r="AB146" i="1"/>
  <c r="AB148" i="1"/>
  <c r="AB418" i="1"/>
  <c r="AB246" i="1"/>
  <c r="K30" i="1"/>
  <c r="N284" i="1"/>
  <c r="AB166" i="1"/>
  <c r="N160" i="1"/>
  <c r="AB284" i="1"/>
  <c r="AB262" i="1"/>
  <c r="N256" i="1"/>
  <c r="AB342" i="1"/>
  <c r="N10" i="1"/>
  <c r="N76" i="1"/>
  <c r="N242" i="1"/>
  <c r="AB265" i="1"/>
  <c r="K358" i="1"/>
  <c r="AB305" i="1"/>
  <c r="AB430" i="1"/>
  <c r="N98" i="1"/>
  <c r="AB449" i="1"/>
  <c r="AB388" i="1"/>
  <c r="AB154" i="1"/>
  <c r="AB127" i="1"/>
  <c r="N236" i="1"/>
  <c r="N28" i="1"/>
  <c r="N137" i="1"/>
  <c r="AB139" i="1"/>
  <c r="AB477" i="1"/>
  <c r="AB242" i="1"/>
  <c r="AB159" i="1"/>
  <c r="N38" i="1"/>
  <c r="AB347" i="1"/>
  <c r="N118" i="1"/>
  <c r="N470" i="1"/>
  <c r="AB451" i="1"/>
  <c r="K63" i="1"/>
  <c r="N411" i="1"/>
  <c r="AB391" i="1"/>
  <c r="N27" i="1"/>
  <c r="N206" i="1"/>
  <c r="AB487" i="1"/>
  <c r="AB142" i="1"/>
  <c r="AB428" i="1"/>
  <c r="N49" i="1"/>
  <c r="N259" i="1"/>
  <c r="N417" i="1"/>
  <c r="N110" i="1"/>
  <c r="K391" i="1"/>
  <c r="AB179" i="1"/>
  <c r="AB168" i="1"/>
  <c r="N52" i="1"/>
  <c r="AB275" i="1"/>
  <c r="AB281" i="1"/>
  <c r="AB355" i="1"/>
  <c r="AB233" i="1"/>
  <c r="K342" i="1"/>
  <c r="N349" i="1"/>
  <c r="N365" i="1"/>
  <c r="N127" i="1"/>
  <c r="N135" i="1"/>
  <c r="AB443" i="1"/>
  <c r="AB376" i="1"/>
  <c r="N64" i="1"/>
  <c r="AB150" i="1"/>
  <c r="N144" i="1"/>
  <c r="N93" i="1"/>
  <c r="N184" i="1"/>
  <c r="AB176" i="1"/>
  <c r="K166" i="1"/>
  <c r="N227" i="1"/>
  <c r="N494" i="1"/>
  <c r="AB496" i="1"/>
  <c r="K254" i="1"/>
  <c r="K289" i="1"/>
  <c r="K70" i="1"/>
  <c r="N245" i="1"/>
  <c r="J302" i="1"/>
  <c r="K244" i="1"/>
  <c r="K137" i="1"/>
  <c r="K341" i="1"/>
  <c r="AB285" i="1"/>
  <c r="N262" i="1"/>
  <c r="AB401" i="1"/>
  <c r="AB461" i="1"/>
  <c r="N84" i="1"/>
  <c r="AB295" i="1"/>
  <c r="N295" i="1"/>
  <c r="AB490" i="1"/>
  <c r="AB468" i="1"/>
  <c r="N261" i="1"/>
  <c r="AB251" i="1"/>
  <c r="N119" i="1"/>
  <c r="N351" i="1"/>
  <c r="AB512" i="1"/>
  <c r="N41" i="1"/>
  <c r="AB444" i="1"/>
  <c r="AB466" i="1"/>
  <c r="K350" i="1"/>
  <c r="AB357" i="1"/>
  <c r="N330" i="1"/>
  <c r="K444" i="1"/>
  <c r="K95" i="1"/>
  <c r="AB203" i="1"/>
  <c r="J408" i="1"/>
  <c r="K221" i="1"/>
  <c r="AB289" i="1"/>
  <c r="N297" i="1"/>
  <c r="N460" i="1"/>
  <c r="N180" i="1"/>
  <c r="J214" i="1"/>
  <c r="N85" i="1"/>
  <c r="K505" i="1"/>
  <c r="N418" i="1"/>
  <c r="AB405" i="1"/>
  <c r="AB277" i="1"/>
  <c r="K223" i="1"/>
  <c r="K346" i="1"/>
  <c r="K496" i="1"/>
  <c r="K454" i="1"/>
  <c r="AB469" i="1"/>
  <c r="K470" i="1"/>
  <c r="N92" i="1"/>
  <c r="N357" i="1"/>
  <c r="K487" i="1"/>
  <c r="N73" i="1"/>
  <c r="AB171" i="1"/>
  <c r="K37" i="1"/>
  <c r="K321" i="1"/>
  <c r="K239" i="1"/>
  <c r="K297" i="1"/>
  <c r="J156" i="1"/>
  <c r="AB313" i="1"/>
  <c r="N372" i="1"/>
  <c r="AB354" i="1"/>
  <c r="K510" i="1"/>
  <c r="K491" i="1"/>
  <c r="K260" i="1"/>
  <c r="N368" i="1"/>
  <c r="J82" i="1"/>
  <c r="K235" i="1"/>
  <c r="N198" i="1"/>
  <c r="K319" i="1"/>
  <c r="AB502" i="1"/>
  <c r="K62" i="1"/>
  <c r="K97" i="1"/>
  <c r="N65" i="1"/>
  <c r="N396" i="1"/>
  <c r="J110" i="1"/>
  <c r="K378" i="1"/>
  <c r="K28" i="1"/>
  <c r="K100" i="1"/>
  <c r="N128" i="1"/>
  <c r="N140" i="1"/>
  <c r="N306" i="1"/>
  <c r="AB395" i="1"/>
  <c r="K77" i="1"/>
  <c r="N67" i="1"/>
  <c r="K216" i="1"/>
  <c r="N249" i="1"/>
  <c r="AB193" i="1"/>
  <c r="K427" i="1"/>
  <c r="J280" i="1"/>
  <c r="N408" i="1"/>
  <c r="K252" i="1"/>
  <c r="K55" i="1"/>
  <c r="J458" i="1"/>
  <c r="K248" i="1"/>
  <c r="J94" i="1"/>
  <c r="K268" i="1"/>
  <c r="J355" i="1"/>
  <c r="G506" i="1"/>
  <c r="J356" i="1"/>
  <c r="J127" i="1"/>
  <c r="G221" i="1"/>
  <c r="E213" i="1"/>
  <c r="G309" i="1"/>
  <c r="G297" i="1"/>
  <c r="G435" i="1"/>
  <c r="J323" i="1"/>
  <c r="E474" i="1"/>
  <c r="E475" i="1"/>
  <c r="G252" i="1"/>
  <c r="E106" i="1"/>
  <c r="K154" i="1"/>
  <c r="K36" i="1"/>
  <c r="J28" i="1"/>
  <c r="K371" i="1"/>
  <c r="J69" i="1"/>
  <c r="K361" i="1"/>
  <c r="J188" i="1"/>
  <c r="J177" i="1"/>
  <c r="G134" i="1"/>
  <c r="J416" i="1"/>
  <c r="G289" i="1"/>
  <c r="G472" i="1"/>
  <c r="G193" i="1"/>
  <c r="J197" i="1"/>
  <c r="K311" i="1"/>
  <c r="K181" i="1"/>
  <c r="K80" i="1"/>
  <c r="J87" i="1"/>
  <c r="K89" i="1"/>
  <c r="J326" i="1"/>
  <c r="K288" i="1"/>
  <c r="J483" i="1"/>
  <c r="E21" i="1"/>
  <c r="J125" i="1"/>
  <c r="J48" i="1"/>
  <c r="G113" i="1"/>
  <c r="G212" i="1"/>
  <c r="N314" i="1"/>
  <c r="K483" i="1"/>
  <c r="K275" i="1"/>
  <c r="J382" i="1"/>
  <c r="J402" i="1"/>
  <c r="J78" i="1"/>
  <c r="J248" i="1"/>
  <c r="K413" i="1"/>
  <c r="K69" i="1"/>
  <c r="G361" i="1"/>
  <c r="G135" i="1"/>
  <c r="J244" i="1"/>
  <c r="J306" i="1"/>
  <c r="G364" i="1"/>
  <c r="G403" i="1"/>
  <c r="G384" i="1"/>
  <c r="E144" i="1"/>
  <c r="G432" i="1"/>
  <c r="E158" i="1"/>
  <c r="E381" i="1"/>
  <c r="G482" i="1"/>
  <c r="J180" i="1"/>
  <c r="K377" i="1"/>
  <c r="K501" i="1"/>
  <c r="K49" i="1"/>
  <c r="J215" i="1"/>
  <c r="K345" i="1"/>
  <c r="J502" i="1"/>
  <c r="K113" i="1"/>
  <c r="J68" i="1"/>
  <c r="G20" i="1"/>
  <c r="G195" i="1"/>
  <c r="J304" i="1"/>
  <c r="G217" i="1"/>
  <c r="G24" i="1"/>
  <c r="G418" i="1"/>
  <c r="G81" i="1"/>
  <c r="E39" i="1"/>
  <c r="G286" i="1"/>
  <c r="E191" i="1"/>
  <c r="N21" i="1"/>
  <c r="AB324" i="1"/>
  <c r="N438" i="1"/>
  <c r="N173" i="1"/>
  <c r="AB320" i="1"/>
  <c r="N276" i="1"/>
  <c r="AB499" i="1"/>
  <c r="AB274" i="1"/>
  <c r="K158" i="1"/>
  <c r="AB165" i="1"/>
  <c r="N138" i="1"/>
  <c r="K486" i="1"/>
  <c r="AB202" i="1"/>
  <c r="N89" i="1"/>
  <c r="N70" i="1"/>
  <c r="AB475" i="1"/>
  <c r="K191" i="1"/>
  <c r="N334" i="1"/>
  <c r="N157" i="1"/>
  <c r="K272" i="1"/>
  <c r="K512" i="1"/>
  <c r="N253" i="1"/>
  <c r="J265" i="1"/>
  <c r="J503" i="1"/>
  <c r="AB414" i="1"/>
  <c r="N105" i="1"/>
  <c r="N323" i="1"/>
  <c r="N445" i="1"/>
  <c r="AB472" i="1"/>
  <c r="K103" i="1"/>
  <c r="K434" i="1"/>
  <c r="AB394" i="1"/>
  <c r="N361" i="1"/>
  <c r="N120" i="1"/>
  <c r="AB438" i="1"/>
  <c r="K267" i="1"/>
  <c r="N190" i="1"/>
  <c r="K435" i="1"/>
  <c r="AB307" i="1"/>
  <c r="N316" i="1"/>
  <c r="K430" i="1"/>
  <c r="N188" i="1"/>
  <c r="K132" i="1"/>
  <c r="N425" i="1"/>
  <c r="N241" i="1"/>
  <c r="K340" i="1"/>
  <c r="K250" i="1"/>
  <c r="K232" i="1"/>
  <c r="K147" i="1"/>
  <c r="J245" i="1"/>
  <c r="AB382" i="1"/>
  <c r="N18" i="1"/>
  <c r="N30" i="1"/>
  <c r="K351" i="1"/>
  <c r="K474" i="1"/>
  <c r="AB151" i="1"/>
  <c r="K500" i="1"/>
  <c r="N151" i="1"/>
  <c r="K301" i="1"/>
  <c r="AB498" i="1"/>
  <c r="N423" i="1"/>
  <c r="AB514" i="1"/>
  <c r="K424" i="1"/>
  <c r="K26" i="1"/>
  <c r="K87" i="1"/>
  <c r="N185" i="1"/>
  <c r="AB465" i="1"/>
  <c r="K299" i="1"/>
  <c r="K457" i="1"/>
  <c r="J374" i="1"/>
  <c r="AB214" i="1"/>
  <c r="N387" i="1"/>
  <c r="N179" i="1"/>
  <c r="N501" i="1"/>
  <c r="J22" i="1"/>
  <c r="N251" i="1"/>
  <c r="K313" i="1"/>
  <c r="K310" i="1"/>
  <c r="N338" i="1"/>
  <c r="K437" i="1"/>
  <c r="J137" i="1"/>
  <c r="J238" i="1"/>
  <c r="N66" i="1"/>
  <c r="K106" i="1"/>
  <c r="J511" i="1"/>
  <c r="K274" i="1"/>
  <c r="J103" i="1"/>
  <c r="K42" i="1"/>
  <c r="J324" i="1"/>
  <c r="G463" i="1"/>
  <c r="G9" i="1"/>
  <c r="J161" i="1"/>
  <c r="G59" i="1"/>
  <c r="G225" i="1"/>
  <c r="G203" i="1"/>
  <c r="G167" i="1"/>
  <c r="E16" i="1"/>
  <c r="G125" i="1"/>
  <c r="E445" i="1"/>
  <c r="G414" i="1"/>
  <c r="E389" i="1"/>
  <c r="G513" i="1"/>
  <c r="K295" i="1"/>
  <c r="K130" i="1"/>
  <c r="J501" i="1"/>
  <c r="K509" i="1"/>
  <c r="N164" i="1"/>
  <c r="K211" i="1"/>
  <c r="N430" i="1"/>
  <c r="J122" i="1"/>
  <c r="G459" i="1"/>
  <c r="J349" i="1"/>
  <c r="K184" i="1"/>
  <c r="G292" i="1"/>
  <c r="G445" i="1"/>
  <c r="J276" i="1"/>
  <c r="N147" i="1"/>
  <c r="N453" i="1"/>
  <c r="K490" i="1"/>
  <c r="J40" i="1"/>
  <c r="K443" i="1"/>
  <c r="J231" i="1"/>
  <c r="K298" i="1"/>
  <c r="J452" i="1"/>
  <c r="G359" i="1"/>
  <c r="G162" i="1"/>
  <c r="J417" i="1"/>
  <c r="G444" i="1"/>
  <c r="E182" i="1"/>
  <c r="N255" i="1"/>
  <c r="K186" i="1"/>
  <c r="J199" i="1"/>
  <c r="J495" i="1"/>
  <c r="J481" i="1"/>
  <c r="J95" i="1"/>
  <c r="J105" i="1"/>
  <c r="J221" i="1"/>
  <c r="J400" i="1"/>
  <c r="G90" i="1"/>
  <c r="G5" i="1"/>
  <c r="G72" i="1"/>
  <c r="J57" i="1"/>
  <c r="E53" i="1"/>
  <c r="E84" i="1"/>
  <c r="G423" i="1"/>
  <c r="E315" i="1"/>
  <c r="G273" i="1"/>
  <c r="G126" i="1"/>
  <c r="J146" i="1"/>
  <c r="E201" i="1"/>
  <c r="G462" i="1"/>
  <c r="N449" i="1"/>
  <c r="K200" i="1"/>
  <c r="K283" i="1"/>
  <c r="J168" i="1"/>
  <c r="K195" i="1"/>
  <c r="J359" i="1"/>
  <c r="K116" i="1"/>
  <c r="J93" i="1"/>
  <c r="E340" i="1"/>
  <c r="E4" i="1"/>
  <c r="J106" i="1"/>
  <c r="K507" i="1"/>
  <c r="G483" i="1"/>
  <c r="G400" i="1"/>
  <c r="G367" i="1"/>
  <c r="G354" i="1"/>
  <c r="G261" i="1"/>
  <c r="G321" i="1"/>
  <c r="J274" i="1"/>
  <c r="K201" i="1"/>
  <c r="AB446" i="1"/>
  <c r="N86" i="1"/>
  <c r="AB199" i="1"/>
  <c r="N442" i="1"/>
  <c r="N97" i="1"/>
  <c r="AB463" i="1"/>
  <c r="AB163" i="1"/>
  <c r="N308" i="1"/>
  <c r="AB184" i="1"/>
  <c r="N490" i="1"/>
  <c r="AB416" i="1"/>
  <c r="AB175" i="1"/>
  <c r="N271" i="1"/>
  <c r="AB185" i="1"/>
  <c r="AB269" i="1"/>
  <c r="N339" i="1"/>
  <c r="AB103" i="1"/>
  <c r="N257" i="1"/>
  <c r="N398" i="1"/>
  <c r="K218" i="1"/>
  <c r="K45" i="1"/>
  <c r="J285" i="1"/>
  <c r="J399" i="1"/>
  <c r="N389" i="1"/>
  <c r="N187" i="1"/>
  <c r="N148" i="1"/>
  <c r="K279" i="1"/>
  <c r="N194" i="1"/>
  <c r="AB473" i="1"/>
  <c r="K395" i="1"/>
  <c r="AB392" i="1"/>
  <c r="N36" i="1"/>
  <c r="N436" i="1"/>
  <c r="N136" i="1"/>
  <c r="K333" i="1"/>
  <c r="N344" i="1"/>
  <c r="K57" i="1"/>
  <c r="AB296" i="1"/>
  <c r="N181" i="1"/>
  <c r="AB186" i="1"/>
  <c r="K446" i="1"/>
  <c r="K481" i="1"/>
  <c r="K384" i="1"/>
  <c r="N20" i="1"/>
  <c r="J494" i="1"/>
  <c r="K171" i="1"/>
  <c r="K329" i="1"/>
  <c r="J158" i="1"/>
  <c r="N464" i="1"/>
  <c r="AB317" i="1"/>
  <c r="N341" i="1"/>
  <c r="N50" i="1"/>
  <c r="AB385" i="1"/>
  <c r="K84" i="1"/>
  <c r="N240" i="1"/>
  <c r="K88" i="1"/>
  <c r="N451" i="1"/>
  <c r="J246" i="1"/>
  <c r="AB415" i="1"/>
  <c r="N146" i="1"/>
  <c r="N158" i="1"/>
  <c r="K415" i="1"/>
  <c r="K499" i="1"/>
  <c r="AB504" i="1"/>
  <c r="K111" i="1"/>
  <c r="N280" i="1"/>
  <c r="K365" i="1"/>
  <c r="K386" i="1"/>
  <c r="J263" i="1"/>
  <c r="N208" i="1"/>
  <c r="N371" i="1"/>
  <c r="N429" i="1"/>
  <c r="N273" i="1"/>
  <c r="J479" i="1"/>
  <c r="K438" i="1"/>
  <c r="K242" i="1"/>
  <c r="K336" i="1"/>
  <c r="N412" i="1"/>
  <c r="AB149" i="1"/>
  <c r="N218" i="1"/>
  <c r="K462" i="1"/>
  <c r="K226" i="1"/>
  <c r="K477" i="1"/>
  <c r="J424" i="1"/>
  <c r="K261" i="1"/>
  <c r="J56" i="1"/>
  <c r="K29" i="1"/>
  <c r="K153" i="1"/>
  <c r="G85" i="1"/>
  <c r="G396" i="1"/>
  <c r="J403" i="1"/>
  <c r="K251" i="1"/>
  <c r="G169" i="1"/>
  <c r="E195" i="1"/>
  <c r="E428" i="1"/>
  <c r="E328" i="1"/>
  <c r="G21" i="1"/>
  <c r="G160" i="1"/>
  <c r="E231" i="1"/>
  <c r="E419" i="1"/>
  <c r="J497" i="1"/>
  <c r="N213" i="1"/>
  <c r="K117" i="1"/>
  <c r="K471" i="1"/>
  <c r="J23" i="1"/>
  <c r="K108" i="1"/>
  <c r="J222" i="1"/>
  <c r="K144" i="1"/>
  <c r="J419" i="1"/>
  <c r="E140" i="1"/>
  <c r="J484" i="1"/>
  <c r="J383" i="1"/>
  <c r="G112" i="1"/>
  <c r="G339" i="1"/>
  <c r="AB167" i="1"/>
  <c r="K119" i="1"/>
  <c r="K484" i="1"/>
  <c r="J294" i="1"/>
  <c r="J138" i="1"/>
  <c r="K68" i="1"/>
  <c r="J184" i="1"/>
  <c r="K285" i="1"/>
  <c r="K380" i="1"/>
  <c r="G488" i="1"/>
  <c r="G208" i="1"/>
  <c r="J116" i="1"/>
  <c r="J262" i="1"/>
  <c r="G491" i="1"/>
  <c r="N434" i="1"/>
  <c r="J54" i="1"/>
  <c r="J397" i="1"/>
  <c r="K334" i="1"/>
  <c r="J203" i="1"/>
  <c r="AB378" i="1"/>
  <c r="J477" i="1"/>
  <c r="J234" i="1"/>
  <c r="J205" i="1"/>
  <c r="N24" i="1"/>
  <c r="E285" i="1"/>
  <c r="G182" i="1"/>
  <c r="J299" i="1"/>
  <c r="K325" i="1"/>
  <c r="G43" i="1"/>
  <c r="E61" i="1"/>
  <c r="E156" i="1"/>
  <c r="E335" i="1"/>
  <c r="E249" i="1"/>
  <c r="K61" i="1"/>
  <c r="E116" i="1"/>
  <c r="AB247" i="1"/>
  <c r="K96" i="1"/>
  <c r="K213" i="1"/>
  <c r="J462" i="1"/>
  <c r="J25" i="1"/>
  <c r="J206" i="1"/>
  <c r="J312" i="1"/>
  <c r="K284" i="1"/>
  <c r="K21" i="1"/>
  <c r="G299" i="1"/>
  <c r="G369" i="1"/>
  <c r="J372" i="1"/>
  <c r="J183" i="1"/>
  <c r="G285" i="1"/>
  <c r="G276" i="1"/>
  <c r="G241" i="1"/>
  <c r="E171" i="1"/>
  <c r="G471" i="1"/>
  <c r="E431" i="1"/>
  <c r="K408" i="1"/>
  <c r="AB479" i="1"/>
  <c r="N106" i="1"/>
  <c r="AB224" i="1"/>
  <c r="AB462" i="1"/>
  <c r="N333" i="1"/>
  <c r="AB488" i="1"/>
  <c r="AB372" i="1"/>
  <c r="N463" i="1"/>
  <c r="AB390" i="1"/>
  <c r="N319" i="1"/>
  <c r="AB106" i="1"/>
  <c r="AB200" i="1"/>
  <c r="N61" i="1"/>
  <c r="AB370" i="1"/>
  <c r="N246" i="1"/>
  <c r="N149" i="1"/>
  <c r="AB128" i="1"/>
  <c r="N441" i="1"/>
  <c r="AB192" i="1"/>
  <c r="K139" i="1"/>
  <c r="K396" i="1"/>
  <c r="J507" i="1"/>
  <c r="AB113" i="1"/>
  <c r="N348" i="1"/>
  <c r="K302" i="1"/>
  <c r="N237" i="1"/>
  <c r="K256" i="1"/>
  <c r="N431" i="1"/>
  <c r="N298" i="1"/>
  <c r="K421" i="1"/>
  <c r="AB474" i="1"/>
  <c r="N388" i="1"/>
  <c r="N193" i="1"/>
  <c r="N124" i="1"/>
  <c r="J278" i="1"/>
  <c r="N497" i="1"/>
  <c r="K228" i="1"/>
  <c r="N305" i="1"/>
  <c r="N216" i="1"/>
  <c r="AB437" i="1"/>
  <c r="K287" i="1"/>
  <c r="K410" i="1"/>
  <c r="K452" i="1"/>
  <c r="K456" i="1"/>
  <c r="N302" i="1"/>
  <c r="K237" i="1"/>
  <c r="K258" i="1"/>
  <c r="J135" i="1"/>
  <c r="K177" i="1"/>
  <c r="AB436" i="1"/>
  <c r="N483" i="1"/>
  <c r="N373" i="1"/>
  <c r="N466" i="1"/>
  <c r="K461" i="1"/>
  <c r="N233" i="1"/>
  <c r="K185" i="1"/>
  <c r="N252" i="1"/>
  <c r="N8" i="1"/>
  <c r="N294" i="1"/>
  <c r="N491" i="1"/>
  <c r="N178" i="1"/>
  <c r="AB506" i="1"/>
  <c r="K404" i="1"/>
  <c r="N210" i="1"/>
  <c r="K152" i="1"/>
  <c r="N309" i="1"/>
  <c r="AB460" i="1"/>
  <c r="K307" i="1"/>
  <c r="J216" i="1"/>
  <c r="N279" i="1"/>
  <c r="N172" i="1"/>
  <c r="N413" i="1"/>
  <c r="K196" i="1"/>
  <c r="N174" i="1"/>
  <c r="K379" i="1"/>
  <c r="K163" i="1"/>
  <c r="K356" i="1"/>
  <c r="K326" i="1"/>
  <c r="K72" i="1"/>
  <c r="AB459" i="1"/>
  <c r="K257" i="1"/>
  <c r="J487" i="1"/>
  <c r="J207" i="1"/>
  <c r="J281" i="1"/>
  <c r="J162" i="1"/>
  <c r="J210" i="1"/>
  <c r="J422" i="1"/>
  <c r="J437" i="1"/>
  <c r="G496" i="1"/>
  <c r="E85" i="1"/>
  <c r="G259" i="1"/>
  <c r="J328" i="1"/>
  <c r="G370" i="1"/>
  <c r="G10" i="1"/>
  <c r="E380" i="1"/>
  <c r="E96" i="1"/>
  <c r="G448" i="1"/>
  <c r="E146" i="1"/>
  <c r="E387" i="1"/>
  <c r="E118" i="1"/>
  <c r="E187" i="1"/>
  <c r="AB226" i="1"/>
  <c r="N345" i="1"/>
  <c r="K362" i="1"/>
  <c r="J466" i="1"/>
  <c r="K402" i="1"/>
  <c r="J167" i="1"/>
  <c r="K170" i="1"/>
  <c r="J388" i="1"/>
  <c r="G358" i="1"/>
  <c r="G249" i="1"/>
  <c r="J289" i="1"/>
  <c r="G142" i="1"/>
  <c r="E20" i="1"/>
  <c r="N402" i="1"/>
  <c r="K122" i="1"/>
  <c r="J71" i="1"/>
  <c r="J335" i="1"/>
  <c r="J409" i="1"/>
  <c r="J31" i="1"/>
  <c r="J41" i="1"/>
  <c r="J242" i="1"/>
  <c r="J272" i="1"/>
  <c r="G378" i="1"/>
  <c r="G84" i="1"/>
  <c r="G181" i="1"/>
  <c r="J258" i="1"/>
  <c r="E172" i="1"/>
  <c r="AB301" i="1"/>
  <c r="N467" i="1"/>
  <c r="J59" i="1"/>
  <c r="K337" i="1"/>
  <c r="J172" i="1"/>
  <c r="K212" i="1"/>
  <c r="J347" i="1"/>
  <c r="J448" i="1"/>
  <c r="J468" i="1"/>
  <c r="J447" i="1"/>
  <c r="G236" i="1"/>
  <c r="E268" i="1"/>
  <c r="J485" i="1"/>
  <c r="J464" i="1"/>
  <c r="E35" i="1"/>
  <c r="E240" i="1"/>
  <c r="E346" i="1"/>
  <c r="G421" i="1"/>
  <c r="E281" i="1"/>
  <c r="J164" i="1"/>
  <c r="E283" i="1"/>
  <c r="N37" i="1"/>
  <c r="K506" i="1"/>
  <c r="J391" i="1"/>
  <c r="J426" i="1"/>
  <c r="J314" i="1"/>
  <c r="J159" i="1"/>
  <c r="J169" i="1"/>
  <c r="J47" i="1"/>
  <c r="J489" i="1"/>
  <c r="E291" i="1"/>
  <c r="G22" i="1"/>
  <c r="G73" i="1"/>
  <c r="J185" i="1"/>
  <c r="G123" i="1"/>
  <c r="E366" i="1"/>
  <c r="E244" i="1"/>
  <c r="G248" i="1"/>
  <c r="E243" i="1"/>
  <c r="E395" i="1"/>
  <c r="K306" i="1"/>
  <c r="AB381" i="1"/>
  <c r="AB442" i="1"/>
  <c r="N346" i="1"/>
  <c r="AB375" i="1"/>
  <c r="AB213" i="1"/>
  <c r="N99" i="1"/>
  <c r="AB112" i="1"/>
  <c r="N254" i="1"/>
  <c r="N39" i="1"/>
  <c r="N478" i="1"/>
  <c r="N469" i="1"/>
  <c r="AB508" i="1"/>
  <c r="N130" i="1"/>
  <c r="AB254" i="1"/>
  <c r="AB173" i="1"/>
  <c r="AB486" i="1"/>
  <c r="N250" i="1"/>
  <c r="N116" i="1"/>
  <c r="K448" i="1"/>
  <c r="K399" i="1"/>
  <c r="K66" i="1"/>
  <c r="J476" i="1"/>
  <c r="AB238" i="1"/>
  <c r="N514" i="1"/>
  <c r="AB169" i="1"/>
  <c r="K318" i="1"/>
  <c r="K353" i="1"/>
  <c r="K246" i="1"/>
  <c r="N505" i="1"/>
  <c r="J366" i="1"/>
  <c r="AB447" i="1"/>
  <c r="N235" i="1"/>
  <c r="N409" i="1"/>
  <c r="K54" i="1"/>
  <c r="AB409" i="1"/>
  <c r="K207" i="1"/>
  <c r="K498" i="1"/>
  <c r="AB403" i="1"/>
  <c r="N177" i="1"/>
  <c r="N248" i="1"/>
  <c r="AB344" i="1"/>
  <c r="K331" i="1"/>
  <c r="N47" i="1"/>
  <c r="K24" i="1"/>
  <c r="N397" i="1"/>
  <c r="J182" i="1"/>
  <c r="K179" i="1"/>
  <c r="J88" i="1"/>
  <c r="K27" i="1"/>
  <c r="AB397" i="1"/>
  <c r="N391" i="1"/>
  <c r="N500" i="1"/>
  <c r="N153" i="1"/>
  <c r="J406" i="1"/>
  <c r="K78" i="1"/>
  <c r="K114" i="1"/>
  <c r="K335" i="1"/>
  <c r="N472" i="1"/>
  <c r="AB204" i="1"/>
  <c r="N141" i="1"/>
  <c r="N512" i="1"/>
  <c r="N9" i="1"/>
  <c r="K156" i="1"/>
  <c r="N484" i="1"/>
  <c r="K249" i="1"/>
  <c r="K134" i="1"/>
  <c r="N42" i="1"/>
  <c r="K373" i="1"/>
  <c r="J73" i="1"/>
  <c r="N312" i="1"/>
  <c r="K110" i="1"/>
  <c r="N197" i="1"/>
  <c r="K64" i="1"/>
  <c r="N244" i="1"/>
  <c r="N278" i="1"/>
  <c r="K229" i="1"/>
  <c r="K513" i="1"/>
  <c r="K376" i="1"/>
  <c r="K98" i="1"/>
  <c r="AB280" i="1"/>
  <c r="K109" i="1"/>
  <c r="J344" i="1"/>
  <c r="N481" i="1"/>
  <c r="J413" i="1"/>
  <c r="J415" i="1"/>
  <c r="J425" i="1"/>
  <c r="J303" i="1"/>
  <c r="J385" i="1"/>
  <c r="G316" i="1"/>
  <c r="G271" i="1"/>
  <c r="E68" i="1"/>
  <c r="J154" i="1"/>
  <c r="K409" i="1"/>
  <c r="G341" i="1"/>
  <c r="E65" i="1"/>
  <c r="E398" i="1"/>
  <c r="G175" i="1"/>
  <c r="G362" i="1"/>
  <c r="G152" i="1"/>
  <c r="E154" i="1"/>
  <c r="AB421" i="1"/>
  <c r="K23" i="1"/>
  <c r="K482" i="1"/>
  <c r="J166" i="1"/>
  <c r="J488" i="1"/>
  <c r="K389" i="1"/>
  <c r="J120" i="1"/>
  <c r="K157" i="1"/>
  <c r="K82" i="1"/>
  <c r="G238" i="1"/>
  <c r="G317" i="1"/>
  <c r="J229" i="1"/>
  <c r="K317" i="1"/>
  <c r="G279" i="1"/>
  <c r="N414" i="1"/>
  <c r="K493" i="1"/>
  <c r="J505" i="1"/>
  <c r="N300" i="1"/>
  <c r="J139" i="1"/>
  <c r="J506" i="1"/>
  <c r="J394" i="1"/>
  <c r="J431" i="1"/>
  <c r="J50" i="1"/>
  <c r="G128" i="1"/>
  <c r="E404" i="1"/>
  <c r="G75" i="1"/>
  <c r="J171" i="1"/>
  <c r="K259" i="1"/>
  <c r="K141" i="1"/>
  <c r="K168" i="1"/>
  <c r="J220" i="1"/>
  <c r="K187" i="1"/>
  <c r="J309" i="1"/>
  <c r="K34" i="1"/>
  <c r="J316" i="1"/>
  <c r="J305" i="1"/>
  <c r="G327" i="1"/>
  <c r="J461" i="1"/>
  <c r="E246" i="1"/>
  <c r="G185" i="1"/>
  <c r="G458" i="1"/>
  <c r="J51" i="1"/>
  <c r="K25" i="1"/>
  <c r="G28" i="1"/>
  <c r="G218" i="1"/>
  <c r="E217" i="1"/>
  <c r="E289" i="1"/>
  <c r="G346" i="1"/>
  <c r="G15" i="1"/>
  <c r="N281" i="1"/>
  <c r="J118" i="1"/>
  <c r="J201" i="1"/>
  <c r="K151" i="1"/>
  <c r="J267" i="1"/>
  <c r="N406" i="1"/>
  <c r="J114" i="1"/>
  <c r="J301" i="1"/>
  <c r="J115" i="1"/>
  <c r="N479" i="1"/>
  <c r="G355" i="1"/>
  <c r="G460" i="1"/>
  <c r="J427" i="1"/>
  <c r="J270" i="1"/>
  <c r="G102" i="1"/>
  <c r="G156" i="1"/>
  <c r="E192" i="1"/>
  <c r="E296" i="1"/>
  <c r="E409" i="1"/>
  <c r="N358" i="1"/>
  <c r="N94" i="1"/>
  <c r="N189" i="1"/>
  <c r="AB400" i="1"/>
  <c r="N72" i="1"/>
  <c r="AB118" i="1"/>
  <c r="AB259" i="1"/>
  <c r="AB294" i="1"/>
  <c r="N58" i="1"/>
  <c r="N498" i="1"/>
  <c r="AB380" i="1"/>
  <c r="AB282" i="1"/>
  <c r="N459" i="1"/>
  <c r="AB287" i="1"/>
  <c r="N48" i="1"/>
  <c r="AB337" i="1"/>
  <c r="AB270" i="1"/>
  <c r="N283" i="1"/>
  <c r="N19" i="1"/>
  <c r="AB156" i="1"/>
  <c r="K276" i="1"/>
  <c r="N82" i="1"/>
  <c r="N232" i="1"/>
  <c r="AB130" i="1"/>
  <c r="AB109" i="1"/>
  <c r="K159" i="1"/>
  <c r="K282" i="1"/>
  <c r="K495" i="1"/>
  <c r="K270" i="1"/>
  <c r="AB404" i="1"/>
  <c r="N277" i="1"/>
  <c r="N381" i="1"/>
  <c r="N260" i="1"/>
  <c r="K375" i="1"/>
  <c r="N43" i="1"/>
  <c r="AB194" i="1"/>
  <c r="K180" i="1"/>
  <c r="AB481" i="1"/>
  <c r="N321" i="1"/>
  <c r="N228" i="1"/>
  <c r="N170" i="1"/>
  <c r="K397" i="1"/>
  <c r="N269" i="1"/>
  <c r="K121" i="1"/>
  <c r="N212" i="1"/>
  <c r="N318" i="1"/>
  <c r="K245" i="1"/>
  <c r="J330" i="1"/>
  <c r="J38" i="1"/>
  <c r="AB493" i="1"/>
  <c r="N421" i="1"/>
  <c r="N433" i="1"/>
  <c r="K390" i="1"/>
  <c r="AB108" i="1"/>
  <c r="K407" i="1"/>
  <c r="K35" i="1"/>
  <c r="K312" i="1"/>
  <c r="N404" i="1"/>
  <c r="N374" i="1"/>
  <c r="N109" i="1"/>
  <c r="N205" i="1"/>
  <c r="N265" i="1"/>
  <c r="J470" i="1"/>
  <c r="K262" i="1"/>
  <c r="K178" i="1"/>
  <c r="K431" i="1"/>
  <c r="N335" i="1"/>
  <c r="AB240" i="1"/>
  <c r="N32" i="1"/>
  <c r="AB432" i="1"/>
  <c r="AB511" i="1"/>
  <c r="K126" i="1"/>
  <c r="K161" i="1"/>
  <c r="N455" i="1"/>
  <c r="N376" i="1"/>
  <c r="J174" i="1"/>
  <c r="K442" i="1"/>
  <c r="K420" i="1"/>
  <c r="K85" i="1"/>
  <c r="K190" i="1"/>
  <c r="N4" i="1"/>
  <c r="J253" i="1"/>
  <c r="K92" i="1"/>
  <c r="J181" i="1"/>
  <c r="N289" i="1"/>
  <c r="J155" i="1"/>
  <c r="J256" i="1"/>
  <c r="J84" i="1"/>
  <c r="K123" i="1"/>
  <c r="G41" i="1"/>
  <c r="G497" i="1"/>
  <c r="J396" i="1"/>
  <c r="J80" i="1"/>
  <c r="G233" i="1"/>
  <c r="E284" i="1"/>
  <c r="E353" i="1"/>
  <c r="E174" i="1"/>
  <c r="G308" i="1"/>
  <c r="J473" i="1"/>
  <c r="E491" i="1"/>
  <c r="K71" i="1"/>
  <c r="K308" i="1"/>
  <c r="J389" i="1"/>
  <c r="J271" i="1"/>
  <c r="J345" i="1"/>
  <c r="J490" i="1"/>
  <c r="J482" i="1"/>
  <c r="J510" i="1"/>
  <c r="J144" i="1"/>
  <c r="G409" i="1"/>
  <c r="G211" i="1"/>
  <c r="G260" i="1"/>
  <c r="J456" i="1"/>
  <c r="G350" i="1"/>
  <c r="K360" i="1"/>
  <c r="N471" i="1"/>
  <c r="J250" i="1"/>
  <c r="K209" i="1"/>
  <c r="J108" i="1"/>
  <c r="K247" i="1"/>
  <c r="J283" i="1"/>
  <c r="J384" i="1"/>
  <c r="J340" i="1"/>
  <c r="J134" i="1"/>
  <c r="G363" i="1"/>
  <c r="E67" i="1"/>
  <c r="J157" i="1"/>
  <c r="J336" i="1"/>
  <c r="N215" i="1"/>
  <c r="K322" i="1"/>
  <c r="AB304" i="1"/>
  <c r="J198" i="1"/>
  <c r="N337" i="1"/>
  <c r="K460" i="1"/>
  <c r="N57" i="1"/>
  <c r="J35" i="1"/>
  <c r="G253" i="1"/>
  <c r="J259" i="1"/>
  <c r="K210" i="1"/>
  <c r="G104" i="1"/>
  <c r="G447" i="1"/>
  <c r="J45" i="1"/>
  <c r="J235" i="1"/>
  <c r="E506" i="1"/>
  <c r="J373" i="1"/>
  <c r="E501" i="1"/>
  <c r="E228" i="1"/>
  <c r="G23" i="1"/>
  <c r="G230" i="1"/>
  <c r="N307" i="1"/>
  <c r="N432" i="1"/>
  <c r="J123" i="1"/>
  <c r="K465" i="1"/>
  <c r="J236" i="1"/>
  <c r="K136" i="1"/>
  <c r="J411" i="1"/>
  <c r="J512" i="1"/>
  <c r="J109" i="1"/>
  <c r="J119" i="1"/>
  <c r="G157" i="1"/>
  <c r="E149" i="1"/>
  <c r="G387" i="1"/>
  <c r="J290" i="1"/>
  <c r="E236" i="1"/>
  <c r="E73" i="1"/>
  <c r="E22" i="1"/>
  <c r="G194" i="1"/>
  <c r="N394" i="1"/>
  <c r="K160" i="1"/>
  <c r="K469" i="1"/>
  <c r="AB155" i="1"/>
  <c r="K199" i="1"/>
  <c r="AB261" i="1"/>
  <c r="AB440" i="1"/>
  <c r="AB183" i="1"/>
  <c r="J386" i="1"/>
  <c r="N159" i="1"/>
  <c r="K320" i="1"/>
  <c r="N424" i="1"/>
  <c r="K485" i="1"/>
  <c r="N420" i="1"/>
  <c r="K231" i="1"/>
  <c r="J79" i="1"/>
  <c r="K472" i="1"/>
  <c r="K385" i="1"/>
  <c r="N199" i="1"/>
  <c r="K99" i="1"/>
  <c r="AB507" i="1"/>
  <c r="K90" i="1"/>
  <c r="K403" i="1"/>
  <c r="K143" i="1"/>
  <c r="K233" i="1"/>
  <c r="J288" i="1"/>
  <c r="J449" i="1"/>
  <c r="E304" i="1"/>
  <c r="AB363" i="1"/>
  <c r="J75" i="1"/>
  <c r="J186" i="1"/>
  <c r="J43" i="1"/>
  <c r="J92" i="1"/>
  <c r="J252" i="1"/>
  <c r="E44" i="1"/>
  <c r="K296" i="1"/>
  <c r="K217" i="1"/>
  <c r="G147" i="1"/>
  <c r="G133" i="1"/>
  <c r="J509" i="1"/>
  <c r="K453" i="1"/>
  <c r="K315" i="1"/>
  <c r="J369" i="1"/>
  <c r="G478" i="1"/>
  <c r="G479" i="1"/>
  <c r="N435" i="1"/>
  <c r="J329" i="1"/>
  <c r="K400" i="1"/>
  <c r="J331" i="1"/>
  <c r="N301" i="1"/>
  <c r="J410" i="1"/>
  <c r="J64" i="1"/>
  <c r="J243" i="1"/>
  <c r="K176" i="1"/>
  <c r="G228" i="1"/>
  <c r="G381" i="1"/>
  <c r="J381" i="1"/>
  <c r="J346" i="1"/>
  <c r="G428" i="1"/>
  <c r="E280" i="1"/>
  <c r="E361" i="1"/>
  <c r="E129" i="1"/>
  <c r="E58" i="1"/>
  <c r="J96" i="1"/>
  <c r="K227" i="1"/>
  <c r="J126" i="1"/>
  <c r="K433" i="1"/>
  <c r="J343" i="1"/>
  <c r="K476" i="1"/>
  <c r="J514" i="1"/>
  <c r="K369" i="1"/>
  <c r="J196" i="1"/>
  <c r="G453" i="1"/>
  <c r="G117" i="1"/>
  <c r="J170" i="1"/>
  <c r="E108" i="1"/>
  <c r="G410" i="1"/>
  <c r="E196" i="1"/>
  <c r="E341" i="1"/>
  <c r="E226" i="1"/>
  <c r="E59" i="1"/>
  <c r="G82" i="1"/>
  <c r="E265" i="1"/>
  <c r="J286" i="1"/>
  <c r="E204" i="1"/>
  <c r="G141" i="1"/>
  <c r="E107" i="1"/>
  <c r="G154" i="1"/>
  <c r="G166" i="1"/>
  <c r="G315" i="1"/>
  <c r="E242" i="1"/>
  <c r="E210" i="1"/>
  <c r="E10" i="1"/>
  <c r="E454" i="1"/>
  <c r="J351" i="1"/>
  <c r="K432" i="1"/>
  <c r="E302" i="1"/>
  <c r="E36" i="1"/>
  <c r="E184" i="1"/>
  <c r="E257" i="1"/>
  <c r="E87" i="1"/>
  <c r="G111" i="1"/>
  <c r="E423" i="1"/>
  <c r="AB348" i="1"/>
  <c r="AB374" i="1"/>
  <c r="AB470" i="1"/>
  <c r="AB491" i="1"/>
  <c r="AB208" i="1"/>
  <c r="J471" i="1"/>
  <c r="N171" i="1"/>
  <c r="K292" i="1"/>
  <c r="K382" i="1"/>
  <c r="J430" i="1"/>
  <c r="K206" i="1"/>
  <c r="K224" i="1"/>
  <c r="AB221" i="1"/>
  <c r="K33" i="1"/>
  <c r="K314" i="1"/>
  <c r="N44" i="1"/>
  <c r="K165" i="1"/>
  <c r="AB134" i="1"/>
  <c r="K428" i="1"/>
  <c r="K429" i="1"/>
  <c r="K348" i="1"/>
  <c r="K83" i="1"/>
  <c r="J74" i="1"/>
  <c r="J148" i="1"/>
  <c r="G284" i="1"/>
  <c r="K31" i="1"/>
  <c r="J44" i="1"/>
  <c r="J212" i="1"/>
  <c r="J37" i="1"/>
  <c r="G323" i="1"/>
  <c r="N393" i="1"/>
  <c r="K281" i="1"/>
  <c r="N191" i="1"/>
  <c r="K67" i="1"/>
  <c r="E139" i="1"/>
  <c r="G27" i="1"/>
  <c r="G19" i="1"/>
  <c r="K445" i="1"/>
  <c r="J310" i="1"/>
  <c r="J99" i="1"/>
  <c r="G105" i="1"/>
  <c r="E459" i="1"/>
  <c r="K43" i="1"/>
  <c r="J251" i="1"/>
  <c r="K412" i="1"/>
  <c r="J300" i="1"/>
  <c r="K264" i="1"/>
  <c r="J475" i="1"/>
  <c r="J226" i="1"/>
  <c r="J357" i="1"/>
  <c r="J375" i="1"/>
  <c r="G48" i="1"/>
  <c r="G275" i="1"/>
  <c r="G324" i="1"/>
  <c r="J65" i="1"/>
  <c r="E117" i="1"/>
  <c r="E178" i="1"/>
  <c r="E102" i="1"/>
  <c r="E436" i="1"/>
  <c r="E372" i="1"/>
  <c r="G3" i="1"/>
  <c r="N379" i="1"/>
  <c r="K169" i="1"/>
  <c r="K344" i="1"/>
  <c r="AB396" i="1"/>
  <c r="K440" i="1"/>
  <c r="AB189" i="1"/>
  <c r="AB299" i="1"/>
  <c r="K208" i="1"/>
  <c r="K324" i="1"/>
  <c r="AB298" i="1"/>
  <c r="K464" i="1"/>
  <c r="AB483" i="1"/>
  <c r="J342" i="1"/>
  <c r="N504" i="1"/>
  <c r="AB258" i="1"/>
  <c r="N12" i="1"/>
  <c r="K343" i="1"/>
  <c r="K328" i="1"/>
  <c r="K467" i="1"/>
  <c r="K230" i="1"/>
  <c r="K183" i="1"/>
  <c r="K387" i="1"/>
  <c r="J443" i="1"/>
  <c r="J124" i="1"/>
  <c r="G510" i="1"/>
  <c r="G254" i="1"/>
  <c r="E229" i="1"/>
  <c r="K173" i="1"/>
  <c r="J98" i="1"/>
  <c r="G237" i="1"/>
  <c r="K338" i="1"/>
  <c r="K59" i="1"/>
  <c r="J241" i="1"/>
  <c r="G439" i="1"/>
  <c r="K309" i="1"/>
  <c r="J414" i="1"/>
  <c r="J405" i="1"/>
  <c r="G353" i="1"/>
  <c r="E494" i="1"/>
  <c r="J86" i="1"/>
  <c r="J21" i="1"/>
  <c r="G489" i="1"/>
  <c r="E132" i="1"/>
  <c r="G16" i="1"/>
  <c r="AB322" i="1"/>
  <c r="J348" i="1"/>
  <c r="K300" i="1"/>
  <c r="G451" i="1"/>
  <c r="K290" i="1"/>
  <c r="J444" i="1"/>
  <c r="J433" i="1"/>
  <c r="G366" i="1"/>
  <c r="J273" i="1"/>
  <c r="G507" i="1"/>
  <c r="E267" i="1"/>
  <c r="E13" i="1"/>
  <c r="J307" i="1"/>
  <c r="J438" i="1"/>
  <c r="E91" i="1"/>
  <c r="G14" i="1"/>
  <c r="E464" i="1"/>
  <c r="E14" i="1"/>
  <c r="N419" i="1"/>
  <c r="K65" i="1"/>
  <c r="J30" i="1"/>
  <c r="J453" i="1"/>
  <c r="J153" i="1"/>
  <c r="J398" i="1"/>
  <c r="J440" i="1"/>
  <c r="J230" i="1"/>
  <c r="J63" i="1"/>
  <c r="G93" i="1"/>
  <c r="E3" i="1"/>
  <c r="J149" i="1"/>
  <c r="J72" i="1"/>
  <c r="G7" i="1"/>
  <c r="G88" i="1"/>
  <c r="G393" i="1"/>
  <c r="E371" i="1"/>
  <c r="G188" i="1"/>
  <c r="E225" i="1"/>
  <c r="E27" i="1"/>
  <c r="J217" i="1"/>
  <c r="J200" i="1"/>
  <c r="G440" i="1"/>
  <c r="G122" i="1"/>
  <c r="E368" i="1"/>
  <c r="G334" i="1"/>
  <c r="E385" i="1"/>
  <c r="J491" i="1"/>
  <c r="E234" i="1"/>
  <c r="E467" i="1"/>
  <c r="E433" i="1"/>
  <c r="J239" i="1"/>
  <c r="G420" i="1"/>
  <c r="G375" i="1"/>
  <c r="N101" i="1"/>
  <c r="E262" i="1"/>
  <c r="J317" i="1"/>
  <c r="E209" i="1"/>
  <c r="G465" i="1"/>
  <c r="E241" i="1"/>
  <c r="E317" i="1"/>
  <c r="J218" i="1"/>
  <c r="G40" i="1"/>
  <c r="E162" i="1"/>
  <c r="E64" i="1"/>
  <c r="E508" i="1"/>
  <c r="G467" i="1"/>
  <c r="G192" i="1"/>
  <c r="E142" i="1"/>
  <c r="E379" i="1"/>
  <c r="E230" i="1"/>
  <c r="E417" i="1"/>
  <c r="K105" i="1"/>
  <c r="J321" i="1"/>
  <c r="E408" i="1"/>
  <c r="E165" i="1"/>
  <c r="K383" i="1"/>
  <c r="AB196" i="1"/>
  <c r="AB290" i="1"/>
  <c r="N166" i="1"/>
  <c r="N366" i="1"/>
  <c r="K234" i="1"/>
  <c r="N446" i="1"/>
  <c r="AB271" i="1"/>
  <c r="K417" i="1"/>
  <c r="AB250" i="1"/>
  <c r="AB292" i="1"/>
  <c r="N263" i="1"/>
  <c r="K478" i="1"/>
  <c r="N285" i="1"/>
  <c r="K352" i="1"/>
  <c r="K388" i="1"/>
  <c r="K449" i="1"/>
  <c r="N274" i="1"/>
  <c r="AB162" i="1"/>
  <c r="K450" i="1"/>
  <c r="J117" i="1"/>
  <c r="AB386" i="1"/>
  <c r="N3" i="1"/>
  <c r="J293" i="1"/>
  <c r="E441" i="1"/>
  <c r="N204" i="1"/>
  <c r="K280" i="1"/>
  <c r="K189" i="1"/>
  <c r="J208" i="1"/>
  <c r="J70" i="1"/>
  <c r="J450" i="1"/>
  <c r="G213" i="1"/>
  <c r="K47" i="1"/>
  <c r="J295" i="1"/>
  <c r="G183" i="1"/>
  <c r="G509" i="1"/>
  <c r="E89" i="1"/>
  <c r="N511" i="1"/>
  <c r="K374" i="1"/>
  <c r="G144" i="1"/>
  <c r="G282" i="1"/>
  <c r="J368" i="1"/>
  <c r="N223" i="1"/>
  <c r="N293" i="1"/>
  <c r="J390" i="1"/>
  <c r="K167" i="1"/>
  <c r="K277" i="1"/>
  <c r="N403" i="1"/>
  <c r="J163" i="1"/>
  <c r="G145" i="1"/>
  <c r="J133" i="1"/>
  <c r="K197" i="1"/>
  <c r="G74" i="1"/>
  <c r="G306" i="1"/>
  <c r="J493" i="1"/>
  <c r="J420" i="1"/>
  <c r="E397" i="1"/>
  <c r="J81" i="1"/>
  <c r="E120" i="1"/>
  <c r="E310" i="1"/>
  <c r="N287" i="1"/>
  <c r="K107" i="1"/>
  <c r="J24" i="1"/>
  <c r="N46" i="1"/>
  <c r="J90" i="1"/>
  <c r="J287" i="1"/>
  <c r="N15" i="1"/>
  <c r="AB152" i="1"/>
  <c r="N226" i="1"/>
  <c r="AB181" i="1"/>
  <c r="N31" i="1"/>
  <c r="AB367" i="1"/>
  <c r="K269" i="1"/>
  <c r="N343" i="1"/>
  <c r="K398" i="1"/>
  <c r="N336" i="1"/>
  <c r="K303" i="1"/>
  <c r="K182" i="1"/>
  <c r="K494" i="1"/>
  <c r="N161" i="1"/>
  <c r="AB501" i="1"/>
  <c r="N364" i="1"/>
  <c r="K439" i="1"/>
  <c r="N286" i="1"/>
  <c r="K215" i="1"/>
  <c r="J327" i="1"/>
  <c r="K381" i="1"/>
  <c r="J26" i="1"/>
  <c r="G419" i="1"/>
  <c r="E56" i="1"/>
  <c r="E75" i="1"/>
  <c r="J58" i="1"/>
  <c r="J219" i="1"/>
  <c r="G130" i="1"/>
  <c r="AB340" i="1"/>
  <c r="N487" i="1"/>
  <c r="G332" i="1"/>
  <c r="G336" i="1"/>
  <c r="K155" i="1"/>
  <c r="K426" i="1"/>
  <c r="J354" i="1"/>
  <c r="G174" i="1"/>
  <c r="G226" i="1"/>
  <c r="K514" i="1"/>
  <c r="K149" i="1"/>
  <c r="J387" i="1"/>
  <c r="J165" i="1"/>
  <c r="E159" i="1"/>
  <c r="J62" i="1"/>
  <c r="K124" i="1"/>
  <c r="J232" i="1"/>
  <c r="K323" i="1"/>
  <c r="J423" i="1"/>
  <c r="K91" i="1"/>
  <c r="AB387" i="1"/>
  <c r="E221" i="1"/>
  <c r="E62" i="1"/>
  <c r="J469" i="1"/>
  <c r="K392" i="1"/>
  <c r="G356" i="1"/>
  <c r="G374" i="1"/>
  <c r="G108" i="1"/>
  <c r="E500" i="1"/>
  <c r="G335" i="1"/>
  <c r="E336" i="1"/>
  <c r="E202" i="1"/>
  <c r="K79" i="1"/>
  <c r="K502" i="1"/>
  <c r="J315" i="1"/>
  <c r="K138" i="1"/>
  <c r="J364" i="1"/>
  <c r="K188" i="1"/>
  <c r="J261" i="1"/>
  <c r="J189" i="1"/>
  <c r="G131" i="1"/>
  <c r="J32" i="1"/>
  <c r="G49" i="1"/>
  <c r="G148" i="1"/>
  <c r="G245" i="1"/>
  <c r="J193" i="1"/>
  <c r="G187" i="1"/>
  <c r="E384" i="1"/>
  <c r="K74" i="1"/>
  <c r="E38" i="1"/>
  <c r="G219" i="1"/>
  <c r="G373" i="1"/>
  <c r="J334" i="1"/>
  <c r="G127" i="1"/>
  <c r="E269" i="1"/>
  <c r="G95" i="1"/>
  <c r="E443" i="1"/>
  <c r="J225" i="1"/>
  <c r="E376" i="1"/>
  <c r="G274" i="1"/>
  <c r="G480" i="1"/>
  <c r="E405" i="1"/>
  <c r="J152" i="1"/>
  <c r="G343" i="1"/>
  <c r="E232" i="1"/>
  <c r="E103" i="1"/>
  <c r="E307" i="1"/>
  <c r="E12" i="1"/>
  <c r="G109" i="1"/>
  <c r="E481" i="1"/>
  <c r="E457" i="1"/>
  <c r="E511" i="1"/>
  <c r="E453" i="1"/>
  <c r="N156" i="1"/>
  <c r="J455" i="1"/>
  <c r="E512" i="1"/>
  <c r="G115" i="1"/>
  <c r="E17" i="1"/>
  <c r="E80" i="1"/>
  <c r="E48" i="1"/>
  <c r="E150" i="1"/>
  <c r="E448" i="1"/>
  <c r="E253" i="1"/>
  <c r="K128" i="1"/>
  <c r="G132" i="1"/>
  <c r="J353" i="1"/>
  <c r="E30" i="1"/>
  <c r="N11" i="1"/>
  <c r="N454" i="1"/>
  <c r="AB222" i="1"/>
  <c r="N154" i="1"/>
  <c r="K118" i="1"/>
  <c r="N131" i="1"/>
  <c r="AB429" i="1"/>
  <c r="K366" i="1"/>
  <c r="N83" i="1"/>
  <c r="N355" i="1"/>
  <c r="K50" i="1"/>
  <c r="J457" i="1"/>
  <c r="N443" i="1"/>
  <c r="K101" i="1"/>
  <c r="N507" i="1"/>
  <c r="K503" i="1"/>
  <c r="K463" i="1"/>
  <c r="K140" i="1"/>
  <c r="AB137" i="1"/>
  <c r="K225" i="1"/>
  <c r="J492" i="1"/>
  <c r="G53" i="1"/>
  <c r="G137" i="1"/>
  <c r="J209" i="1"/>
  <c r="E495" i="1"/>
  <c r="N465" i="1"/>
  <c r="J367" i="1"/>
  <c r="E326" i="1"/>
  <c r="K104" i="1"/>
  <c r="K489" i="1"/>
  <c r="J42" i="1"/>
  <c r="J194" i="1"/>
  <c r="J151" i="1"/>
  <c r="J325" i="1"/>
  <c r="G106" i="1"/>
  <c r="E365" i="1"/>
  <c r="G63" i="1"/>
  <c r="J284" i="1"/>
  <c r="J380" i="1"/>
  <c r="G51" i="1"/>
  <c r="K475" i="1"/>
  <c r="N113" i="1"/>
  <c r="K41" i="1"/>
  <c r="J418" i="1"/>
  <c r="J89" i="1"/>
  <c r="J318" i="1"/>
  <c r="J376" i="1"/>
  <c r="J102" i="1"/>
  <c r="J446" i="1"/>
  <c r="G172" i="1"/>
  <c r="G434" i="1"/>
  <c r="J500" i="1"/>
  <c r="J439" i="1"/>
  <c r="G176" i="1"/>
  <c r="G197" i="1"/>
  <c r="G178" i="1"/>
  <c r="G504" i="1"/>
  <c r="E181" i="1"/>
  <c r="E392" i="1"/>
  <c r="E127" i="1"/>
  <c r="N23" i="1"/>
  <c r="K265" i="1"/>
  <c r="J412" i="1"/>
  <c r="K125" i="1"/>
  <c r="AB321" i="1"/>
  <c r="K418" i="1"/>
  <c r="J508" i="1"/>
  <c r="J66" i="1"/>
  <c r="E251" i="1"/>
  <c r="J401" i="1"/>
  <c r="G380" i="1"/>
  <c r="E468" i="1"/>
  <c r="G139" i="1"/>
  <c r="J435" i="1"/>
  <c r="J322" i="1"/>
  <c r="E437" i="1"/>
  <c r="E212" i="1"/>
  <c r="E19" i="1"/>
  <c r="E293" i="1"/>
  <c r="N317" i="1"/>
  <c r="J319" i="1"/>
  <c r="G493" i="1"/>
  <c r="G425" i="1"/>
  <c r="G326" i="1"/>
  <c r="G501" i="1"/>
  <c r="N14" i="1"/>
  <c r="AB124" i="1"/>
  <c r="N225" i="1"/>
  <c r="N383" i="1"/>
  <c r="K142" i="1"/>
  <c r="K394" i="1"/>
  <c r="E123" i="1"/>
  <c r="K75" i="1"/>
  <c r="K363" i="1"/>
  <c r="G66" i="1"/>
  <c r="J179" i="1"/>
  <c r="J279" i="1"/>
  <c r="J132" i="1"/>
  <c r="G290" i="1"/>
  <c r="E330" i="1"/>
  <c r="N201" i="1"/>
  <c r="J478" i="1"/>
  <c r="J297" i="1"/>
  <c r="J129" i="1"/>
  <c r="G422" i="1"/>
  <c r="J441" i="1"/>
  <c r="G78" i="1"/>
  <c r="E416" i="1"/>
  <c r="E199" i="1"/>
  <c r="J486" i="1"/>
  <c r="E263" i="1"/>
  <c r="E223" i="1"/>
  <c r="E69" i="1"/>
  <c r="E219" i="1"/>
  <c r="G92" i="1"/>
  <c r="J338" i="1"/>
  <c r="G98" i="1"/>
  <c r="E74" i="1"/>
  <c r="G29" i="1"/>
  <c r="G338" i="1"/>
  <c r="G382" i="1"/>
  <c r="G413" i="1"/>
  <c r="J91" i="1"/>
  <c r="J352" i="1"/>
  <c r="G101" i="1"/>
  <c r="E435" i="1"/>
  <c r="G140" i="1"/>
  <c r="J311" i="1"/>
  <c r="E286" i="1"/>
  <c r="G45" i="1"/>
  <c r="J60" i="1"/>
  <c r="G502" i="1"/>
  <c r="E121" i="1"/>
  <c r="E41" i="1"/>
  <c r="E60" i="1"/>
  <c r="E105" i="1"/>
  <c r="G68" i="1"/>
  <c r="E220" i="1"/>
  <c r="G37" i="1"/>
  <c r="E505" i="1"/>
  <c r="J85" i="1"/>
  <c r="E396" i="1"/>
  <c r="J277" i="1"/>
  <c r="E282" i="1"/>
  <c r="G288" i="1"/>
  <c r="K492" i="1"/>
  <c r="G454" i="1"/>
  <c r="E300" i="1"/>
  <c r="E200" i="1"/>
  <c r="G171" i="1"/>
  <c r="K198" i="1"/>
  <c r="J463" i="1"/>
  <c r="E382" i="1"/>
  <c r="E45" i="1"/>
  <c r="E110" i="1"/>
  <c r="E148" i="1"/>
  <c r="G402" i="1"/>
  <c r="K133" i="1"/>
  <c r="G168" i="1"/>
  <c r="E190" i="1"/>
  <c r="G278" i="1"/>
  <c r="E254" i="1"/>
  <c r="E270" i="1"/>
  <c r="E83" i="1"/>
  <c r="G204" i="1"/>
  <c r="E37" i="1"/>
  <c r="E46" i="1"/>
  <c r="E316" i="1"/>
  <c r="E18" i="1"/>
  <c r="E141" i="1"/>
  <c r="E124" i="1"/>
  <c r="G512" i="1"/>
  <c r="E2" i="1"/>
  <c r="G17" i="1"/>
  <c r="G430" i="1"/>
  <c r="E498" i="1"/>
  <c r="K148" i="1"/>
  <c r="G263" i="1"/>
  <c r="E472" i="1"/>
  <c r="E49" i="1"/>
  <c r="G302" i="1"/>
  <c r="E514" i="1"/>
  <c r="E362" i="1"/>
  <c r="G177" i="1"/>
  <c r="E350" i="1"/>
  <c r="G379" i="1"/>
  <c r="G498" i="1"/>
  <c r="E507" i="1"/>
  <c r="J39" i="1"/>
  <c r="E197" i="1"/>
  <c r="G429" i="1"/>
  <c r="E394" i="1"/>
  <c r="E451" i="1"/>
  <c r="E418" i="1"/>
  <c r="J33" i="1"/>
  <c r="G293" i="1"/>
  <c r="E138" i="1"/>
  <c r="G269" i="1"/>
  <c r="J332" i="1"/>
  <c r="E347" i="1"/>
  <c r="G170" i="1"/>
  <c r="E125" i="1"/>
  <c r="G200" i="1"/>
  <c r="E9" i="1"/>
  <c r="J339" i="1"/>
  <c r="E24" i="1"/>
  <c r="E115" i="1"/>
  <c r="G424" i="1"/>
  <c r="G205" i="1"/>
  <c r="E168" i="1"/>
  <c r="E299" i="1"/>
  <c r="E180" i="1"/>
  <c r="E167" i="1"/>
  <c r="E297" i="1"/>
  <c r="K56" i="1"/>
  <c r="J460" i="1"/>
  <c r="G264" i="1"/>
  <c r="G514" i="1"/>
  <c r="E290" i="1"/>
  <c r="E93" i="1"/>
  <c r="E29" i="1"/>
  <c r="J358" i="1"/>
  <c r="J407" i="1"/>
  <c r="G476" i="1"/>
  <c r="E482" i="1"/>
  <c r="E306" i="1"/>
  <c r="K497" i="1"/>
  <c r="E203" i="1"/>
  <c r="G468" i="1"/>
  <c r="K204" i="1"/>
  <c r="E185" i="1"/>
  <c r="E311" i="1"/>
  <c r="E412" i="1"/>
  <c r="G389" i="1"/>
  <c r="E42" i="1"/>
  <c r="N62" i="1"/>
  <c r="G255" i="1"/>
  <c r="G328" i="1"/>
  <c r="G62" i="1"/>
  <c r="K349" i="1"/>
  <c r="G469" i="1"/>
  <c r="G6" i="1"/>
  <c r="E179" i="1"/>
  <c r="G394" i="1"/>
  <c r="E352" i="1"/>
  <c r="E70" i="1"/>
  <c r="E370" i="1"/>
  <c r="J260" i="1"/>
  <c r="E375" i="1"/>
  <c r="AB453" i="1"/>
  <c r="G30" i="1"/>
  <c r="G398" i="1"/>
  <c r="N247" i="1"/>
  <c r="K401" i="1"/>
  <c r="G55" i="1"/>
  <c r="N448" i="1"/>
  <c r="K423" i="1"/>
  <c r="N392" i="1"/>
  <c r="N447" i="1"/>
  <c r="K44" i="1"/>
  <c r="N450" i="1"/>
  <c r="E287" i="1"/>
  <c r="K194" i="1"/>
  <c r="J104" i="1"/>
  <c r="E390" i="1"/>
  <c r="J52" i="1"/>
  <c r="J365" i="1"/>
  <c r="J341" i="1"/>
  <c r="J313" i="1"/>
  <c r="E327" i="1"/>
  <c r="K508" i="1"/>
  <c r="J296" i="1"/>
  <c r="J27" i="1"/>
  <c r="J371" i="1"/>
  <c r="G149" i="1"/>
  <c r="J140" i="1"/>
  <c r="G349" i="1"/>
  <c r="G475" i="1"/>
  <c r="E403" i="1"/>
  <c r="J504" i="1"/>
  <c r="J83" i="1"/>
  <c r="G416" i="1"/>
  <c r="E429" i="1"/>
  <c r="E489" i="1"/>
  <c r="E264" i="1"/>
  <c r="J361" i="1"/>
  <c r="E216" i="1"/>
  <c r="G267" i="1"/>
  <c r="G47" i="1"/>
  <c r="E383" i="1"/>
  <c r="E164" i="1"/>
  <c r="E411" i="1"/>
  <c r="J192" i="1"/>
  <c r="E157" i="1"/>
  <c r="E456" i="1"/>
  <c r="E356" i="1"/>
  <c r="G36" i="1"/>
  <c r="J173" i="1"/>
  <c r="E313" i="1"/>
  <c r="E206" i="1"/>
  <c r="J49" i="1"/>
  <c r="E25" i="1"/>
  <c r="G455" i="1"/>
  <c r="E183" i="1"/>
  <c r="G312" i="1"/>
  <c r="E82" i="1"/>
  <c r="G340" i="1"/>
  <c r="G499" i="1"/>
  <c r="E303" i="1"/>
  <c r="J34" i="1"/>
  <c r="J434" i="1"/>
  <c r="G240" i="1"/>
  <c r="G495" i="1"/>
  <c r="J97" i="1"/>
  <c r="E8" i="1"/>
  <c r="J292" i="1"/>
  <c r="G184" i="1"/>
  <c r="E252" i="1"/>
  <c r="E477" i="1"/>
  <c r="G372" i="1"/>
  <c r="J130" i="1"/>
  <c r="G300" i="1"/>
  <c r="E318" i="1"/>
  <c r="G138" i="1"/>
  <c r="G390" i="1"/>
  <c r="G38" i="1"/>
  <c r="E79" i="1"/>
  <c r="J237" i="1"/>
  <c r="G103" i="1"/>
  <c r="J136" i="1"/>
  <c r="E248" i="1"/>
  <c r="E250" i="1"/>
  <c r="G333" i="1"/>
  <c r="E6" i="1"/>
  <c r="G100" i="1"/>
  <c r="G13" i="1"/>
  <c r="E374" i="1"/>
  <c r="K293" i="1"/>
  <c r="J249" i="1"/>
  <c r="E410" i="1"/>
  <c r="E351" i="1"/>
  <c r="G481" i="1"/>
  <c r="J337" i="1"/>
  <c r="G466" i="1"/>
  <c r="E461" i="1"/>
  <c r="J496" i="1"/>
  <c r="E449" i="1"/>
  <c r="E40" i="1"/>
  <c r="E364" i="1"/>
  <c r="E189" i="1"/>
  <c r="E504" i="1"/>
  <c r="E301" i="1"/>
  <c r="G470" i="1"/>
  <c r="E235" i="1"/>
  <c r="G265" i="1"/>
  <c r="E305" i="1"/>
  <c r="G242" i="1"/>
  <c r="J211" i="1"/>
  <c r="G159" i="1"/>
  <c r="G446" i="1"/>
  <c r="E402" i="1"/>
  <c r="E422" i="1"/>
  <c r="G449" i="1"/>
  <c r="E113" i="1"/>
  <c r="G4" i="1"/>
  <c r="E272" i="1"/>
  <c r="E460" i="1"/>
  <c r="G404" i="1"/>
  <c r="N477" i="1"/>
  <c r="J143" i="1"/>
  <c r="K150" i="1"/>
  <c r="AB209" i="1"/>
  <c r="N473" i="1"/>
  <c r="AB180" i="1"/>
  <c r="AB195" i="1"/>
  <c r="J113" i="1"/>
  <c r="J472" i="1"/>
  <c r="J141" i="1"/>
  <c r="K236" i="1"/>
  <c r="K73" i="1"/>
  <c r="G39" i="1"/>
  <c r="K473" i="1"/>
  <c r="G110" i="1"/>
  <c r="G25" i="1"/>
  <c r="G431" i="1"/>
  <c r="AB117" i="1"/>
  <c r="J395" i="1"/>
  <c r="K304" i="1"/>
  <c r="G215" i="1"/>
  <c r="J142" i="1"/>
  <c r="E131" i="1"/>
  <c r="J269" i="1"/>
  <c r="J377" i="1"/>
  <c r="E424" i="1"/>
  <c r="G262" i="1"/>
  <c r="E137" i="1"/>
  <c r="J121" i="1"/>
  <c r="E426" i="1"/>
  <c r="G352" i="1"/>
  <c r="G342" i="1"/>
  <c r="J257" i="1"/>
  <c r="G401" i="1"/>
  <c r="G206" i="1"/>
  <c r="J247" i="1"/>
  <c r="J350" i="1"/>
  <c r="G357" i="1"/>
  <c r="E357" i="1"/>
  <c r="J499" i="1"/>
  <c r="E95" i="1"/>
  <c r="E166" i="1"/>
  <c r="E76" i="1"/>
  <c r="G351" i="1"/>
  <c r="G70" i="1"/>
  <c r="E109" i="1"/>
  <c r="E425" i="1"/>
  <c r="J160" i="1"/>
  <c r="E98" i="1"/>
  <c r="E513" i="1"/>
  <c r="E378" i="1"/>
  <c r="K458" i="1"/>
  <c r="G96" i="1"/>
  <c r="G486" i="1"/>
  <c r="E239" i="1"/>
  <c r="G452" i="1"/>
  <c r="N231" i="1"/>
  <c r="E452" i="1"/>
  <c r="J298" i="1"/>
  <c r="E473" i="1"/>
  <c r="G83" i="1"/>
  <c r="K459" i="1"/>
  <c r="G231" i="1"/>
  <c r="E359" i="1"/>
  <c r="E194" i="1"/>
  <c r="K332" i="1"/>
  <c r="G347" i="1"/>
  <c r="K120" i="1"/>
  <c r="E332" i="1"/>
  <c r="G94" i="1"/>
  <c r="E160" i="1"/>
  <c r="G150" i="1"/>
  <c r="G426" i="1"/>
  <c r="G294" i="1"/>
  <c r="K347" i="1"/>
  <c r="G143" i="1"/>
  <c r="J436" i="1"/>
  <c r="J204" i="1"/>
  <c r="E81" i="1"/>
  <c r="J465" i="1"/>
  <c r="E415" i="1"/>
  <c r="G256" i="1"/>
  <c r="E55" i="1"/>
  <c r="E321" i="1"/>
  <c r="G344" i="1"/>
  <c r="E133" i="1"/>
  <c r="E413" i="1"/>
  <c r="G473" i="1"/>
  <c r="G18" i="1"/>
  <c r="E502" i="1"/>
  <c r="E147" i="1"/>
  <c r="G239" i="1"/>
  <c r="J224" i="1"/>
  <c r="E279" i="1"/>
  <c r="G120" i="1"/>
  <c r="G246" i="1"/>
  <c r="G442" i="1"/>
  <c r="E466" i="1"/>
  <c r="G301" i="1"/>
  <c r="E400" i="1"/>
  <c r="E50" i="1"/>
  <c r="E439" i="1"/>
  <c r="E308" i="1"/>
  <c r="G399" i="1"/>
  <c r="E7" i="1"/>
  <c r="E334" i="1"/>
  <c r="G310" i="1"/>
  <c r="G60" i="1"/>
  <c r="G474" i="1"/>
  <c r="E440" i="1"/>
  <c r="G266" i="1"/>
  <c r="G283" i="1"/>
  <c r="E388" i="1"/>
  <c r="G151" i="1"/>
  <c r="G89" i="1"/>
  <c r="E238" i="1"/>
  <c r="J454" i="1"/>
  <c r="G223" i="1"/>
  <c r="E363" i="1"/>
  <c r="G318" i="1"/>
  <c r="E173" i="1"/>
  <c r="G32" i="1"/>
  <c r="E274" i="1"/>
  <c r="E26" i="1"/>
  <c r="E222" i="1"/>
  <c r="E122" i="1"/>
  <c r="G303" i="1"/>
  <c r="J55" i="1"/>
  <c r="E101" i="1"/>
  <c r="K48" i="1"/>
  <c r="J112" i="1"/>
  <c r="G179" i="1"/>
  <c r="E322" i="1"/>
  <c r="J76" i="1"/>
  <c r="G173" i="1"/>
  <c r="J187" i="1"/>
  <c r="J404" i="1"/>
  <c r="J111" i="1"/>
  <c r="J178" i="1"/>
  <c r="E78" i="1"/>
  <c r="E193" i="1"/>
  <c r="G376" i="1"/>
  <c r="N288" i="1"/>
  <c r="N439" i="1"/>
  <c r="N495" i="1"/>
  <c r="J46" i="1"/>
  <c r="K479" i="1"/>
  <c r="E333" i="1"/>
  <c r="K81" i="1"/>
  <c r="K339" i="1"/>
  <c r="J29" i="1"/>
  <c r="AB245" i="1"/>
  <c r="N81" i="1"/>
  <c r="J223" i="1"/>
  <c r="E492" i="1"/>
  <c r="N416" i="1"/>
  <c r="E444" i="1"/>
  <c r="K115" i="1"/>
  <c r="K416" i="1"/>
  <c r="K219" i="1"/>
  <c r="G291" i="1"/>
  <c r="J147" i="1"/>
  <c r="G277" i="1"/>
  <c r="G368" i="1"/>
  <c r="E11" i="1"/>
  <c r="E503" i="1"/>
  <c r="J445" i="1"/>
  <c r="G329" i="1"/>
  <c r="G107" i="1"/>
  <c r="G485" i="1"/>
  <c r="E134" i="1"/>
  <c r="E23" i="1"/>
  <c r="G443" i="1"/>
  <c r="J77" i="1"/>
  <c r="E323" i="1"/>
  <c r="E324" i="1"/>
  <c r="J308" i="1"/>
  <c r="G392" i="1"/>
  <c r="G503" i="1"/>
  <c r="K202" i="1"/>
  <c r="E177" i="1"/>
  <c r="K419" i="1"/>
  <c r="J363" i="1"/>
  <c r="G116" i="1"/>
  <c r="G199" i="1"/>
  <c r="G153" i="1"/>
  <c r="E237" i="1"/>
  <c r="G186" i="1"/>
  <c r="E367" i="1"/>
  <c r="J333" i="1"/>
  <c r="G161" i="1"/>
  <c r="J467" i="1"/>
  <c r="E345" i="1"/>
  <c r="E51" i="1"/>
  <c r="E32" i="1"/>
  <c r="E298" i="1"/>
  <c r="K393" i="1"/>
  <c r="J266" i="1"/>
  <c r="G124" i="1"/>
  <c r="E275" i="1"/>
  <c r="E245" i="1"/>
  <c r="G67" i="1"/>
  <c r="G235" i="1"/>
  <c r="E145" i="1"/>
  <c r="K220" i="1"/>
  <c r="G388" i="1"/>
  <c r="E469" i="1"/>
  <c r="E427" i="1"/>
  <c r="J451" i="1"/>
  <c r="G457" i="1"/>
  <c r="G201" i="1"/>
  <c r="G450" i="1"/>
  <c r="K266" i="1"/>
  <c r="J282" i="1"/>
  <c r="N40" i="1"/>
  <c r="K203" i="1"/>
  <c r="N133" i="1"/>
  <c r="N304" i="1"/>
  <c r="N25" i="1"/>
  <c r="G190" i="1"/>
  <c r="J513" i="1"/>
  <c r="G456" i="1"/>
  <c r="J176" i="1"/>
  <c r="K162" i="1"/>
  <c r="K51" i="1"/>
  <c r="J202" i="1"/>
  <c r="G196" i="1"/>
  <c r="G2" i="1"/>
  <c r="G52" i="1"/>
  <c r="J393" i="1"/>
  <c r="K364" i="1"/>
  <c r="J175" i="1"/>
  <c r="E373" i="1"/>
  <c r="G79" i="1"/>
  <c r="K60" i="1"/>
  <c r="E271" i="1"/>
  <c r="E325" i="1"/>
  <c r="E260" i="1"/>
  <c r="G298" i="1"/>
  <c r="E483" i="1"/>
  <c r="E463" i="1"/>
  <c r="E486" i="1"/>
  <c r="G406" i="1"/>
  <c r="E447" i="1"/>
  <c r="G441" i="1"/>
  <c r="G397" i="1"/>
  <c r="E478" i="1"/>
  <c r="E276" i="1"/>
  <c r="G270" i="1"/>
  <c r="E487" i="1"/>
  <c r="N313" i="1"/>
  <c r="G319" i="1"/>
  <c r="N60" i="1"/>
  <c r="G189" i="1"/>
  <c r="G511" i="1"/>
  <c r="E355" i="1"/>
  <c r="E143" i="1"/>
  <c r="G224" i="1"/>
  <c r="K39" i="1"/>
  <c r="G69" i="1"/>
  <c r="K52" i="1"/>
  <c r="E259" i="1"/>
  <c r="N183" i="1"/>
  <c r="G80" i="1"/>
  <c r="E54" i="1"/>
  <c r="E104" i="1"/>
  <c r="K468" i="1"/>
  <c r="G258" i="1"/>
  <c r="J53" i="1"/>
  <c r="N112" i="1"/>
  <c r="G345" i="1"/>
  <c r="G407" i="1"/>
  <c r="G114" i="1"/>
  <c r="G385" i="1"/>
  <c r="G337" i="1"/>
  <c r="E34" i="1"/>
  <c r="E119" i="1"/>
  <c r="G214" i="1"/>
  <c r="G436" i="1"/>
  <c r="K271" i="1"/>
  <c r="E277" i="1"/>
  <c r="J362" i="1"/>
  <c r="K359" i="1"/>
  <c r="E450" i="1"/>
  <c r="J255" i="1"/>
  <c r="N211" i="1"/>
  <c r="G164" i="1"/>
  <c r="E205" i="1"/>
  <c r="E343" i="1"/>
  <c r="G163" i="1"/>
  <c r="J480" i="1"/>
  <c r="G216" i="1"/>
  <c r="E294" i="1"/>
  <c r="G438" i="1"/>
  <c r="J264" i="1"/>
  <c r="G371" i="1"/>
  <c r="E266" i="1"/>
  <c r="G417" i="1"/>
  <c r="E100" i="1"/>
  <c r="J254" i="1"/>
  <c r="J421" i="1"/>
  <c r="E337" i="1"/>
  <c r="E153" i="1"/>
  <c r="E152" i="1"/>
  <c r="E295" i="1"/>
  <c r="E399" i="1"/>
  <c r="E186" i="1"/>
  <c r="G484" i="1"/>
  <c r="E438" i="1"/>
  <c r="E470" i="1"/>
  <c r="E442" i="1"/>
  <c r="J213" i="1"/>
  <c r="E92" i="1"/>
  <c r="E5" i="1"/>
  <c r="K146" i="1"/>
  <c r="G412" i="1"/>
  <c r="E480" i="1"/>
  <c r="E128" i="1"/>
  <c r="E312" i="1"/>
  <c r="E126" i="1"/>
  <c r="E314" i="1"/>
  <c r="G129" i="1"/>
  <c r="E33" i="1"/>
  <c r="N400" i="1"/>
  <c r="G281" i="1"/>
  <c r="J145" i="1"/>
  <c r="K241" i="1"/>
  <c r="G202" i="1"/>
  <c r="K405" i="1"/>
  <c r="J100" i="1"/>
  <c r="G492" i="1"/>
  <c r="E218" i="1"/>
  <c r="G405" i="1"/>
  <c r="J442" i="1"/>
  <c r="E57" i="1"/>
  <c r="G395" i="1"/>
  <c r="K240" i="1"/>
  <c r="E484" i="1"/>
  <c r="G42" i="1"/>
  <c r="G77" i="1"/>
  <c r="E161" i="1"/>
  <c r="G91" i="1"/>
  <c r="N63" i="1"/>
  <c r="G325" i="1"/>
  <c r="G243" i="1"/>
  <c r="E188" i="1"/>
  <c r="E28" i="1"/>
  <c r="E155" i="1"/>
  <c r="E273" i="1"/>
  <c r="E163" i="1"/>
  <c r="E509" i="1"/>
  <c r="G320" i="1"/>
  <c r="G57" i="1"/>
  <c r="E111" i="1"/>
  <c r="N155" i="1"/>
  <c r="G305" i="1"/>
  <c r="AB201" i="1"/>
  <c r="K112" i="1"/>
  <c r="G287" i="1"/>
  <c r="G322" i="1"/>
  <c r="AB255" i="1"/>
  <c r="N385" i="1"/>
  <c r="K172" i="1"/>
  <c r="K46" i="1"/>
  <c r="N322" i="1"/>
  <c r="G86" i="1"/>
  <c r="J320" i="1"/>
  <c r="J131" i="1"/>
  <c r="N405" i="1"/>
  <c r="N239" i="1"/>
  <c r="J370" i="1"/>
  <c r="J233" i="1"/>
  <c r="G408" i="1"/>
  <c r="G35" i="1"/>
  <c r="E170" i="1"/>
  <c r="N399" i="1"/>
  <c r="N13" i="1"/>
  <c r="J128" i="1"/>
  <c r="K273" i="1"/>
  <c r="G272" i="1"/>
  <c r="J191" i="1"/>
  <c r="G165" i="1"/>
  <c r="E354" i="1"/>
  <c r="J392" i="1"/>
  <c r="E77" i="1"/>
  <c r="G146" i="1"/>
  <c r="G295" i="1"/>
  <c r="K466" i="1"/>
  <c r="E278" i="1"/>
  <c r="K174" i="1"/>
  <c r="J474" i="1"/>
  <c r="E386" i="1"/>
  <c r="E233" i="1"/>
  <c r="G222" i="1"/>
  <c r="E485" i="1"/>
  <c r="E215" i="1"/>
  <c r="N22" i="1"/>
  <c r="J268" i="1"/>
  <c r="G505" i="1"/>
  <c r="G383" i="1"/>
  <c r="G377" i="1"/>
  <c r="E499" i="1"/>
  <c r="G244" i="1"/>
  <c r="G58" i="1"/>
  <c r="J379" i="1"/>
  <c r="G136" i="1"/>
  <c r="G99" i="1"/>
  <c r="G490" i="1"/>
  <c r="J61" i="1"/>
  <c r="G296" i="1"/>
  <c r="G257" i="1"/>
  <c r="G250" i="1"/>
  <c r="G44" i="1"/>
  <c r="E476" i="1"/>
  <c r="K253" i="1"/>
  <c r="E349" i="1"/>
  <c r="E401" i="1"/>
  <c r="G54" i="1"/>
  <c r="G56" i="1"/>
  <c r="E309" i="1"/>
  <c r="E421" i="1"/>
  <c r="J378" i="1"/>
  <c r="E479" i="1"/>
  <c r="E97" i="1"/>
  <c r="E446" i="1"/>
  <c r="J291" i="1"/>
  <c r="G433" i="1"/>
  <c r="G500" i="1"/>
  <c r="J498" i="1"/>
  <c r="G180" i="1"/>
  <c r="J101" i="1"/>
  <c r="K425" i="1"/>
  <c r="G508" i="1"/>
  <c r="E261" i="1"/>
  <c r="E86" i="1"/>
  <c r="G34" i="1"/>
  <c r="G331" i="1"/>
  <c r="E227" i="1"/>
  <c r="E136" i="1"/>
  <c r="E112" i="1"/>
  <c r="E214" i="1"/>
  <c r="E256" i="1"/>
  <c r="G234" i="1"/>
  <c r="G307" i="1"/>
  <c r="J36" i="1"/>
  <c r="G8" i="1"/>
  <c r="G220" i="1"/>
  <c r="E31" i="1"/>
  <c r="G391" i="1"/>
  <c r="G313" i="1"/>
  <c r="G229" i="1"/>
  <c r="G227" i="1"/>
  <c r="E15" i="1"/>
  <c r="E176" i="1"/>
  <c r="G121" i="1"/>
  <c r="G87" i="1"/>
  <c r="G119" i="1"/>
  <c r="E288" i="1"/>
  <c r="G64" i="1"/>
  <c r="E496" i="1"/>
  <c r="G314" i="1"/>
  <c r="E208" i="1"/>
  <c r="G330" i="1"/>
  <c r="E292" i="1"/>
  <c r="E72" i="1"/>
  <c r="E71" i="1"/>
  <c r="E510" i="1"/>
  <c r="G461" i="1"/>
  <c r="E207" i="1"/>
  <c r="AB257" i="1"/>
  <c r="J190" i="1"/>
  <c r="AB309" i="1"/>
  <c r="G61" i="1"/>
  <c r="K305" i="1"/>
  <c r="J432" i="1"/>
  <c r="E471" i="1"/>
  <c r="K93" i="1"/>
  <c r="J227" i="1"/>
  <c r="G427" i="1"/>
  <c r="E458" i="1"/>
  <c r="K193" i="1"/>
  <c r="G464" i="1"/>
  <c r="G76" i="1"/>
  <c r="E255" i="1"/>
  <c r="E420" i="1"/>
  <c r="K367" i="1"/>
  <c r="G31" i="1"/>
  <c r="G71" i="1"/>
  <c r="G12" i="1"/>
  <c r="E94" i="1"/>
  <c r="E52" i="1"/>
  <c r="G191" i="1"/>
  <c r="J275" i="1"/>
  <c r="E360" i="1"/>
  <c r="G155" i="1"/>
  <c r="E130" i="1"/>
  <c r="G268" i="1"/>
  <c r="G494" i="1"/>
  <c r="E377" i="1"/>
  <c r="E175" i="1"/>
  <c r="E339" i="1"/>
  <c r="AB329" i="1"/>
  <c r="K131" i="1"/>
  <c r="E358" i="1"/>
  <c r="G158" i="1"/>
  <c r="G11" i="1"/>
  <c r="G311" i="1"/>
  <c r="G360" i="1"/>
  <c r="K145" i="1"/>
  <c r="J459" i="1"/>
  <c r="J428" i="1"/>
  <c r="E348" i="1"/>
  <c r="E393" i="1"/>
  <c r="G118" i="1"/>
  <c r="G65" i="1"/>
  <c r="G97" i="1"/>
  <c r="G304" i="1"/>
  <c r="E455" i="1"/>
  <c r="G415" i="1"/>
  <c r="G232" i="1"/>
  <c r="G210" i="1"/>
  <c r="E114" i="1"/>
  <c r="G280" i="1"/>
  <c r="E66" i="1"/>
  <c r="E90" i="1"/>
  <c r="E488" i="1"/>
  <c r="G411" i="1"/>
  <c r="E430" i="1"/>
  <c r="J195" i="1"/>
  <c r="N426" i="1"/>
  <c r="G437" i="1"/>
  <c r="E224" i="1"/>
  <c r="E434" i="1"/>
  <c r="E258" i="1"/>
  <c r="J67" i="1"/>
  <c r="K330" i="1"/>
  <c r="E43" i="1"/>
  <c r="E338" i="1"/>
  <c r="G46" i="1"/>
  <c r="E169" i="1"/>
  <c r="G198" i="1"/>
  <c r="AB331" i="1"/>
  <c r="E344" i="1"/>
  <c r="E497" i="1"/>
  <c r="K76" i="1"/>
  <c r="G477" i="1"/>
  <c r="E414" i="1"/>
  <c r="E198" i="1"/>
  <c r="J360" i="1"/>
  <c r="E151" i="1"/>
  <c r="J107" i="1"/>
  <c r="E47" i="1"/>
  <c r="G251" i="1"/>
  <c r="E63" i="1"/>
  <c r="J228" i="1"/>
  <c r="E493" i="1"/>
  <c r="E88" i="1"/>
  <c r="G247" i="1"/>
  <c r="G207" i="1"/>
  <c r="E406" i="1"/>
  <c r="G386" i="1"/>
  <c r="E369" i="1"/>
  <c r="J429" i="1"/>
  <c r="E247" i="1"/>
  <c r="E99" i="1"/>
  <c r="G487" i="1"/>
  <c r="G348" i="1"/>
  <c r="G209" i="1"/>
  <c r="E319" i="1"/>
  <c r="J240" i="1"/>
  <c r="K243" i="1"/>
  <c r="E211" i="1"/>
  <c r="E329" i="1"/>
  <c r="E342" i="1"/>
  <c r="E432" i="1"/>
  <c r="E465" i="1"/>
  <c r="E407" i="1"/>
  <c r="E331" i="1"/>
  <c r="E320" i="1"/>
  <c r="E462" i="1"/>
  <c r="E490" i="1"/>
  <c r="E391" i="1"/>
  <c r="G50" i="1"/>
  <c r="G33" i="1"/>
  <c r="G26" i="1"/>
  <c r="G365" i="1"/>
  <c r="E135" i="1"/>
  <c r="M524" i="1" l="1"/>
  <c r="L524" i="1"/>
  <c r="M516" i="1"/>
  <c r="L516" i="1"/>
  <c r="O528" i="1"/>
  <c r="P528" i="1"/>
  <c r="O520" i="1"/>
  <c r="P520" i="1"/>
  <c r="M523" i="1"/>
  <c r="L523" i="1"/>
  <c r="M515" i="1"/>
  <c r="L515" i="1"/>
  <c r="M522" i="1"/>
  <c r="L522" i="1"/>
  <c r="O526" i="1"/>
  <c r="P526" i="1"/>
  <c r="O518" i="1"/>
  <c r="P518" i="1"/>
  <c r="O519" i="1"/>
  <c r="P519" i="1"/>
  <c r="M529" i="1"/>
  <c r="L529" i="1"/>
  <c r="M521" i="1"/>
  <c r="L521" i="1"/>
  <c r="O525" i="1"/>
  <c r="P525" i="1"/>
  <c r="O517" i="1"/>
  <c r="P517" i="1"/>
  <c r="O527" i="1"/>
  <c r="P527" i="1"/>
  <c r="M528" i="1"/>
  <c r="L528" i="1"/>
  <c r="M520" i="1"/>
  <c r="L520" i="1"/>
  <c r="O524" i="1"/>
  <c r="P524" i="1"/>
  <c r="O516" i="1"/>
  <c r="P516" i="1"/>
  <c r="M527" i="1"/>
  <c r="L527" i="1"/>
  <c r="M519" i="1"/>
  <c r="L519" i="1"/>
  <c r="O523" i="1"/>
  <c r="P523" i="1"/>
  <c r="O515" i="1"/>
  <c r="P515" i="1"/>
  <c r="M526" i="1"/>
  <c r="L526" i="1"/>
  <c r="M518" i="1"/>
  <c r="L518" i="1"/>
  <c r="O522" i="1"/>
  <c r="P522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M525" i="1"/>
  <c r="L525" i="1"/>
  <c r="M517" i="1"/>
  <c r="L517" i="1"/>
  <c r="O529" i="1"/>
  <c r="P529" i="1"/>
  <c r="O521" i="1"/>
  <c r="P521" i="1"/>
  <c r="Y28" i="1"/>
  <c r="Y27" i="1"/>
  <c r="M36" i="1"/>
  <c r="L36" i="1"/>
  <c r="M498" i="1"/>
  <c r="L498" i="1"/>
  <c r="M379" i="1"/>
  <c r="L379" i="1"/>
  <c r="O22" i="1"/>
  <c r="P22" i="1"/>
  <c r="L191" i="1"/>
  <c r="M191" i="1"/>
  <c r="M421" i="1"/>
  <c r="L421" i="1"/>
  <c r="M255" i="1"/>
  <c r="L255" i="1"/>
  <c r="M53" i="1"/>
  <c r="L53" i="1"/>
  <c r="O60" i="1"/>
  <c r="P60" i="1"/>
  <c r="M513" i="1"/>
  <c r="L513" i="1"/>
  <c r="M454" i="1"/>
  <c r="L454" i="1"/>
  <c r="M224" i="1"/>
  <c r="L224" i="1"/>
  <c r="L436" i="1"/>
  <c r="M436" i="1"/>
  <c r="L350" i="1"/>
  <c r="M350" i="1"/>
  <c r="M121" i="1"/>
  <c r="L121" i="1"/>
  <c r="P473" i="1"/>
  <c r="O473" i="1"/>
  <c r="M49" i="1"/>
  <c r="L49" i="1"/>
  <c r="L192" i="1"/>
  <c r="M192" i="1"/>
  <c r="L313" i="1"/>
  <c r="M313" i="1"/>
  <c r="P450" i="1"/>
  <c r="O450" i="1"/>
  <c r="O247" i="1"/>
  <c r="P247" i="1"/>
  <c r="M339" i="1"/>
  <c r="L339" i="1"/>
  <c r="M39" i="1"/>
  <c r="L39" i="1"/>
  <c r="F75" i="1"/>
  <c r="F201" i="1"/>
  <c r="F29" i="1"/>
  <c r="F432" i="1"/>
  <c r="F436" i="1"/>
  <c r="F429" i="1"/>
  <c r="F375" i="1"/>
  <c r="F5" i="1"/>
  <c r="F339" i="1"/>
  <c r="F246" i="1"/>
  <c r="F92" i="1"/>
  <c r="F25" i="1"/>
  <c r="F67" i="1"/>
  <c r="F131" i="1"/>
  <c r="F422" i="1"/>
  <c r="F12" i="1"/>
  <c r="F118" i="1"/>
  <c r="F355" i="1"/>
  <c r="F480" i="1"/>
  <c r="F99" i="1"/>
  <c r="F257" i="1"/>
  <c r="F206" i="1"/>
  <c r="F266" i="1"/>
  <c r="F239" i="1"/>
  <c r="F79" i="1"/>
  <c r="F403" i="1"/>
  <c r="F177" i="1"/>
  <c r="F365" i="1"/>
  <c r="F451" i="1"/>
  <c r="F255" i="1"/>
  <c r="F254" i="1"/>
  <c r="F260" i="1"/>
  <c r="F334" i="1"/>
  <c r="F259" i="1"/>
  <c r="F330" i="1"/>
  <c r="F338" i="1"/>
  <c r="F72" i="1"/>
  <c r="F107" i="1"/>
  <c r="F175" i="1"/>
  <c r="F388" i="1"/>
  <c r="F36" i="1"/>
  <c r="F115" i="1"/>
  <c r="F105" i="1"/>
  <c r="F512" i="1"/>
  <c r="F145" i="1"/>
  <c r="F272" i="1"/>
  <c r="F449" i="1"/>
  <c r="F354" i="1"/>
  <c r="F164" i="1"/>
  <c r="F43" i="1"/>
  <c r="F402" i="1"/>
  <c r="F252" i="1"/>
  <c r="F398" i="1"/>
  <c r="F463" i="1"/>
  <c r="F28" i="1"/>
  <c r="F60" i="1"/>
  <c r="F33" i="1"/>
  <c r="F41" i="1"/>
  <c r="F236" i="1"/>
  <c r="F310" i="1"/>
  <c r="F458" i="1"/>
  <c r="F420" i="1"/>
  <c r="F158" i="1"/>
  <c r="F318" i="1"/>
  <c r="F104" i="1"/>
  <c r="F130" i="1"/>
  <c r="F191" i="1"/>
  <c r="F283" i="1"/>
  <c r="F331" i="1"/>
  <c r="F51" i="1"/>
  <c r="F174" i="1"/>
  <c r="F232" i="1"/>
  <c r="F337" i="1"/>
  <c r="F53" i="1"/>
  <c r="F324" i="1"/>
  <c r="F279" i="1"/>
  <c r="F348" i="1"/>
  <c r="F489" i="1"/>
  <c r="F456" i="1"/>
  <c r="F473" i="1"/>
  <c r="F502" i="1"/>
  <c r="F280" i="1"/>
  <c r="F278" i="1"/>
  <c r="F31" i="1"/>
  <c r="F134" i="1"/>
  <c r="F103" i="1"/>
  <c r="F139" i="1"/>
  <c r="F214" i="1"/>
  <c r="F421" i="1"/>
  <c r="F486" i="1"/>
  <c r="F341" i="1"/>
  <c r="F509" i="1"/>
  <c r="F126" i="1"/>
  <c r="F240" i="1"/>
  <c r="F80" i="1"/>
  <c r="F299" i="1"/>
  <c r="F462" i="1"/>
  <c r="F492" i="1"/>
  <c r="F269" i="1"/>
  <c r="F45" i="1"/>
  <c r="F294" i="1"/>
  <c r="F268" i="1"/>
  <c r="F113" i="1"/>
  <c r="F204" i="1"/>
  <c r="F9" i="1"/>
  <c r="F58" i="1"/>
  <c r="F317" i="1"/>
  <c r="F192" i="1"/>
  <c r="F76" i="1"/>
  <c r="F253" i="1"/>
  <c r="F380" i="1"/>
  <c r="F374" i="1"/>
  <c r="F187" i="1"/>
  <c r="F223" i="1"/>
  <c r="F16" i="1"/>
  <c r="F132" i="1"/>
  <c r="F362" i="1"/>
  <c r="F196" i="1"/>
  <c r="F225" i="1"/>
  <c r="F137" i="1"/>
  <c r="F250" i="1"/>
  <c r="F491" i="1"/>
  <c r="F481" i="1"/>
  <c r="F405" i="1"/>
  <c r="F98" i="1"/>
  <c r="F112" i="1"/>
  <c r="F353" i="1"/>
  <c r="F165" i="1"/>
  <c r="F63" i="1"/>
  <c r="F415" i="1"/>
  <c r="F323" i="1"/>
  <c r="F435" i="1"/>
  <c r="F194" i="1"/>
  <c r="F321" i="1"/>
  <c r="F377" i="1"/>
  <c r="F182" i="1"/>
  <c r="F142" i="1"/>
  <c r="F121" i="1"/>
  <c r="F54" i="1"/>
  <c r="F124" i="1"/>
  <c r="F368" i="1"/>
  <c r="F483" i="1"/>
  <c r="F369" i="1"/>
  <c r="F289" i="1"/>
  <c r="F303" i="1"/>
  <c r="F69" i="1"/>
  <c r="F514" i="1"/>
  <c r="F419" i="1"/>
  <c r="F219" i="1"/>
  <c r="F153" i="1"/>
  <c r="F21" i="1"/>
  <c r="F476" i="1"/>
  <c r="F111" i="1"/>
  <c r="F73" i="1"/>
  <c r="F503" i="1"/>
  <c r="F271" i="1"/>
  <c r="F499" i="1"/>
  <c r="F116" i="1"/>
  <c r="F320" i="1"/>
  <c r="F68" i="1"/>
  <c r="F457" i="1"/>
  <c r="F6" i="1"/>
  <c r="F35" i="1"/>
  <c r="F428" i="1"/>
  <c r="F426" i="1"/>
  <c r="F189" i="1"/>
  <c r="F179" i="1"/>
  <c r="F211" i="1"/>
  <c r="F493" i="1"/>
  <c r="F513" i="1"/>
  <c r="F215" i="1"/>
  <c r="F329" i="1"/>
  <c r="F231" i="1"/>
  <c r="F247" i="1"/>
  <c r="F325" i="1"/>
  <c r="F83" i="1"/>
  <c r="F416" i="1"/>
  <c r="F265" i="1"/>
  <c r="F245" i="1"/>
  <c r="F198" i="1"/>
  <c r="F285" i="1"/>
  <c r="F373" i="1"/>
  <c r="F208" i="1"/>
  <c r="F418" i="1"/>
  <c r="F96" i="1"/>
  <c r="F427" i="1"/>
  <c r="F30" i="1"/>
  <c r="F123" i="1"/>
  <c r="F409" i="1"/>
  <c r="F407" i="1"/>
  <c r="F178" i="1"/>
  <c r="F248" i="1"/>
  <c r="F37" i="1"/>
  <c r="F396" i="1"/>
  <c r="F218" i="1"/>
  <c r="F149" i="1"/>
  <c r="F475" i="1"/>
  <c r="F439" i="1"/>
  <c r="F490" i="1"/>
  <c r="F154" i="1"/>
  <c r="F148" i="1"/>
  <c r="F487" i="1"/>
  <c r="F386" i="1"/>
  <c r="F507" i="1"/>
  <c r="F109" i="1"/>
  <c r="F169" i="1"/>
  <c r="F437" i="1"/>
  <c r="F455" i="1"/>
  <c r="F203" i="1"/>
  <c r="F81" i="1"/>
  <c r="F184" i="1"/>
  <c r="F364" i="1"/>
  <c r="F504" i="1"/>
  <c r="F32" i="1"/>
  <c r="F197" i="1"/>
  <c r="F293" i="1"/>
  <c r="F263" i="1"/>
  <c r="F224" i="1"/>
  <c r="F453" i="1"/>
  <c r="F389" i="1"/>
  <c r="F185" i="1"/>
  <c r="F448" i="1"/>
  <c r="F508" i="1"/>
  <c r="F478" i="1"/>
  <c r="F106" i="1"/>
  <c r="F470" i="1"/>
  <c r="F438" i="1"/>
  <c r="F4" i="1"/>
  <c r="F167" i="1"/>
  <c r="F312" i="1"/>
  <c r="F424" i="1"/>
  <c r="F108" i="1"/>
  <c r="F333" i="1"/>
  <c r="F319" i="1"/>
  <c r="F383" i="1"/>
  <c r="F316" i="1"/>
  <c r="F371" i="1"/>
  <c r="F146" i="1"/>
  <c r="F332" i="1"/>
  <c r="F309" i="1"/>
  <c r="F2" i="1"/>
  <c r="F55" i="1"/>
  <c r="F410" i="1"/>
  <c r="F46" i="1"/>
  <c r="F89" i="1"/>
  <c r="F24" i="1"/>
  <c r="F267" i="1"/>
  <c r="F359" i="1"/>
  <c r="F302" i="1"/>
  <c r="F394" i="1"/>
  <c r="F249" i="1"/>
  <c r="F230" i="1"/>
  <c r="F413" i="1"/>
  <c r="F505" i="1"/>
  <c r="F242" i="1"/>
  <c r="F61" i="1"/>
  <c r="F155" i="1"/>
  <c r="F342" i="1"/>
  <c r="F56" i="1"/>
  <c r="F237" i="1"/>
  <c r="F474" i="1"/>
  <c r="F229" i="1"/>
  <c r="F382" i="1"/>
  <c r="F94" i="1"/>
  <c r="F372" i="1"/>
  <c r="F3" i="1"/>
  <c r="F274" i="1"/>
  <c r="F417" i="1"/>
  <c r="F497" i="1"/>
  <c r="F400" i="1"/>
  <c r="F445" i="1"/>
  <c r="F308" i="1"/>
  <c r="F347" i="1"/>
  <c r="F434" i="1"/>
  <c r="F256" i="1"/>
  <c r="F406" i="1"/>
  <c r="F222" i="1"/>
  <c r="F34" i="1"/>
  <c r="F315" i="1"/>
  <c r="F304" i="1"/>
  <c r="F166" i="1"/>
  <c r="F488" i="1"/>
  <c r="F151" i="1"/>
  <c r="F397" i="1"/>
  <c r="F399" i="1"/>
  <c r="F23" i="1"/>
  <c r="F86" i="1"/>
  <c r="F352" i="1"/>
  <c r="F38" i="1"/>
  <c r="F135" i="1"/>
  <c r="F311" i="1"/>
  <c r="F277" i="1"/>
  <c r="F27" i="1"/>
  <c r="F363" i="1"/>
  <c r="F220" i="1"/>
  <c r="F471" i="1"/>
  <c r="F270" i="1"/>
  <c r="F8" i="1"/>
  <c r="F95" i="1"/>
  <c r="F90" i="1"/>
  <c r="F387" i="1"/>
  <c r="F244" i="1"/>
  <c r="F181" i="1"/>
  <c r="F344" i="1"/>
  <c r="F183" i="1"/>
  <c r="F286" i="1"/>
  <c r="F501" i="1"/>
  <c r="F42" i="1"/>
  <c r="F441" i="1"/>
  <c r="F101" i="1"/>
  <c r="F173" i="1"/>
  <c r="F454" i="1"/>
  <c r="F494" i="1"/>
  <c r="F446" i="1"/>
  <c r="F469" i="1"/>
  <c r="F384" i="1"/>
  <c r="F241" i="1"/>
  <c r="F442" i="1"/>
  <c r="F430" i="1"/>
  <c r="F162" i="1"/>
  <c r="F18" i="1"/>
  <c r="F205" i="1"/>
  <c r="F77" i="1"/>
  <c r="F262" i="1"/>
  <c r="F120" i="1"/>
  <c r="F163" i="1"/>
  <c r="F235" i="1"/>
  <c r="F114" i="1"/>
  <c r="F443" i="1"/>
  <c r="F313" i="1"/>
  <c r="F301" i="1"/>
  <c r="F40" i="1"/>
  <c r="F335" i="1"/>
  <c r="F408" i="1"/>
  <c r="F305" i="1"/>
  <c r="F295" i="1"/>
  <c r="F468" i="1"/>
  <c r="F367" i="1"/>
  <c r="F207" i="1"/>
  <c r="F156" i="1"/>
  <c r="F44" i="1"/>
  <c r="F298" i="1"/>
  <c r="F345" i="1"/>
  <c r="F93" i="1"/>
  <c r="F349" i="1"/>
  <c r="F510" i="1"/>
  <c r="F228" i="1"/>
  <c r="F440" i="1"/>
  <c r="F284" i="1"/>
  <c r="F401" i="1"/>
  <c r="F322" i="1"/>
  <c r="F152" i="1"/>
  <c r="F168" i="1"/>
  <c r="F234" i="1"/>
  <c r="F370" i="1"/>
  <c r="F119" i="1"/>
  <c r="F117" i="1"/>
  <c r="F287" i="1"/>
  <c r="F498" i="1"/>
  <c r="F102" i="1"/>
  <c r="F466" i="1"/>
  <c r="F110" i="1"/>
  <c r="F199" i="1"/>
  <c r="F392" i="1"/>
  <c r="F22" i="1"/>
  <c r="F87" i="1"/>
  <c r="F273" i="1"/>
  <c r="F200" i="1"/>
  <c r="F391" i="1"/>
  <c r="F39" i="1"/>
  <c r="F261" i="1"/>
  <c r="F157" i="1"/>
  <c r="F328" i="1"/>
  <c r="F472" i="1"/>
  <c r="F447" i="1"/>
  <c r="F414" i="1"/>
  <c r="F366" i="1"/>
  <c r="F292" i="1"/>
  <c r="F336" i="1"/>
  <c r="F147" i="1"/>
  <c r="F291" i="1"/>
  <c r="F195" i="1"/>
  <c r="F511" i="1"/>
  <c r="F495" i="1"/>
  <c r="F297" i="1"/>
  <c r="F346" i="1"/>
  <c r="F129" i="1"/>
  <c r="F264" i="1"/>
  <c r="F461" i="1"/>
  <c r="F171" i="1"/>
  <c r="F85" i="1"/>
  <c r="F404" i="1"/>
  <c r="F57" i="1"/>
  <c r="F251" i="1"/>
  <c r="F144" i="1"/>
  <c r="F19" i="1"/>
  <c r="F343" i="1"/>
  <c r="F467" i="1"/>
  <c r="F243" i="1"/>
  <c r="F213" i="1"/>
  <c r="F431" i="1"/>
  <c r="F506" i="1"/>
  <c r="F216" i="1"/>
  <c r="F340" i="1"/>
  <c r="F52" i="1"/>
  <c r="F306" i="1"/>
  <c r="F26" i="1"/>
  <c r="F59" i="1"/>
  <c r="F217" i="1"/>
  <c r="F258" i="1"/>
  <c r="F188" i="1"/>
  <c r="F358" i="1"/>
  <c r="F15" i="1"/>
  <c r="F376" i="1"/>
  <c r="F357" i="1"/>
  <c r="F385" i="1"/>
  <c r="F459" i="1"/>
  <c r="F186" i="1"/>
  <c r="F14" i="1"/>
  <c r="F393" i="1"/>
  <c r="F161" i="1"/>
  <c r="F460" i="1"/>
  <c r="F452" i="1"/>
  <c r="F47" i="1"/>
  <c r="F395" i="1"/>
  <c r="F238" i="1"/>
  <c r="F288" i="1"/>
  <c r="F233" i="1"/>
  <c r="F360" i="1"/>
  <c r="F140" i="1"/>
  <c r="F65" i="1"/>
  <c r="F78" i="1"/>
  <c r="F464" i="1"/>
  <c r="F88" i="1"/>
  <c r="F361" i="1"/>
  <c r="F450" i="1"/>
  <c r="F425" i="1"/>
  <c r="F20" i="1"/>
  <c r="F275" i="1"/>
  <c r="F411" i="1"/>
  <c r="F133" i="1"/>
  <c r="F190" i="1"/>
  <c r="F496" i="1"/>
  <c r="F91" i="1"/>
  <c r="F300" i="1"/>
  <c r="F138" i="1"/>
  <c r="F84" i="1"/>
  <c r="F50" i="1"/>
  <c r="F172" i="1"/>
  <c r="F176" i="1"/>
  <c r="F48" i="1"/>
  <c r="F74" i="1"/>
  <c r="F412" i="1"/>
  <c r="F281" i="1"/>
  <c r="F127" i="1"/>
  <c r="F49" i="1"/>
  <c r="F326" i="1"/>
  <c r="F62" i="1"/>
  <c r="F484" i="1"/>
  <c r="F141" i="1"/>
  <c r="F82" i="1"/>
  <c r="F180" i="1"/>
  <c r="F70" i="1"/>
  <c r="F351" i="1"/>
  <c r="F221" i="1"/>
  <c r="F227" i="1"/>
  <c r="F11" i="1"/>
  <c r="F276" i="1"/>
  <c r="F390" i="1"/>
  <c r="F444" i="1"/>
  <c r="F296" i="1"/>
  <c r="F128" i="1"/>
  <c r="F477" i="1"/>
  <c r="F122" i="1"/>
  <c r="F482" i="1"/>
  <c r="F170" i="1"/>
  <c r="F71" i="1"/>
  <c r="F97" i="1"/>
  <c r="F193" i="1"/>
  <c r="F150" i="1"/>
  <c r="F160" i="1"/>
  <c r="F17" i="1"/>
  <c r="F210" i="1"/>
  <c r="F327" i="1"/>
  <c r="F13" i="1"/>
  <c r="F64" i="1"/>
  <c r="F226" i="1"/>
  <c r="F356" i="1"/>
  <c r="F500" i="1"/>
  <c r="F423" i="1"/>
  <c r="F290" i="1"/>
  <c r="F202" i="1"/>
  <c r="F212" i="1"/>
  <c r="F485" i="1"/>
  <c r="F7" i="1"/>
  <c r="F159" i="1"/>
  <c r="F378" i="1"/>
  <c r="F143" i="1"/>
  <c r="F282" i="1"/>
  <c r="F10" i="1"/>
  <c r="F433" i="1"/>
  <c r="F307" i="1"/>
  <c r="F379" i="1"/>
  <c r="F125" i="1"/>
  <c r="F350" i="1"/>
  <c r="F465" i="1"/>
  <c r="F381" i="1"/>
  <c r="F209" i="1"/>
  <c r="F136" i="1"/>
  <c r="F479" i="1"/>
  <c r="F66" i="1"/>
  <c r="F100" i="1"/>
  <c r="F314" i="1"/>
  <c r="L85" i="1"/>
  <c r="M85" i="1"/>
  <c r="O201" i="1"/>
  <c r="P201" i="1"/>
  <c r="P23" i="1"/>
  <c r="O23" i="1"/>
  <c r="M439" i="1"/>
  <c r="L439" i="1"/>
  <c r="L89" i="1"/>
  <c r="M89" i="1"/>
  <c r="M492" i="1"/>
  <c r="L492" i="1"/>
  <c r="O443" i="1"/>
  <c r="P443" i="1"/>
  <c r="L387" i="1"/>
  <c r="M387" i="1"/>
  <c r="P364" i="1"/>
  <c r="O364" i="1"/>
  <c r="P343" i="1"/>
  <c r="O343" i="1"/>
  <c r="L287" i="1"/>
  <c r="M287" i="1"/>
  <c r="M81" i="1"/>
  <c r="L81" i="1"/>
  <c r="M368" i="1"/>
  <c r="L368" i="1"/>
  <c r="L295" i="1"/>
  <c r="M295" i="1"/>
  <c r="P204" i="1"/>
  <c r="O204" i="1"/>
  <c r="P274" i="1"/>
  <c r="O274" i="1"/>
  <c r="M218" i="1"/>
  <c r="L218" i="1"/>
  <c r="L86" i="1"/>
  <c r="M86" i="1"/>
  <c r="M124" i="1"/>
  <c r="L124" i="1"/>
  <c r="P12" i="1"/>
  <c r="O12" i="1"/>
  <c r="L37" i="1"/>
  <c r="M37" i="1"/>
  <c r="L286" i="1"/>
  <c r="M286" i="1"/>
  <c r="L343" i="1"/>
  <c r="M343" i="1"/>
  <c r="M64" i="1"/>
  <c r="L64" i="1"/>
  <c r="O424" i="1"/>
  <c r="P424" i="1"/>
  <c r="M290" i="1"/>
  <c r="L290" i="1"/>
  <c r="M340" i="1"/>
  <c r="L340" i="1"/>
  <c r="M482" i="1"/>
  <c r="L482" i="1"/>
  <c r="L473" i="1"/>
  <c r="M473" i="1"/>
  <c r="P376" i="1"/>
  <c r="O376" i="1"/>
  <c r="O335" i="1"/>
  <c r="P335" i="1"/>
  <c r="P374" i="1"/>
  <c r="O374" i="1"/>
  <c r="O421" i="1"/>
  <c r="P421" i="1"/>
  <c r="O269" i="1"/>
  <c r="P269" i="1"/>
  <c r="P43" i="1"/>
  <c r="O43" i="1"/>
  <c r="O19" i="1"/>
  <c r="P19" i="1"/>
  <c r="P189" i="1"/>
  <c r="O189" i="1"/>
  <c r="L270" i="1"/>
  <c r="M270" i="1"/>
  <c r="P406" i="1"/>
  <c r="O406" i="1"/>
  <c r="M220" i="1"/>
  <c r="L220" i="1"/>
  <c r="L50" i="1"/>
  <c r="M50" i="1"/>
  <c r="O414" i="1"/>
  <c r="P414" i="1"/>
  <c r="L120" i="1"/>
  <c r="M120" i="1"/>
  <c r="P481" i="1"/>
  <c r="O481" i="1"/>
  <c r="P278" i="1"/>
  <c r="O278" i="1"/>
  <c r="O42" i="1"/>
  <c r="P42" i="1"/>
  <c r="O391" i="1"/>
  <c r="P391" i="1"/>
  <c r="P47" i="1"/>
  <c r="O47" i="1"/>
  <c r="O469" i="1"/>
  <c r="P469" i="1"/>
  <c r="P346" i="1"/>
  <c r="O346" i="1"/>
  <c r="L169" i="1"/>
  <c r="M169" i="1"/>
  <c r="L164" i="1"/>
  <c r="M164" i="1"/>
  <c r="L328" i="1"/>
  <c r="M328" i="1"/>
  <c r="M281" i="1"/>
  <c r="L281" i="1"/>
  <c r="P491" i="1"/>
  <c r="O491" i="1"/>
  <c r="P373" i="1"/>
  <c r="O373" i="1"/>
  <c r="O497" i="1"/>
  <c r="P497" i="1"/>
  <c r="O431" i="1"/>
  <c r="P431" i="1"/>
  <c r="M299" i="1"/>
  <c r="L299" i="1"/>
  <c r="L203" i="1"/>
  <c r="M203" i="1"/>
  <c r="L419" i="1"/>
  <c r="M419" i="1"/>
  <c r="M497" i="1"/>
  <c r="L497" i="1"/>
  <c r="L263" i="1"/>
  <c r="M263" i="1"/>
  <c r="O158" i="1"/>
  <c r="P158" i="1"/>
  <c r="L494" i="1"/>
  <c r="M494" i="1"/>
  <c r="O271" i="1"/>
  <c r="P271" i="1"/>
  <c r="O97" i="1"/>
  <c r="P97" i="1"/>
  <c r="P449" i="1"/>
  <c r="O449" i="1"/>
  <c r="L105" i="1"/>
  <c r="M105" i="1"/>
  <c r="L40" i="1"/>
  <c r="M40" i="1"/>
  <c r="M349" i="1"/>
  <c r="L349" i="1"/>
  <c r="O387" i="1"/>
  <c r="P387" i="1"/>
  <c r="P316" i="1"/>
  <c r="O316" i="1"/>
  <c r="M503" i="1"/>
  <c r="L503" i="1"/>
  <c r="L28" i="1"/>
  <c r="M28" i="1"/>
  <c r="L355" i="1"/>
  <c r="M355" i="1"/>
  <c r="M280" i="1"/>
  <c r="L280" i="1"/>
  <c r="P306" i="1"/>
  <c r="O306" i="1"/>
  <c r="O65" i="1"/>
  <c r="P65" i="1"/>
  <c r="P368" i="1"/>
  <c r="O368" i="1"/>
  <c r="O92" i="1"/>
  <c r="P92" i="1"/>
  <c r="O261" i="1"/>
  <c r="P261" i="1"/>
  <c r="P262" i="1"/>
  <c r="O262" i="1"/>
  <c r="P93" i="1"/>
  <c r="O93" i="1"/>
  <c r="P365" i="1"/>
  <c r="O365" i="1"/>
  <c r="P470" i="1"/>
  <c r="O470" i="1"/>
  <c r="O137" i="1"/>
  <c r="P137" i="1"/>
  <c r="O256" i="1"/>
  <c r="P256" i="1"/>
  <c r="P440" i="1"/>
  <c r="O440" i="1"/>
  <c r="P230" i="1"/>
  <c r="O230" i="1"/>
  <c r="P26" i="1"/>
  <c r="O26" i="1"/>
  <c r="O33" i="1"/>
  <c r="P33" i="1"/>
  <c r="O326" i="1"/>
  <c r="P326" i="1"/>
  <c r="O16" i="1"/>
  <c r="P16" i="1"/>
  <c r="O401" i="1"/>
  <c r="P401" i="1"/>
  <c r="O45" i="1"/>
  <c r="P45" i="1"/>
  <c r="P220" i="1"/>
  <c r="O220" i="1"/>
  <c r="O503" i="1"/>
  <c r="P503" i="1"/>
  <c r="P370" i="1"/>
  <c r="O370" i="1"/>
  <c r="P480" i="1"/>
  <c r="O480" i="1"/>
  <c r="O354" i="1"/>
  <c r="P354" i="1"/>
  <c r="O143" i="1"/>
  <c r="P143" i="1"/>
  <c r="O299" i="1"/>
  <c r="P299" i="1"/>
  <c r="P145" i="1"/>
  <c r="O145" i="1"/>
  <c r="P324" i="1"/>
  <c r="O324" i="1"/>
  <c r="P427" i="1"/>
  <c r="O427" i="1"/>
  <c r="M228" i="1"/>
  <c r="L228" i="1"/>
  <c r="L292" i="1"/>
  <c r="M292" i="1"/>
  <c r="L338" i="1"/>
  <c r="M338" i="1"/>
  <c r="M500" i="1"/>
  <c r="L500" i="1"/>
  <c r="L457" i="1"/>
  <c r="M457" i="1"/>
  <c r="L90" i="1"/>
  <c r="M90" i="1"/>
  <c r="M163" i="1"/>
  <c r="L163" i="1"/>
  <c r="O419" i="1"/>
  <c r="P419" i="1"/>
  <c r="M369" i="1"/>
  <c r="L369" i="1"/>
  <c r="P199" i="1"/>
  <c r="O199" i="1"/>
  <c r="L236" i="1"/>
  <c r="M236" i="1"/>
  <c r="L490" i="1"/>
  <c r="M490" i="1"/>
  <c r="L253" i="1"/>
  <c r="M253" i="1"/>
  <c r="P283" i="1"/>
  <c r="O283" i="1"/>
  <c r="M427" i="1"/>
  <c r="L427" i="1"/>
  <c r="M461" i="1"/>
  <c r="L461" i="1"/>
  <c r="M431" i="1"/>
  <c r="L431" i="1"/>
  <c r="M344" i="1"/>
  <c r="L344" i="1"/>
  <c r="P116" i="1"/>
  <c r="O116" i="1"/>
  <c r="L159" i="1"/>
  <c r="M159" i="1"/>
  <c r="P483" i="1"/>
  <c r="O483" i="1"/>
  <c r="M278" i="1"/>
  <c r="L278" i="1"/>
  <c r="O146" i="1"/>
  <c r="P146" i="1"/>
  <c r="O50" i="1"/>
  <c r="P50" i="1"/>
  <c r="P20" i="1"/>
  <c r="O20" i="1"/>
  <c r="P344" i="1"/>
  <c r="O344" i="1"/>
  <c r="O194" i="1"/>
  <c r="P194" i="1"/>
  <c r="O442" i="1"/>
  <c r="P442" i="1"/>
  <c r="M93" i="1"/>
  <c r="L93" i="1"/>
  <c r="M95" i="1"/>
  <c r="L95" i="1"/>
  <c r="M417" i="1"/>
  <c r="L417" i="1"/>
  <c r="L103" i="1"/>
  <c r="M103" i="1"/>
  <c r="P338" i="1"/>
  <c r="O338" i="1"/>
  <c r="L265" i="1"/>
  <c r="M265" i="1"/>
  <c r="L87" i="1"/>
  <c r="M87" i="1"/>
  <c r="L416" i="1"/>
  <c r="M416" i="1"/>
  <c r="O140" i="1"/>
  <c r="P140" i="1"/>
  <c r="P144" i="1"/>
  <c r="O144" i="1"/>
  <c r="P349" i="1"/>
  <c r="O349" i="1"/>
  <c r="O118" i="1"/>
  <c r="P118" i="1"/>
  <c r="P28" i="1"/>
  <c r="O28" i="1"/>
  <c r="O115" i="1"/>
  <c r="P115" i="1"/>
  <c r="O222" i="1"/>
  <c r="P222" i="1"/>
  <c r="O482" i="1"/>
  <c r="P482" i="1"/>
  <c r="P152" i="1"/>
  <c r="O152" i="1"/>
  <c r="P104" i="1"/>
  <c r="O104" i="1"/>
  <c r="O78" i="1"/>
  <c r="P78" i="1"/>
  <c r="O475" i="1"/>
  <c r="P475" i="1"/>
  <c r="O268" i="1"/>
  <c r="P268" i="1"/>
  <c r="P415" i="1"/>
  <c r="O415" i="1"/>
  <c r="P356" i="1"/>
  <c r="O356" i="1"/>
  <c r="O217" i="1"/>
  <c r="P217" i="1"/>
  <c r="O186" i="1"/>
  <c r="P186" i="1"/>
  <c r="P328" i="1"/>
  <c r="O328" i="1"/>
  <c r="O384" i="1"/>
  <c r="P384" i="1"/>
  <c r="P486" i="1"/>
  <c r="O486" i="1"/>
  <c r="P282" i="1"/>
  <c r="O282" i="1"/>
  <c r="P150" i="1"/>
  <c r="O150" i="1"/>
  <c r="O71" i="1"/>
  <c r="P71" i="1"/>
  <c r="P139" i="1"/>
  <c r="O139" i="1"/>
  <c r="O272" i="1"/>
  <c r="P272" i="1"/>
  <c r="L240" i="1"/>
  <c r="M240" i="1"/>
  <c r="O426" i="1"/>
  <c r="P426" i="1"/>
  <c r="L432" i="1"/>
  <c r="M432" i="1"/>
  <c r="M370" i="1"/>
  <c r="L370" i="1"/>
  <c r="O155" i="1"/>
  <c r="P155" i="1"/>
  <c r="M480" i="1"/>
  <c r="L480" i="1"/>
  <c r="P313" i="1"/>
  <c r="O313" i="1"/>
  <c r="O25" i="1"/>
  <c r="P25" i="1"/>
  <c r="M178" i="1"/>
  <c r="L178" i="1"/>
  <c r="M112" i="1"/>
  <c r="L112" i="1"/>
  <c r="M298" i="1"/>
  <c r="L298" i="1"/>
  <c r="L395" i="1"/>
  <c r="M395" i="1"/>
  <c r="L249" i="1"/>
  <c r="M249" i="1"/>
  <c r="L365" i="1"/>
  <c r="M365" i="1"/>
  <c r="O447" i="1"/>
  <c r="P447" i="1"/>
  <c r="M33" i="1"/>
  <c r="L33" i="1"/>
  <c r="L60" i="1"/>
  <c r="M60" i="1"/>
  <c r="M91" i="1"/>
  <c r="L91" i="1"/>
  <c r="M322" i="1"/>
  <c r="L322" i="1"/>
  <c r="L508" i="1"/>
  <c r="M508" i="1"/>
  <c r="M367" i="1"/>
  <c r="L367" i="1"/>
  <c r="P156" i="1"/>
  <c r="O156" i="1"/>
  <c r="M225" i="1"/>
  <c r="L225" i="1"/>
  <c r="M32" i="1"/>
  <c r="L32" i="1"/>
  <c r="O487" i="1"/>
  <c r="P487" i="1"/>
  <c r="L26" i="1"/>
  <c r="M26" i="1"/>
  <c r="O161" i="1"/>
  <c r="P161" i="1"/>
  <c r="O46" i="1"/>
  <c r="P46" i="1"/>
  <c r="L420" i="1"/>
  <c r="M420" i="1"/>
  <c r="P403" i="1"/>
  <c r="O403" i="1"/>
  <c r="M293" i="1"/>
  <c r="L293" i="1"/>
  <c r="M239" i="1"/>
  <c r="L239" i="1"/>
  <c r="M230" i="1"/>
  <c r="L230" i="1"/>
  <c r="M348" i="1"/>
  <c r="L348" i="1"/>
  <c r="O504" i="1"/>
  <c r="P504" i="1"/>
  <c r="M375" i="1"/>
  <c r="L375" i="1"/>
  <c r="L44" i="1"/>
  <c r="M44" i="1"/>
  <c r="M126" i="1"/>
  <c r="L126" i="1"/>
  <c r="L346" i="1"/>
  <c r="M346" i="1"/>
  <c r="O301" i="1"/>
  <c r="P301" i="1"/>
  <c r="L252" i="1"/>
  <c r="M252" i="1"/>
  <c r="M288" i="1"/>
  <c r="L288" i="1"/>
  <c r="P159" i="1"/>
  <c r="O159" i="1"/>
  <c r="M373" i="1"/>
  <c r="L373" i="1"/>
  <c r="O215" i="1"/>
  <c r="P215" i="1"/>
  <c r="M283" i="1"/>
  <c r="L283" i="1"/>
  <c r="L456" i="1"/>
  <c r="M456" i="1"/>
  <c r="L345" i="1"/>
  <c r="M345" i="1"/>
  <c r="O4" i="1"/>
  <c r="P4" i="1"/>
  <c r="L38" i="1"/>
  <c r="M38" i="1"/>
  <c r="O170" i="1"/>
  <c r="P170" i="1"/>
  <c r="P260" i="1"/>
  <c r="O260" i="1"/>
  <c r="P58" i="1"/>
  <c r="O58" i="1"/>
  <c r="O358" i="1"/>
  <c r="P358" i="1"/>
  <c r="M394" i="1"/>
  <c r="L394" i="1"/>
  <c r="L488" i="1"/>
  <c r="M488" i="1"/>
  <c r="O409" i="1"/>
  <c r="P409" i="1"/>
  <c r="O250" i="1"/>
  <c r="P250" i="1"/>
  <c r="O39" i="1"/>
  <c r="P39" i="1"/>
  <c r="M185" i="1"/>
  <c r="L185" i="1"/>
  <c r="L314" i="1"/>
  <c r="M314" i="1"/>
  <c r="M447" i="1"/>
  <c r="L447" i="1"/>
  <c r="O467" i="1"/>
  <c r="P467" i="1"/>
  <c r="L242" i="1"/>
  <c r="M242" i="1"/>
  <c r="L487" i="1"/>
  <c r="M487" i="1"/>
  <c r="O174" i="1"/>
  <c r="P174" i="1"/>
  <c r="O309" i="1"/>
  <c r="P309" i="1"/>
  <c r="P8" i="1"/>
  <c r="O8" i="1"/>
  <c r="O124" i="1"/>
  <c r="P124" i="1"/>
  <c r="O237" i="1"/>
  <c r="P237" i="1"/>
  <c r="O441" i="1"/>
  <c r="P441" i="1"/>
  <c r="O319" i="1"/>
  <c r="P319" i="1"/>
  <c r="P106" i="1"/>
  <c r="O106" i="1"/>
  <c r="L206" i="1"/>
  <c r="M206" i="1"/>
  <c r="M397" i="1"/>
  <c r="L397" i="1"/>
  <c r="M222" i="1"/>
  <c r="L222" i="1"/>
  <c r="L403" i="1"/>
  <c r="M403" i="1"/>
  <c r="P341" i="1"/>
  <c r="O341" i="1"/>
  <c r="P398" i="1"/>
  <c r="O398" i="1"/>
  <c r="M57" i="1"/>
  <c r="L57" i="1"/>
  <c r="M481" i="1"/>
  <c r="L481" i="1"/>
  <c r="O453" i="1"/>
  <c r="P453" i="1"/>
  <c r="L122" i="1"/>
  <c r="M122" i="1"/>
  <c r="L374" i="1"/>
  <c r="M374" i="1"/>
  <c r="O253" i="1"/>
  <c r="P253" i="1"/>
  <c r="P89" i="1"/>
  <c r="O89" i="1"/>
  <c r="P276" i="1"/>
  <c r="O276" i="1"/>
  <c r="L68" i="1"/>
  <c r="M68" i="1"/>
  <c r="L180" i="1"/>
  <c r="M180" i="1"/>
  <c r="M78" i="1"/>
  <c r="L78" i="1"/>
  <c r="M48" i="1"/>
  <c r="L48" i="1"/>
  <c r="M94" i="1"/>
  <c r="L94" i="1"/>
  <c r="O128" i="1"/>
  <c r="P128" i="1"/>
  <c r="M408" i="1"/>
  <c r="L408" i="1"/>
  <c r="O206" i="1"/>
  <c r="P206" i="1"/>
  <c r="P236" i="1"/>
  <c r="O236" i="1"/>
  <c r="O275" i="1"/>
  <c r="P275" i="1"/>
  <c r="P407" i="1"/>
  <c r="O407" i="1"/>
  <c r="P369" i="1"/>
  <c r="O369" i="1"/>
  <c r="P234" i="1"/>
  <c r="O234" i="1"/>
  <c r="P428" i="1"/>
  <c r="O428" i="1"/>
  <c r="O258" i="1"/>
  <c r="P258" i="1"/>
  <c r="O103" i="1"/>
  <c r="P103" i="1"/>
  <c r="P410" i="1"/>
  <c r="O410" i="1"/>
  <c r="P169" i="1"/>
  <c r="O169" i="1"/>
  <c r="P267" i="1"/>
  <c r="O267" i="1"/>
  <c r="O489" i="1"/>
  <c r="P489" i="1"/>
  <c r="O6" i="1"/>
  <c r="P6" i="1"/>
  <c r="P74" i="1"/>
  <c r="O74" i="1"/>
  <c r="P347" i="1"/>
  <c r="O347" i="1"/>
  <c r="O311" i="1"/>
  <c r="P311" i="1"/>
  <c r="P165" i="1"/>
  <c r="O165" i="1"/>
  <c r="O437" i="1"/>
  <c r="P437" i="1"/>
  <c r="P51" i="1"/>
  <c r="O51" i="1"/>
  <c r="P56" i="1"/>
  <c r="O56" i="1"/>
  <c r="P510" i="1"/>
  <c r="O510" i="1"/>
  <c r="O291" i="1"/>
  <c r="P291" i="1"/>
  <c r="O34" i="1"/>
  <c r="P34" i="1"/>
  <c r="M429" i="1"/>
  <c r="L429" i="1"/>
  <c r="P400" i="1"/>
  <c r="O400" i="1"/>
  <c r="L254" i="1"/>
  <c r="M254" i="1"/>
  <c r="M247" i="1"/>
  <c r="L247" i="1"/>
  <c r="L140" i="1"/>
  <c r="M140" i="1"/>
  <c r="L341" i="1"/>
  <c r="M341" i="1"/>
  <c r="P62" i="1"/>
  <c r="O62" i="1"/>
  <c r="M352" i="1"/>
  <c r="L352" i="1"/>
  <c r="M66" i="1"/>
  <c r="L66" i="1"/>
  <c r="L418" i="1"/>
  <c r="M418" i="1"/>
  <c r="O154" i="1"/>
  <c r="P154" i="1"/>
  <c r="M455" i="1"/>
  <c r="L455" i="1"/>
  <c r="M315" i="1"/>
  <c r="L315" i="1"/>
  <c r="L423" i="1"/>
  <c r="M423" i="1"/>
  <c r="L63" i="1"/>
  <c r="M63" i="1"/>
  <c r="L443" i="1"/>
  <c r="M443" i="1"/>
  <c r="M251" i="1"/>
  <c r="L251" i="1"/>
  <c r="M212" i="1"/>
  <c r="L212" i="1"/>
  <c r="M170" i="1"/>
  <c r="L170" i="1"/>
  <c r="L410" i="1"/>
  <c r="M410" i="1"/>
  <c r="M449" i="1"/>
  <c r="L449" i="1"/>
  <c r="L259" i="1"/>
  <c r="M259" i="1"/>
  <c r="M384" i="1"/>
  <c r="L384" i="1"/>
  <c r="P455" i="1"/>
  <c r="O455" i="1"/>
  <c r="O404" i="1"/>
  <c r="P404" i="1"/>
  <c r="P498" i="1"/>
  <c r="O498" i="1"/>
  <c r="O94" i="1"/>
  <c r="P94" i="1"/>
  <c r="M267" i="1"/>
  <c r="L267" i="1"/>
  <c r="O244" i="1"/>
  <c r="P244" i="1"/>
  <c r="O472" i="1"/>
  <c r="P472" i="1"/>
  <c r="P478" i="1"/>
  <c r="O478" i="1"/>
  <c r="M59" i="1"/>
  <c r="L59" i="1"/>
  <c r="L272" i="1"/>
  <c r="M272" i="1"/>
  <c r="O402" i="1"/>
  <c r="P402" i="1"/>
  <c r="L167" i="1"/>
  <c r="M167" i="1"/>
  <c r="M207" i="1"/>
  <c r="L207" i="1"/>
  <c r="P294" i="1"/>
  <c r="O294" i="1"/>
  <c r="L312" i="1"/>
  <c r="M312" i="1"/>
  <c r="L424" i="1"/>
  <c r="M424" i="1"/>
  <c r="O70" i="1"/>
  <c r="P70" i="1"/>
  <c r="L248" i="1"/>
  <c r="M248" i="1"/>
  <c r="P418" i="1"/>
  <c r="O418" i="1"/>
  <c r="O496" i="1"/>
  <c r="P496" i="1"/>
  <c r="P377" i="1"/>
  <c r="O377" i="1"/>
  <c r="O243" i="1"/>
  <c r="P243" i="1"/>
  <c r="M291" i="1"/>
  <c r="L291" i="1"/>
  <c r="L128" i="1"/>
  <c r="M128" i="1"/>
  <c r="P239" i="1"/>
  <c r="O239" i="1"/>
  <c r="P385" i="1"/>
  <c r="O385" i="1"/>
  <c r="M100" i="1"/>
  <c r="L100" i="1"/>
  <c r="M362" i="1"/>
  <c r="L362" i="1"/>
  <c r="M202" i="1"/>
  <c r="L202" i="1"/>
  <c r="O304" i="1"/>
  <c r="P304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496" i="1"/>
  <c r="M496" i="1"/>
  <c r="L136" i="1"/>
  <c r="M136" i="1"/>
  <c r="L97" i="1"/>
  <c r="M97" i="1"/>
  <c r="M173" i="1"/>
  <c r="L173" i="1"/>
  <c r="L371" i="1"/>
  <c r="M371" i="1"/>
  <c r="M52" i="1"/>
  <c r="L52" i="1"/>
  <c r="O392" i="1"/>
  <c r="P392" i="1"/>
  <c r="L441" i="1"/>
  <c r="M441" i="1"/>
  <c r="M132" i="1"/>
  <c r="L132" i="1"/>
  <c r="L435" i="1"/>
  <c r="M435" i="1"/>
  <c r="P113" i="1"/>
  <c r="O113" i="1"/>
  <c r="L325" i="1"/>
  <c r="M325" i="1"/>
  <c r="P465" i="1"/>
  <c r="O465" i="1"/>
  <c r="O355" i="1"/>
  <c r="P355" i="1"/>
  <c r="O454" i="1"/>
  <c r="P454" i="1"/>
  <c r="L232" i="1"/>
  <c r="M232" i="1"/>
  <c r="O31" i="1"/>
  <c r="P31" i="1"/>
  <c r="M24" i="1"/>
  <c r="L24" i="1"/>
  <c r="L493" i="1"/>
  <c r="M493" i="1"/>
  <c r="L450" i="1"/>
  <c r="M450" i="1"/>
  <c r="P3" i="1"/>
  <c r="O3" i="1"/>
  <c r="O446" i="1"/>
  <c r="P446" i="1"/>
  <c r="M440" i="1"/>
  <c r="L440" i="1"/>
  <c r="M273" i="1"/>
  <c r="L273" i="1"/>
  <c r="M405" i="1"/>
  <c r="L405" i="1"/>
  <c r="L98" i="1"/>
  <c r="M98" i="1"/>
  <c r="M342" i="1"/>
  <c r="L342" i="1"/>
  <c r="L357" i="1"/>
  <c r="M357" i="1"/>
  <c r="L430" i="1"/>
  <c r="M430" i="1"/>
  <c r="L381" i="1"/>
  <c r="M381" i="1"/>
  <c r="M331" i="1"/>
  <c r="L331" i="1"/>
  <c r="L92" i="1"/>
  <c r="M92" i="1"/>
  <c r="M386" i="1"/>
  <c r="L386" i="1"/>
  <c r="O394" i="1"/>
  <c r="P394" i="1"/>
  <c r="L123" i="1"/>
  <c r="M123" i="1"/>
  <c r="L35" i="1"/>
  <c r="M35" i="1"/>
  <c r="M336" i="1"/>
  <c r="L336" i="1"/>
  <c r="L271" i="1"/>
  <c r="M271" i="1"/>
  <c r="M84" i="1"/>
  <c r="L84" i="1"/>
  <c r="M330" i="1"/>
  <c r="L330" i="1"/>
  <c r="O228" i="1"/>
  <c r="P228" i="1"/>
  <c r="P381" i="1"/>
  <c r="O381" i="1"/>
  <c r="L201" i="1"/>
  <c r="M201" i="1"/>
  <c r="L305" i="1"/>
  <c r="M305" i="1"/>
  <c r="L506" i="1"/>
  <c r="M506" i="1"/>
  <c r="M229" i="1"/>
  <c r="L229" i="1"/>
  <c r="L166" i="1"/>
  <c r="M166" i="1"/>
  <c r="M385" i="1"/>
  <c r="L385" i="1"/>
  <c r="O197" i="1"/>
  <c r="P197" i="1"/>
  <c r="P484" i="1"/>
  <c r="O484" i="1"/>
  <c r="M88" i="1"/>
  <c r="L88" i="1"/>
  <c r="O248" i="1"/>
  <c r="P248" i="1"/>
  <c r="P235" i="1"/>
  <c r="O235" i="1"/>
  <c r="O514" i="1"/>
  <c r="P514" i="1"/>
  <c r="O254" i="1"/>
  <c r="P254" i="1"/>
  <c r="M426" i="1"/>
  <c r="L426" i="1"/>
  <c r="L468" i="1"/>
  <c r="M468" i="1"/>
  <c r="L41" i="1"/>
  <c r="M41" i="1"/>
  <c r="L466" i="1"/>
  <c r="M466" i="1"/>
  <c r="P252" i="1"/>
  <c r="O252" i="1"/>
  <c r="P193" i="1"/>
  <c r="O193" i="1"/>
  <c r="L183" i="1"/>
  <c r="M183" i="1"/>
  <c r="M25" i="1"/>
  <c r="L25" i="1"/>
  <c r="O24" i="1"/>
  <c r="P24" i="1"/>
  <c r="M54" i="1"/>
  <c r="L54" i="1"/>
  <c r="M479" i="1"/>
  <c r="L479" i="1"/>
  <c r="O280" i="1"/>
  <c r="P280" i="1"/>
  <c r="L246" i="1"/>
  <c r="M246" i="1"/>
  <c r="P136" i="1"/>
  <c r="O136" i="1"/>
  <c r="P148" i="1"/>
  <c r="O148" i="1"/>
  <c r="O257" i="1"/>
  <c r="P257" i="1"/>
  <c r="P490" i="1"/>
  <c r="O490" i="1"/>
  <c r="P86" i="1"/>
  <c r="O86" i="1"/>
  <c r="M359" i="1"/>
  <c r="L359" i="1"/>
  <c r="L146" i="1"/>
  <c r="M146" i="1"/>
  <c r="M495" i="1"/>
  <c r="L495" i="1"/>
  <c r="P147" i="1"/>
  <c r="O147" i="1"/>
  <c r="O430" i="1"/>
  <c r="P430" i="1"/>
  <c r="M511" i="1"/>
  <c r="L511" i="1"/>
  <c r="O423" i="1"/>
  <c r="P423" i="1"/>
  <c r="P30" i="1"/>
  <c r="O30" i="1"/>
  <c r="P241" i="1"/>
  <c r="O241" i="1"/>
  <c r="O190" i="1"/>
  <c r="P190" i="1"/>
  <c r="M306" i="1"/>
  <c r="L306" i="1"/>
  <c r="L402" i="1"/>
  <c r="M402" i="1"/>
  <c r="M125" i="1"/>
  <c r="L125" i="1"/>
  <c r="M177" i="1"/>
  <c r="L177" i="1"/>
  <c r="P249" i="1"/>
  <c r="O249" i="1"/>
  <c r="P85" i="1"/>
  <c r="O85" i="1"/>
  <c r="O41" i="1"/>
  <c r="P41" i="1"/>
  <c r="P295" i="1"/>
  <c r="O295" i="1"/>
  <c r="P494" i="1"/>
  <c r="O494" i="1"/>
  <c r="P64" i="1"/>
  <c r="O64" i="1"/>
  <c r="P110" i="1"/>
  <c r="O110" i="1"/>
  <c r="P27" i="1"/>
  <c r="O27" i="1"/>
  <c r="P38" i="1"/>
  <c r="O38" i="1"/>
  <c r="O160" i="1"/>
  <c r="P160" i="1"/>
  <c r="O264" i="1"/>
  <c r="P264" i="1"/>
  <c r="P134" i="1"/>
  <c r="O134" i="1"/>
  <c r="P202" i="1"/>
  <c r="O202" i="1"/>
  <c r="O502" i="1"/>
  <c r="P502" i="1"/>
  <c r="O485" i="1"/>
  <c r="P485" i="1"/>
  <c r="P468" i="1"/>
  <c r="O468" i="1"/>
  <c r="O367" i="1"/>
  <c r="P367" i="1"/>
  <c r="P229" i="1"/>
  <c r="O229" i="1"/>
  <c r="O88" i="1"/>
  <c r="P88" i="1"/>
  <c r="P203" i="1"/>
  <c r="O203" i="1"/>
  <c r="O162" i="1"/>
  <c r="P162" i="1"/>
  <c r="P462" i="1"/>
  <c r="O462" i="1"/>
  <c r="M150" i="1"/>
  <c r="L150" i="1"/>
  <c r="O488" i="1"/>
  <c r="P488" i="1"/>
  <c r="O303" i="1"/>
  <c r="P303" i="1"/>
  <c r="O5" i="1"/>
  <c r="P5" i="1"/>
  <c r="O77" i="1"/>
  <c r="P77" i="1"/>
  <c r="O353" i="1"/>
  <c r="P353" i="1"/>
  <c r="P456" i="1"/>
  <c r="O456" i="1"/>
  <c r="P121" i="1"/>
  <c r="O121" i="1"/>
  <c r="O59" i="1"/>
  <c r="P59" i="1"/>
  <c r="O342" i="1"/>
  <c r="P342" i="1"/>
  <c r="O329" i="1"/>
  <c r="P329" i="1"/>
  <c r="P192" i="1"/>
  <c r="O192" i="1"/>
  <c r="P231" i="1"/>
  <c r="O231" i="1"/>
  <c r="M257" i="1"/>
  <c r="L257" i="1"/>
  <c r="M377" i="1"/>
  <c r="L377" i="1"/>
  <c r="L472" i="1"/>
  <c r="M472" i="1"/>
  <c r="O477" i="1"/>
  <c r="P477" i="1"/>
  <c r="L130" i="1"/>
  <c r="M130" i="1"/>
  <c r="L83" i="1"/>
  <c r="M83" i="1"/>
  <c r="L27" i="1"/>
  <c r="M27" i="1"/>
  <c r="M279" i="1"/>
  <c r="L279" i="1"/>
  <c r="P383" i="1"/>
  <c r="O383" i="1"/>
  <c r="M319" i="1"/>
  <c r="L319" i="1"/>
  <c r="L446" i="1"/>
  <c r="M446" i="1"/>
  <c r="L151" i="1"/>
  <c r="M151" i="1"/>
  <c r="P83" i="1"/>
  <c r="O83" i="1"/>
  <c r="O11" i="1"/>
  <c r="P11" i="1"/>
  <c r="L189" i="1"/>
  <c r="M189" i="1"/>
  <c r="M469" i="1"/>
  <c r="L469" i="1"/>
  <c r="L327" i="1"/>
  <c r="M327" i="1"/>
  <c r="O511" i="1"/>
  <c r="P511" i="1"/>
  <c r="M70" i="1"/>
  <c r="L70" i="1"/>
  <c r="P285" i="1"/>
  <c r="O285" i="1"/>
  <c r="L321" i="1"/>
  <c r="M321" i="1"/>
  <c r="M200" i="1"/>
  <c r="L200" i="1"/>
  <c r="M398" i="1"/>
  <c r="L398" i="1"/>
  <c r="L414" i="1"/>
  <c r="M414" i="1"/>
  <c r="L226" i="1"/>
  <c r="M226" i="1"/>
  <c r="P191" i="1"/>
  <c r="O191" i="1"/>
  <c r="L196" i="1"/>
  <c r="M196" i="1"/>
  <c r="L96" i="1"/>
  <c r="M96" i="1"/>
  <c r="M509" i="1"/>
  <c r="L509" i="1"/>
  <c r="M43" i="1"/>
  <c r="L43" i="1"/>
  <c r="M79" i="1"/>
  <c r="L79" i="1"/>
  <c r="L119" i="1"/>
  <c r="M119" i="1"/>
  <c r="P432" i="1"/>
  <c r="O432" i="1"/>
  <c r="L235" i="1"/>
  <c r="M235" i="1"/>
  <c r="P57" i="1"/>
  <c r="O57" i="1"/>
  <c r="L157" i="1"/>
  <c r="M157" i="1"/>
  <c r="L108" i="1"/>
  <c r="M108" i="1"/>
  <c r="M389" i="1"/>
  <c r="L389" i="1"/>
  <c r="M256" i="1"/>
  <c r="L256" i="1"/>
  <c r="M470" i="1"/>
  <c r="L470" i="1"/>
  <c r="P321" i="1"/>
  <c r="O321" i="1"/>
  <c r="O277" i="1"/>
  <c r="P277" i="1"/>
  <c r="O232" i="1"/>
  <c r="P232" i="1"/>
  <c r="P48" i="1"/>
  <c r="O48" i="1"/>
  <c r="P479" i="1"/>
  <c r="O479" i="1"/>
  <c r="M118" i="1"/>
  <c r="L118" i="1"/>
  <c r="L316" i="1"/>
  <c r="M316" i="1"/>
  <c r="M171" i="1"/>
  <c r="L171" i="1"/>
  <c r="L139" i="1"/>
  <c r="M139" i="1"/>
  <c r="M303" i="1"/>
  <c r="L303" i="1"/>
  <c r="P177" i="1"/>
  <c r="O177" i="1"/>
  <c r="M391" i="1"/>
  <c r="L391" i="1"/>
  <c r="L448" i="1"/>
  <c r="M448" i="1"/>
  <c r="M31" i="1"/>
  <c r="L31" i="1"/>
  <c r="L289" i="1"/>
  <c r="M289" i="1"/>
  <c r="M437" i="1"/>
  <c r="L437" i="1"/>
  <c r="O413" i="1"/>
  <c r="P413" i="1"/>
  <c r="P210" i="1"/>
  <c r="O210" i="1"/>
  <c r="L135" i="1"/>
  <c r="M135" i="1"/>
  <c r="O388" i="1"/>
  <c r="P388" i="1"/>
  <c r="O348" i="1"/>
  <c r="P348" i="1"/>
  <c r="O149" i="1"/>
  <c r="P149" i="1"/>
  <c r="O463" i="1"/>
  <c r="P463" i="1"/>
  <c r="L372" i="1"/>
  <c r="M372" i="1"/>
  <c r="L462" i="1"/>
  <c r="M462" i="1"/>
  <c r="M205" i="1"/>
  <c r="L205" i="1"/>
  <c r="P434" i="1"/>
  <c r="O434" i="1"/>
  <c r="L184" i="1"/>
  <c r="M184" i="1"/>
  <c r="L23" i="1"/>
  <c r="M23" i="1"/>
  <c r="O273" i="1"/>
  <c r="P273" i="1"/>
  <c r="O451" i="1"/>
  <c r="P451" i="1"/>
  <c r="O464" i="1"/>
  <c r="P464" i="1"/>
  <c r="P436" i="1"/>
  <c r="O436" i="1"/>
  <c r="O187" i="1"/>
  <c r="P187" i="1"/>
  <c r="M199" i="1"/>
  <c r="L199" i="1"/>
  <c r="L452" i="1"/>
  <c r="M452" i="1"/>
  <c r="L276" i="1"/>
  <c r="M276" i="1"/>
  <c r="L161" i="1"/>
  <c r="M161" i="1"/>
  <c r="P251" i="1"/>
  <c r="O251" i="1"/>
  <c r="P18" i="1"/>
  <c r="O18" i="1"/>
  <c r="O425" i="1"/>
  <c r="P425" i="1"/>
  <c r="P445" i="1"/>
  <c r="O445" i="1"/>
  <c r="P173" i="1"/>
  <c r="O173" i="1"/>
  <c r="L502" i="1"/>
  <c r="M502" i="1"/>
  <c r="L244" i="1"/>
  <c r="M244" i="1"/>
  <c r="M382" i="1"/>
  <c r="L382" i="1"/>
  <c r="M188" i="1"/>
  <c r="L188" i="1"/>
  <c r="M458" i="1"/>
  <c r="L458" i="1"/>
  <c r="M214" i="1"/>
  <c r="L214" i="1"/>
  <c r="O227" i="1"/>
  <c r="P227" i="1"/>
  <c r="O417" i="1"/>
  <c r="P417" i="1"/>
  <c r="P242" i="1"/>
  <c r="O242" i="1"/>
  <c r="P395" i="1"/>
  <c r="O395" i="1"/>
  <c r="P207" i="1"/>
  <c r="O207" i="1"/>
  <c r="P290" i="1"/>
  <c r="O290" i="1"/>
  <c r="P79" i="1"/>
  <c r="O79" i="1"/>
  <c r="P444" i="1"/>
  <c r="O444" i="1"/>
  <c r="O196" i="1"/>
  <c r="P196" i="1"/>
  <c r="O493" i="1"/>
  <c r="P493" i="1"/>
  <c r="O221" i="1"/>
  <c r="P221" i="1"/>
  <c r="P17" i="1"/>
  <c r="O17" i="1"/>
  <c r="P87" i="1"/>
  <c r="O87" i="1"/>
  <c r="P331" i="1"/>
  <c r="O331" i="1"/>
  <c r="O320" i="1"/>
  <c r="P320" i="1"/>
  <c r="P111" i="1"/>
  <c r="O111" i="1"/>
  <c r="O29" i="1"/>
  <c r="P29" i="1"/>
  <c r="O219" i="1"/>
  <c r="P219" i="1"/>
  <c r="P90" i="1"/>
  <c r="O90" i="1"/>
  <c r="P390" i="1"/>
  <c r="O390" i="1"/>
  <c r="O458" i="1"/>
  <c r="P458" i="1"/>
  <c r="O80" i="1"/>
  <c r="P80" i="1"/>
  <c r="P132" i="1"/>
  <c r="O132" i="1"/>
  <c r="P54" i="1"/>
  <c r="O54" i="1"/>
  <c r="P315" i="1"/>
  <c r="O315" i="1"/>
  <c r="M233" i="1"/>
  <c r="L233" i="1"/>
  <c r="L195" i="1"/>
  <c r="M195" i="1"/>
  <c r="M61" i="1"/>
  <c r="L61" i="1"/>
  <c r="O81" i="1"/>
  <c r="P81" i="1"/>
  <c r="O495" i="1"/>
  <c r="P495" i="1"/>
  <c r="L107" i="1"/>
  <c r="M107" i="1"/>
  <c r="L213" i="1"/>
  <c r="M213" i="1"/>
  <c r="M175" i="1"/>
  <c r="L175" i="1"/>
  <c r="L467" i="1"/>
  <c r="M467" i="1"/>
  <c r="O439" i="1"/>
  <c r="P439" i="1"/>
  <c r="M187" i="1"/>
  <c r="L187" i="1"/>
  <c r="M55" i="1"/>
  <c r="L55" i="1"/>
  <c r="M465" i="1"/>
  <c r="L465" i="1"/>
  <c r="L160" i="1"/>
  <c r="M160" i="1"/>
  <c r="L499" i="1"/>
  <c r="M499" i="1"/>
  <c r="M269" i="1"/>
  <c r="L269" i="1"/>
  <c r="L113" i="1"/>
  <c r="M113" i="1"/>
  <c r="M237" i="1"/>
  <c r="L237" i="1"/>
  <c r="M504" i="1"/>
  <c r="L504" i="1"/>
  <c r="L296" i="1"/>
  <c r="M296" i="1"/>
  <c r="L104" i="1"/>
  <c r="M104" i="1"/>
  <c r="P448" i="1"/>
  <c r="O448" i="1"/>
  <c r="M260" i="1"/>
  <c r="L260" i="1"/>
  <c r="M460" i="1"/>
  <c r="L460" i="1"/>
  <c r="L463" i="1"/>
  <c r="M463" i="1"/>
  <c r="L311" i="1"/>
  <c r="M311" i="1"/>
  <c r="L129" i="1"/>
  <c r="M129" i="1"/>
  <c r="M179" i="1"/>
  <c r="L179" i="1"/>
  <c r="P225" i="1"/>
  <c r="O225" i="1"/>
  <c r="P317" i="1"/>
  <c r="O317" i="1"/>
  <c r="L102" i="1"/>
  <c r="M102" i="1"/>
  <c r="M194" i="1"/>
  <c r="L194" i="1"/>
  <c r="M209" i="1"/>
  <c r="L209" i="1"/>
  <c r="L152" i="1"/>
  <c r="M152" i="1"/>
  <c r="M261" i="1"/>
  <c r="L261" i="1"/>
  <c r="M62" i="1"/>
  <c r="L62" i="1"/>
  <c r="L354" i="1"/>
  <c r="M354" i="1"/>
  <c r="L219" i="1"/>
  <c r="M219" i="1"/>
  <c r="O226" i="1"/>
  <c r="P226" i="1"/>
  <c r="P287" i="1"/>
  <c r="O287" i="1"/>
  <c r="L390" i="1"/>
  <c r="M390" i="1"/>
  <c r="L208" i="1"/>
  <c r="M208" i="1"/>
  <c r="L117" i="1"/>
  <c r="M117" i="1"/>
  <c r="P366" i="1"/>
  <c r="O366" i="1"/>
  <c r="M317" i="1"/>
  <c r="L317" i="1"/>
  <c r="L217" i="1"/>
  <c r="M217" i="1"/>
  <c r="M72" i="1"/>
  <c r="L72" i="1"/>
  <c r="L153" i="1"/>
  <c r="M153" i="1"/>
  <c r="L433" i="1"/>
  <c r="M433" i="1"/>
  <c r="M475" i="1"/>
  <c r="L475" i="1"/>
  <c r="M99" i="1"/>
  <c r="L99" i="1"/>
  <c r="M148" i="1"/>
  <c r="L148" i="1"/>
  <c r="P44" i="1"/>
  <c r="O44" i="1"/>
  <c r="M351" i="1"/>
  <c r="L351" i="1"/>
  <c r="L329" i="1"/>
  <c r="M329" i="1"/>
  <c r="L186" i="1"/>
  <c r="M186" i="1"/>
  <c r="L109" i="1"/>
  <c r="M109" i="1"/>
  <c r="O307" i="1"/>
  <c r="P307" i="1"/>
  <c r="M45" i="1"/>
  <c r="L45" i="1"/>
  <c r="M155" i="1"/>
  <c r="L155" i="1"/>
  <c r="P265" i="1"/>
  <c r="O265" i="1"/>
  <c r="P318" i="1"/>
  <c r="O318" i="1"/>
  <c r="P82" i="1"/>
  <c r="O82" i="1"/>
  <c r="M115" i="1"/>
  <c r="L115" i="1"/>
  <c r="P281" i="1"/>
  <c r="O281" i="1"/>
  <c r="L51" i="1"/>
  <c r="M51" i="1"/>
  <c r="O300" i="1"/>
  <c r="P300" i="1"/>
  <c r="M425" i="1"/>
  <c r="L425" i="1"/>
  <c r="P312" i="1"/>
  <c r="O312" i="1"/>
  <c r="P9" i="1"/>
  <c r="O9" i="1"/>
  <c r="M406" i="1"/>
  <c r="L406" i="1"/>
  <c r="M182" i="1"/>
  <c r="L182" i="1"/>
  <c r="L366" i="1"/>
  <c r="M366" i="1"/>
  <c r="L476" i="1"/>
  <c r="M476" i="1"/>
  <c r="P99" i="1"/>
  <c r="O99" i="1"/>
  <c r="M347" i="1"/>
  <c r="L347" i="1"/>
  <c r="L258" i="1"/>
  <c r="M258" i="1"/>
  <c r="M409" i="1"/>
  <c r="L409" i="1"/>
  <c r="P345" i="1"/>
  <c r="O345" i="1"/>
  <c r="L422" i="1"/>
  <c r="M422" i="1"/>
  <c r="P172" i="1"/>
  <c r="O172" i="1"/>
  <c r="P233" i="1"/>
  <c r="O233" i="1"/>
  <c r="O216" i="1"/>
  <c r="P216" i="1"/>
  <c r="P246" i="1"/>
  <c r="O246" i="1"/>
  <c r="L234" i="1"/>
  <c r="M234" i="1"/>
  <c r="M383" i="1"/>
  <c r="L383" i="1"/>
  <c r="P218" i="1"/>
  <c r="O218" i="1"/>
  <c r="P429" i="1"/>
  <c r="O429" i="1"/>
  <c r="M158" i="1"/>
  <c r="L158" i="1"/>
  <c r="P36" i="1"/>
  <c r="O36" i="1"/>
  <c r="P389" i="1"/>
  <c r="O389" i="1"/>
  <c r="O339" i="1"/>
  <c r="P339" i="1"/>
  <c r="O308" i="1"/>
  <c r="P308" i="1"/>
  <c r="M168" i="1"/>
  <c r="L168" i="1"/>
  <c r="O164" i="1"/>
  <c r="P164" i="1"/>
  <c r="P66" i="1"/>
  <c r="O66" i="1"/>
  <c r="M22" i="1"/>
  <c r="L22" i="1"/>
  <c r="O323" i="1"/>
  <c r="P323" i="1"/>
  <c r="O157" i="1"/>
  <c r="P157" i="1"/>
  <c r="P138" i="1"/>
  <c r="O138" i="1"/>
  <c r="P438" i="1"/>
  <c r="O438" i="1"/>
  <c r="L483" i="1"/>
  <c r="M483" i="1"/>
  <c r="L197" i="1"/>
  <c r="M197" i="1"/>
  <c r="L127" i="1"/>
  <c r="M127" i="1"/>
  <c r="O67" i="1"/>
  <c r="P67" i="1"/>
  <c r="P198" i="1"/>
  <c r="O198" i="1"/>
  <c r="P372" i="1"/>
  <c r="O372" i="1"/>
  <c r="O73" i="1"/>
  <c r="P73" i="1"/>
  <c r="O180" i="1"/>
  <c r="P180" i="1"/>
  <c r="O351" i="1"/>
  <c r="P351" i="1"/>
  <c r="O84" i="1"/>
  <c r="P84" i="1"/>
  <c r="M302" i="1"/>
  <c r="L302" i="1"/>
  <c r="O259" i="1"/>
  <c r="P259" i="1"/>
  <c r="O411" i="1"/>
  <c r="P411" i="1"/>
  <c r="O76" i="1"/>
  <c r="P76" i="1"/>
  <c r="P284" i="1"/>
  <c r="O284" i="1"/>
  <c r="P176" i="1"/>
  <c r="O176" i="1"/>
  <c r="O117" i="1"/>
  <c r="P117" i="1"/>
  <c r="P122" i="1"/>
  <c r="O122" i="1"/>
  <c r="O200" i="1"/>
  <c r="P200" i="1"/>
  <c r="P292" i="1"/>
  <c r="O292" i="1"/>
  <c r="O422" i="1"/>
  <c r="P422" i="1"/>
  <c r="P325" i="1"/>
  <c r="O325" i="1"/>
  <c r="O7" i="1"/>
  <c r="P7" i="1"/>
  <c r="P75" i="1"/>
  <c r="O75" i="1"/>
  <c r="P509" i="1"/>
  <c r="O509" i="1"/>
  <c r="P182" i="1"/>
  <c r="O182" i="1"/>
  <c r="P340" i="1"/>
  <c r="O340" i="1"/>
  <c r="O100" i="1"/>
  <c r="P100" i="1"/>
  <c r="P375" i="1"/>
  <c r="O375" i="1"/>
  <c r="O175" i="1"/>
  <c r="P175" i="1"/>
  <c r="O350" i="1"/>
  <c r="P350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L275" i="1"/>
  <c r="M275" i="1"/>
  <c r="O322" i="1"/>
  <c r="P322" i="1"/>
  <c r="P416" i="1"/>
  <c r="O416" i="1"/>
  <c r="P13" i="1"/>
  <c r="O13" i="1"/>
  <c r="P405" i="1"/>
  <c r="O405" i="1"/>
  <c r="P133" i="1"/>
  <c r="O133" i="1"/>
  <c r="M404" i="1"/>
  <c r="L404" i="1"/>
  <c r="L67" i="1"/>
  <c r="M67" i="1"/>
  <c r="L392" i="1"/>
  <c r="M392" i="1"/>
  <c r="O399" i="1"/>
  <c r="P399" i="1"/>
  <c r="L131" i="1"/>
  <c r="M131" i="1"/>
  <c r="M474" i="1"/>
  <c r="L474" i="1"/>
  <c r="L320" i="1"/>
  <c r="M320" i="1"/>
  <c r="O63" i="1"/>
  <c r="P63" i="1"/>
  <c r="L264" i="1"/>
  <c r="M264" i="1"/>
  <c r="P40" i="1"/>
  <c r="O40" i="1"/>
  <c r="L407" i="1"/>
  <c r="M407" i="1"/>
  <c r="M380" i="1"/>
  <c r="L380" i="1"/>
  <c r="P507" i="1"/>
  <c r="O507" i="1"/>
  <c r="M353" i="1"/>
  <c r="L353" i="1"/>
  <c r="L193" i="1"/>
  <c r="M193" i="1"/>
  <c r="P286" i="1"/>
  <c r="O286" i="1"/>
  <c r="P263" i="1"/>
  <c r="O263" i="1"/>
  <c r="M491" i="1"/>
  <c r="L491" i="1"/>
  <c r="M149" i="1"/>
  <c r="L149" i="1"/>
  <c r="L438" i="1"/>
  <c r="M438" i="1"/>
  <c r="L65" i="1"/>
  <c r="M65" i="1"/>
  <c r="M310" i="1"/>
  <c r="L310" i="1"/>
  <c r="P393" i="1"/>
  <c r="O393" i="1"/>
  <c r="M74" i="1"/>
  <c r="L74" i="1"/>
  <c r="M514" i="1"/>
  <c r="L514" i="1"/>
  <c r="P435" i="1"/>
  <c r="O435" i="1"/>
  <c r="M75" i="1"/>
  <c r="L75" i="1"/>
  <c r="O420" i="1"/>
  <c r="P420" i="1"/>
  <c r="L512" i="1"/>
  <c r="M512" i="1"/>
  <c r="P337" i="1"/>
  <c r="O337" i="1"/>
  <c r="M250" i="1"/>
  <c r="L250" i="1"/>
  <c r="M144" i="1"/>
  <c r="L144" i="1"/>
  <c r="M80" i="1"/>
  <c r="L80" i="1"/>
  <c r="O289" i="1"/>
  <c r="P289" i="1"/>
  <c r="P32" i="1"/>
  <c r="O32" i="1"/>
  <c r="P205" i="1"/>
  <c r="O205" i="1"/>
  <c r="O212" i="1"/>
  <c r="P212" i="1"/>
  <c r="O459" i="1"/>
  <c r="P459" i="1"/>
  <c r="P72" i="1"/>
  <c r="O72" i="1"/>
  <c r="L301" i="1"/>
  <c r="M301" i="1"/>
  <c r="L309" i="1"/>
  <c r="M309" i="1"/>
  <c r="L505" i="1"/>
  <c r="M505" i="1"/>
  <c r="L415" i="1"/>
  <c r="M415" i="1"/>
  <c r="M73" i="1"/>
  <c r="L73" i="1"/>
  <c r="O512" i="1"/>
  <c r="P512" i="1"/>
  <c r="P153" i="1"/>
  <c r="O153" i="1"/>
  <c r="P397" i="1"/>
  <c r="O397" i="1"/>
  <c r="O505" i="1"/>
  <c r="P505" i="1"/>
  <c r="P130" i="1"/>
  <c r="O130" i="1"/>
  <c r="L489" i="1"/>
  <c r="M489" i="1"/>
  <c r="O37" i="1"/>
  <c r="P37" i="1"/>
  <c r="M464" i="1"/>
  <c r="L464" i="1"/>
  <c r="M335" i="1"/>
  <c r="L335" i="1"/>
  <c r="L210" i="1"/>
  <c r="M210" i="1"/>
  <c r="O279" i="1"/>
  <c r="P279" i="1"/>
  <c r="O305" i="1"/>
  <c r="P305" i="1"/>
  <c r="L507" i="1"/>
  <c r="M507" i="1"/>
  <c r="L477" i="1"/>
  <c r="M477" i="1"/>
  <c r="L262" i="1"/>
  <c r="M262" i="1"/>
  <c r="M138" i="1"/>
  <c r="L138" i="1"/>
  <c r="L484" i="1"/>
  <c r="M484" i="1"/>
  <c r="O371" i="1"/>
  <c r="P371" i="1"/>
  <c r="P240" i="1"/>
  <c r="O240" i="1"/>
  <c r="P181" i="1"/>
  <c r="O181" i="1"/>
  <c r="L399" i="1"/>
  <c r="M399" i="1"/>
  <c r="L274" i="1"/>
  <c r="M274" i="1"/>
  <c r="M106" i="1"/>
  <c r="L106" i="1"/>
  <c r="L400" i="1"/>
  <c r="M400" i="1"/>
  <c r="O255" i="1"/>
  <c r="P255" i="1"/>
  <c r="L231" i="1"/>
  <c r="M231" i="1"/>
  <c r="L238" i="1"/>
  <c r="M238" i="1"/>
  <c r="O501" i="1"/>
  <c r="P501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O334" i="1"/>
  <c r="P334" i="1"/>
  <c r="L215" i="1"/>
  <c r="M215" i="1"/>
  <c r="M69" i="1"/>
  <c r="L69" i="1"/>
  <c r="L356" i="1"/>
  <c r="M356" i="1"/>
  <c r="M110" i="1"/>
  <c r="L110" i="1"/>
  <c r="P460" i="1"/>
  <c r="O460" i="1"/>
  <c r="P330" i="1"/>
  <c r="O330" i="1"/>
  <c r="P119" i="1"/>
  <c r="O119" i="1"/>
  <c r="P245" i="1"/>
  <c r="O245" i="1"/>
  <c r="P135" i="1"/>
  <c r="O135" i="1"/>
  <c r="O49" i="1"/>
  <c r="P49" i="1"/>
  <c r="P10" i="1"/>
  <c r="O10" i="1"/>
  <c r="O476" i="1"/>
  <c r="P476" i="1"/>
  <c r="P310" i="1"/>
  <c r="O310" i="1"/>
  <c r="O209" i="1"/>
  <c r="P209" i="1"/>
  <c r="P457" i="1"/>
  <c r="O457" i="1"/>
  <c r="P95" i="1"/>
  <c r="O95" i="1"/>
  <c r="O382" i="1"/>
  <c r="P382" i="1"/>
  <c r="P163" i="1"/>
  <c r="O163" i="1"/>
  <c r="P296" i="1"/>
  <c r="O296" i="1"/>
  <c r="O270" i="1"/>
  <c r="P270" i="1"/>
  <c r="P380" i="1"/>
  <c r="O380" i="1"/>
  <c r="O508" i="1"/>
  <c r="P508" i="1"/>
  <c r="O195" i="1"/>
  <c r="P195" i="1"/>
  <c r="O492" i="1"/>
  <c r="P492" i="1"/>
  <c r="O68" i="1"/>
  <c r="P68" i="1"/>
  <c r="P362" i="1"/>
  <c r="O362" i="1"/>
  <c r="P513" i="1"/>
  <c r="O513" i="1"/>
  <c r="O378" i="1"/>
  <c r="P378" i="1"/>
  <c r="O386" i="1"/>
  <c r="P386" i="1"/>
  <c r="P167" i="1"/>
  <c r="O167" i="1"/>
  <c r="O474" i="1"/>
  <c r="P474" i="1"/>
  <c r="O96" i="1"/>
  <c r="P96" i="1"/>
  <c r="L451" i="1"/>
  <c r="M451" i="1"/>
  <c r="M308" i="1"/>
  <c r="L308" i="1"/>
  <c r="M428" i="1"/>
  <c r="L428" i="1"/>
  <c r="L190" i="1"/>
  <c r="M190" i="1"/>
  <c r="M101" i="1"/>
  <c r="L101" i="1"/>
  <c r="P183" i="1"/>
  <c r="O183" i="1"/>
  <c r="M176" i="1"/>
  <c r="L176" i="1"/>
  <c r="M363" i="1"/>
  <c r="L363" i="1"/>
  <c r="M445" i="1"/>
  <c r="L445" i="1"/>
  <c r="L29" i="1"/>
  <c r="M29" i="1"/>
  <c r="O288" i="1"/>
  <c r="P288" i="1"/>
  <c r="M337" i="1"/>
  <c r="L337" i="1"/>
  <c r="M434" i="1"/>
  <c r="L434" i="1"/>
  <c r="L332" i="1"/>
  <c r="M332" i="1"/>
  <c r="M277" i="1"/>
  <c r="L277" i="1"/>
  <c r="M297" i="1"/>
  <c r="L297" i="1"/>
  <c r="L412" i="1"/>
  <c r="M412" i="1"/>
  <c r="L376" i="1"/>
  <c r="M376" i="1"/>
  <c r="M42" i="1"/>
  <c r="L42" i="1"/>
  <c r="M58" i="1"/>
  <c r="L58" i="1"/>
  <c r="P336" i="1"/>
  <c r="O336" i="1"/>
  <c r="O293" i="1"/>
  <c r="P293" i="1"/>
  <c r="P166" i="1"/>
  <c r="O166" i="1"/>
  <c r="L453" i="1"/>
  <c r="M453" i="1"/>
  <c r="M444" i="1"/>
  <c r="L444" i="1"/>
  <c r="P171" i="1"/>
  <c r="O171" i="1"/>
  <c r="W30" i="1"/>
  <c r="M360" i="1"/>
  <c r="L360" i="1"/>
  <c r="M459" i="1"/>
  <c r="L459" i="1"/>
  <c r="M227" i="1"/>
  <c r="L227" i="1"/>
  <c r="L378" i="1"/>
  <c r="M378" i="1"/>
  <c r="L268" i="1"/>
  <c r="M268" i="1"/>
  <c r="L442" i="1"/>
  <c r="M442" i="1"/>
  <c r="M145" i="1"/>
  <c r="L145" i="1"/>
  <c r="P211" i="1"/>
  <c r="O211" i="1"/>
  <c r="P112" i="1"/>
  <c r="O112" i="1"/>
  <c r="M393" i="1"/>
  <c r="L393" i="1"/>
  <c r="M282" i="1"/>
  <c r="L282" i="1"/>
  <c r="L266" i="1"/>
  <c r="M266" i="1"/>
  <c r="M333" i="1"/>
  <c r="L333" i="1"/>
  <c r="L77" i="1"/>
  <c r="M77" i="1"/>
  <c r="M76" i="1"/>
  <c r="L76" i="1"/>
  <c r="L204" i="1"/>
  <c r="M204" i="1"/>
  <c r="M142" i="1"/>
  <c r="L142" i="1"/>
  <c r="M211" i="1"/>
  <c r="L211" i="1"/>
  <c r="L34" i="1"/>
  <c r="M34" i="1"/>
  <c r="M361" i="1"/>
  <c r="L361" i="1"/>
  <c r="M358" i="1"/>
  <c r="L358" i="1"/>
  <c r="L486" i="1"/>
  <c r="M486" i="1"/>
  <c r="M478" i="1"/>
  <c r="L478" i="1"/>
  <c r="P14" i="1"/>
  <c r="O14" i="1"/>
  <c r="L401" i="1"/>
  <c r="M401" i="1"/>
  <c r="M318" i="1"/>
  <c r="L318" i="1"/>
  <c r="L284" i="1"/>
  <c r="M284" i="1"/>
  <c r="P131" i="1"/>
  <c r="O131" i="1"/>
  <c r="L334" i="1"/>
  <c r="M334" i="1"/>
  <c r="M364" i="1"/>
  <c r="L364" i="1"/>
  <c r="L165" i="1"/>
  <c r="M165" i="1"/>
  <c r="O15" i="1"/>
  <c r="P15" i="1"/>
  <c r="M133" i="1"/>
  <c r="L133" i="1"/>
  <c r="P223" i="1"/>
  <c r="O223" i="1"/>
  <c r="O101" i="1"/>
  <c r="P101" i="1"/>
  <c r="L30" i="1"/>
  <c r="M30" i="1"/>
  <c r="L307" i="1"/>
  <c r="M307" i="1"/>
  <c r="L21" i="1"/>
  <c r="M21" i="1"/>
  <c r="L241" i="1"/>
  <c r="M241" i="1"/>
  <c r="P379" i="1"/>
  <c r="O379" i="1"/>
  <c r="M300" i="1"/>
  <c r="L300" i="1"/>
  <c r="M471" i="1"/>
  <c r="L471" i="1"/>
  <c r="L243" i="1"/>
  <c r="M243" i="1"/>
  <c r="M411" i="1"/>
  <c r="L411" i="1"/>
  <c r="M198" i="1"/>
  <c r="L198" i="1"/>
  <c r="L134" i="1"/>
  <c r="M134" i="1"/>
  <c r="P471" i="1"/>
  <c r="O471" i="1"/>
  <c r="M510" i="1"/>
  <c r="L510" i="1"/>
  <c r="L396" i="1"/>
  <c r="M396" i="1"/>
  <c r="L181" i="1"/>
  <c r="M181" i="1"/>
  <c r="M174" i="1"/>
  <c r="L174" i="1"/>
  <c r="O109" i="1"/>
  <c r="P109" i="1"/>
  <c r="P433" i="1"/>
  <c r="O433" i="1"/>
  <c r="L114" i="1"/>
  <c r="M114" i="1"/>
  <c r="L154" i="1"/>
  <c r="M154" i="1"/>
  <c r="M413" i="1"/>
  <c r="L413" i="1"/>
  <c r="O141" i="1"/>
  <c r="P141" i="1"/>
  <c r="O500" i="1"/>
  <c r="P500" i="1"/>
  <c r="L47" i="1"/>
  <c r="M47" i="1"/>
  <c r="L485" i="1"/>
  <c r="M485" i="1"/>
  <c r="M172" i="1"/>
  <c r="L172" i="1"/>
  <c r="M71" i="1"/>
  <c r="L71" i="1"/>
  <c r="L388" i="1"/>
  <c r="M388" i="1"/>
  <c r="L162" i="1"/>
  <c r="M162" i="1"/>
  <c r="L216" i="1"/>
  <c r="M216" i="1"/>
  <c r="P178" i="1"/>
  <c r="O178" i="1"/>
  <c r="P466" i="1"/>
  <c r="O466" i="1"/>
  <c r="O302" i="1"/>
  <c r="P302" i="1"/>
  <c r="P298" i="1"/>
  <c r="O298" i="1"/>
  <c r="O61" i="1"/>
  <c r="P61" i="1"/>
  <c r="P333" i="1"/>
  <c r="O333" i="1"/>
  <c r="M116" i="1"/>
  <c r="L116" i="1"/>
  <c r="M294" i="1"/>
  <c r="L294" i="1"/>
  <c r="P213" i="1"/>
  <c r="O213" i="1"/>
  <c r="M56" i="1"/>
  <c r="L56" i="1"/>
  <c r="P412" i="1"/>
  <c r="O412" i="1"/>
  <c r="P208" i="1"/>
  <c r="O208" i="1"/>
  <c r="M285" i="1"/>
  <c r="L285" i="1"/>
  <c r="M221" i="1"/>
  <c r="L221" i="1"/>
  <c r="M501" i="1"/>
  <c r="L501" i="1"/>
  <c r="L324" i="1"/>
  <c r="M324" i="1"/>
  <c r="L137" i="1"/>
  <c r="M137" i="1"/>
  <c r="P179" i="1"/>
  <c r="O179" i="1"/>
  <c r="P361" i="1"/>
  <c r="O361" i="1"/>
  <c r="O21" i="1"/>
  <c r="P21" i="1"/>
  <c r="M304" i="1"/>
  <c r="L304" i="1"/>
  <c r="P314" i="1"/>
  <c r="O314" i="1"/>
  <c r="M326" i="1"/>
  <c r="L326" i="1"/>
  <c r="M323" i="1"/>
  <c r="L323" i="1"/>
  <c r="P408" i="1"/>
  <c r="O408" i="1"/>
  <c r="O396" i="1"/>
  <c r="P396" i="1"/>
  <c r="M82" i="1"/>
  <c r="L82" i="1"/>
  <c r="L156" i="1"/>
  <c r="M156" i="1"/>
  <c r="P357" i="1"/>
  <c r="O357" i="1"/>
  <c r="P297" i="1"/>
  <c r="O297" i="1"/>
  <c r="P184" i="1"/>
  <c r="O184" i="1"/>
  <c r="P127" i="1"/>
  <c r="O127" i="1"/>
  <c r="P52" i="1"/>
  <c r="O52" i="1"/>
  <c r="P98" i="1"/>
  <c r="O98" i="1"/>
  <c r="P327" i="1"/>
  <c r="O327" i="1"/>
  <c r="O499" i="1"/>
  <c r="P499" i="1"/>
  <c r="P360" i="1"/>
  <c r="O360" i="1"/>
  <c r="O69" i="1"/>
  <c r="P69" i="1"/>
  <c r="P107" i="1"/>
  <c r="O107" i="1"/>
  <c r="O461" i="1"/>
  <c r="P461" i="1"/>
  <c r="P506" i="1"/>
  <c r="O506" i="1"/>
  <c r="O214" i="1"/>
  <c r="P214" i="1"/>
  <c r="P123" i="1"/>
  <c r="O123" i="1"/>
  <c r="P359" i="1"/>
  <c r="O359" i="1"/>
  <c r="O238" i="1"/>
  <c r="P238" i="1"/>
  <c r="P91" i="1"/>
  <c r="O91" i="1"/>
  <c r="P102" i="1"/>
  <c r="O102" i="1"/>
  <c r="P224" i="1"/>
  <c r="O224" i="1"/>
  <c r="P363" i="1"/>
  <c r="O363" i="1"/>
  <c r="P352" i="1"/>
  <c r="O352" i="1"/>
  <c r="P266" i="1"/>
  <c r="O266" i="1"/>
  <c r="P55" i="1"/>
  <c r="O55" i="1"/>
  <c r="P129" i="1"/>
  <c r="O129" i="1"/>
  <c r="O53" i="1"/>
  <c r="P53" i="1"/>
  <c r="P452" i="1"/>
  <c r="O452" i="1"/>
  <c r="P332" i="1"/>
  <c r="O332" i="1"/>
  <c r="P114" i="1"/>
  <c r="O114" i="1"/>
  <c r="H518" i="1" l="1"/>
  <c r="I518" i="1"/>
  <c r="H525" i="1"/>
  <c r="I525" i="1"/>
  <c r="H517" i="1"/>
  <c r="I517" i="1"/>
  <c r="H526" i="1"/>
  <c r="I526" i="1"/>
  <c r="H524" i="1"/>
  <c r="I524" i="1"/>
  <c r="H516" i="1"/>
  <c r="I516" i="1"/>
  <c r="H523" i="1"/>
  <c r="I523" i="1"/>
  <c r="H522" i="1"/>
  <c r="I522" i="1"/>
  <c r="H515" i="1"/>
  <c r="I515" i="1"/>
  <c r="H529" i="1"/>
  <c r="I529" i="1"/>
  <c r="H521" i="1"/>
  <c r="I521" i="1"/>
  <c r="H528" i="1"/>
  <c r="I528" i="1"/>
  <c r="H520" i="1"/>
  <c r="I520" i="1"/>
  <c r="H527" i="1"/>
  <c r="I527" i="1"/>
  <c r="H519" i="1"/>
  <c r="I519" i="1"/>
  <c r="H171" i="1"/>
  <c r="I171" i="1"/>
  <c r="R15" i="1"/>
  <c r="I465" i="1"/>
  <c r="H465" i="1"/>
  <c r="H143" i="1"/>
  <c r="I143" i="1"/>
  <c r="H423" i="1"/>
  <c r="I42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8" i="1"/>
  <c r="H258" i="1"/>
  <c r="H506" i="1"/>
  <c r="I506" i="1"/>
  <c r="I251" i="1"/>
  <c r="H251" i="1"/>
  <c r="H346" i="1"/>
  <c r="I346" i="1"/>
  <c r="H292" i="1"/>
  <c r="I292" i="1"/>
  <c r="H39" i="1"/>
  <c r="I39" i="1"/>
  <c r="H110" i="1"/>
  <c r="I110" i="1"/>
  <c r="H234" i="1"/>
  <c r="I234" i="1"/>
  <c r="H510" i="1"/>
  <c r="I510" i="1"/>
  <c r="H367" i="1"/>
  <c r="I367" i="1"/>
  <c r="I313" i="1"/>
  <c r="H313" i="1"/>
  <c r="H205" i="1"/>
  <c r="I205" i="1"/>
  <c r="I446" i="1"/>
  <c r="H446" i="1"/>
  <c r="H286" i="1"/>
  <c r="I286" i="1"/>
  <c r="H8" i="1"/>
  <c r="I8" i="1"/>
  <c r="H135" i="1"/>
  <c r="I135" i="1"/>
  <c r="H488" i="1"/>
  <c r="I488" i="1"/>
  <c r="H434" i="1"/>
  <c r="I434" i="1"/>
  <c r="I3" i="1"/>
  <c r="H3" i="1"/>
  <c r="I342" i="1"/>
  <c r="H342" i="1"/>
  <c r="H394" i="1"/>
  <c r="I394" i="1"/>
  <c r="H55" i="1"/>
  <c r="I55" i="1"/>
  <c r="H319" i="1"/>
  <c r="I319" i="1"/>
  <c r="I470" i="1"/>
  <c r="H470" i="1"/>
  <c r="I224" i="1"/>
  <c r="H224" i="1"/>
  <c r="H81" i="1"/>
  <c r="I81" i="1"/>
  <c r="H487" i="1"/>
  <c r="I487" i="1"/>
  <c r="H396" i="1"/>
  <c r="I396" i="1"/>
  <c r="I427" i="1"/>
  <c r="H427" i="1"/>
  <c r="I265" i="1"/>
  <c r="H265" i="1"/>
  <c r="H513" i="1"/>
  <c r="I513" i="1"/>
  <c r="I6" i="1"/>
  <c r="H6" i="1"/>
  <c r="H73" i="1"/>
  <c r="I73" i="1"/>
  <c r="H69" i="1"/>
  <c r="I69" i="1"/>
  <c r="H121" i="1"/>
  <c r="I121" i="1"/>
  <c r="H415" i="1"/>
  <c r="I415" i="1"/>
  <c r="H491" i="1"/>
  <c r="I491" i="1"/>
  <c r="I223" i="1"/>
  <c r="H223" i="1"/>
  <c r="H58" i="1"/>
  <c r="I58" i="1"/>
  <c r="H492" i="1"/>
  <c r="I492" i="1"/>
  <c r="H486" i="1"/>
  <c r="I486" i="1"/>
  <c r="I280" i="1"/>
  <c r="H280" i="1"/>
  <c r="H53" i="1"/>
  <c r="I53" i="1"/>
  <c r="I130" i="1"/>
  <c r="H130" i="1"/>
  <c r="H41" i="1"/>
  <c r="I41" i="1"/>
  <c r="I43" i="1"/>
  <c r="H43" i="1"/>
  <c r="I115" i="1"/>
  <c r="H115" i="1"/>
  <c r="I259" i="1"/>
  <c r="H259" i="1"/>
  <c r="I403" i="1"/>
  <c r="H403" i="1"/>
  <c r="H355" i="1"/>
  <c r="I355" i="1"/>
  <c r="H246" i="1"/>
  <c r="I246" i="1"/>
  <c r="H201" i="1"/>
  <c r="I201" i="1"/>
  <c r="I306" i="1"/>
  <c r="H306" i="1"/>
  <c r="H314" i="1"/>
  <c r="I314" i="1"/>
  <c r="H350" i="1"/>
  <c r="I350" i="1"/>
  <c r="I378" i="1"/>
  <c r="H378" i="1"/>
  <c r="I500" i="1"/>
  <c r="H500" i="1"/>
  <c r="H160" i="1"/>
  <c r="I160" i="1"/>
  <c r="H477" i="1"/>
  <c r="I477" i="1"/>
  <c r="I221" i="1"/>
  <c r="H221" i="1"/>
  <c r="I326" i="1"/>
  <c r="H326" i="1"/>
  <c r="H172" i="1"/>
  <c r="I172" i="1"/>
  <c r="H133" i="1"/>
  <c r="I133" i="1"/>
  <c r="I464" i="1"/>
  <c r="H464" i="1"/>
  <c r="I395" i="1"/>
  <c r="H395" i="1"/>
  <c r="H459" i="1"/>
  <c r="I459" i="1"/>
  <c r="H217" i="1"/>
  <c r="I217" i="1"/>
  <c r="H431" i="1"/>
  <c r="I431" i="1"/>
  <c r="I57" i="1"/>
  <c r="H57" i="1"/>
  <c r="H297" i="1"/>
  <c r="I297" i="1"/>
  <c r="H366" i="1"/>
  <c r="I366" i="1"/>
  <c r="I391" i="1"/>
  <c r="H391" i="1"/>
  <c r="H466" i="1"/>
  <c r="I466" i="1"/>
  <c r="I168" i="1"/>
  <c r="H168" i="1"/>
  <c r="H349" i="1"/>
  <c r="I349" i="1"/>
  <c r="I468" i="1"/>
  <c r="H468" i="1"/>
  <c r="H443" i="1"/>
  <c r="I443" i="1"/>
  <c r="H18" i="1"/>
  <c r="I18" i="1"/>
  <c r="H494" i="1"/>
  <c r="I494" i="1"/>
  <c r="I183" i="1"/>
  <c r="H183" i="1"/>
  <c r="I270" i="1"/>
  <c r="H270" i="1"/>
  <c r="H38" i="1"/>
  <c r="I38" i="1"/>
  <c r="I166" i="1"/>
  <c r="H166" i="1"/>
  <c r="H347" i="1"/>
  <c r="I347" i="1"/>
  <c r="H372" i="1"/>
  <c r="I372" i="1"/>
  <c r="H155" i="1"/>
  <c r="I155" i="1"/>
  <c r="H302" i="1"/>
  <c r="I302" i="1"/>
  <c r="H2" i="1"/>
  <c r="I2" i="1"/>
  <c r="I333" i="1"/>
  <c r="H333" i="1"/>
  <c r="I106" i="1"/>
  <c r="H106" i="1"/>
  <c r="I263" i="1"/>
  <c r="H263" i="1"/>
  <c r="I203" i="1"/>
  <c r="H203" i="1"/>
  <c r="H148" i="1"/>
  <c r="I148" i="1"/>
  <c r="I37" i="1"/>
  <c r="H37" i="1"/>
  <c r="H96" i="1"/>
  <c r="I96" i="1"/>
  <c r="I416" i="1"/>
  <c r="H416" i="1"/>
  <c r="H493" i="1"/>
  <c r="I493" i="1"/>
  <c r="H457" i="1"/>
  <c r="I457" i="1"/>
  <c r="I111" i="1"/>
  <c r="H111" i="1"/>
  <c r="H303" i="1"/>
  <c r="I303" i="1"/>
  <c r="H142" i="1"/>
  <c r="I142" i="1"/>
  <c r="H63" i="1"/>
  <c r="I63" i="1"/>
  <c r="H250" i="1"/>
  <c r="I250" i="1"/>
  <c r="I187" i="1"/>
  <c r="H187" i="1"/>
  <c r="I9" i="1"/>
  <c r="H9" i="1"/>
  <c r="H462" i="1"/>
  <c r="I462" i="1"/>
  <c r="H421" i="1"/>
  <c r="I421" i="1"/>
  <c r="H502" i="1"/>
  <c r="I502" i="1"/>
  <c r="H337" i="1"/>
  <c r="I337" i="1"/>
  <c r="I104" i="1"/>
  <c r="H104" i="1"/>
  <c r="H33" i="1"/>
  <c r="I33" i="1"/>
  <c r="H164" i="1"/>
  <c r="I164" i="1"/>
  <c r="H36" i="1"/>
  <c r="I36" i="1"/>
  <c r="H334" i="1"/>
  <c r="I334" i="1"/>
  <c r="H79" i="1"/>
  <c r="I79" i="1"/>
  <c r="H118" i="1"/>
  <c r="I118" i="1"/>
  <c r="I339" i="1"/>
  <c r="H339" i="1"/>
  <c r="I75" i="1"/>
  <c r="H75" i="1"/>
  <c r="H467" i="1"/>
  <c r="I467" i="1"/>
  <c r="H100" i="1"/>
  <c r="I100" i="1"/>
  <c r="H125" i="1"/>
  <c r="I125" i="1"/>
  <c r="H159" i="1"/>
  <c r="I159" i="1"/>
  <c r="H356" i="1"/>
  <c r="I356" i="1"/>
  <c r="I150" i="1"/>
  <c r="H150" i="1"/>
  <c r="I128" i="1"/>
  <c r="H128" i="1"/>
  <c r="I351" i="1"/>
  <c r="H351" i="1"/>
  <c r="I49" i="1"/>
  <c r="H49" i="1"/>
  <c r="I50" i="1"/>
  <c r="H50" i="1"/>
  <c r="I411" i="1"/>
  <c r="H411" i="1"/>
  <c r="H78" i="1"/>
  <c r="I78" i="1"/>
  <c r="I47" i="1"/>
  <c r="H47" i="1"/>
  <c r="H385" i="1"/>
  <c r="I385" i="1"/>
  <c r="H59" i="1"/>
  <c r="I59" i="1"/>
  <c r="H213" i="1"/>
  <c r="I213" i="1"/>
  <c r="I404" i="1"/>
  <c r="H404" i="1"/>
  <c r="I495" i="1"/>
  <c r="H495" i="1"/>
  <c r="I414" i="1"/>
  <c r="H414" i="1"/>
  <c r="H200" i="1"/>
  <c r="I200" i="1"/>
  <c r="H102" i="1"/>
  <c r="I102" i="1"/>
  <c r="I152" i="1"/>
  <c r="H152" i="1"/>
  <c r="I93" i="1"/>
  <c r="H93" i="1"/>
  <c r="H295" i="1"/>
  <c r="I295" i="1"/>
  <c r="H114" i="1"/>
  <c r="I114" i="1"/>
  <c r="H162" i="1"/>
  <c r="I162" i="1"/>
  <c r="I454" i="1"/>
  <c r="H454" i="1"/>
  <c r="I344" i="1"/>
  <c r="H344" i="1"/>
  <c r="I471" i="1"/>
  <c r="H471" i="1"/>
  <c r="H352" i="1"/>
  <c r="I352" i="1"/>
  <c r="H304" i="1"/>
  <c r="I304" i="1"/>
  <c r="I308" i="1"/>
  <c r="H308" i="1"/>
  <c r="H94" i="1"/>
  <c r="I94" i="1"/>
  <c r="I61" i="1"/>
  <c r="H61" i="1"/>
  <c r="I359" i="1"/>
  <c r="H359" i="1"/>
  <c r="I309" i="1"/>
  <c r="H309" i="1"/>
  <c r="H108" i="1"/>
  <c r="I108" i="1"/>
  <c r="H478" i="1"/>
  <c r="I478" i="1"/>
  <c r="H293" i="1"/>
  <c r="I293" i="1"/>
  <c r="H455" i="1"/>
  <c r="I455" i="1"/>
  <c r="H154" i="1"/>
  <c r="I154" i="1"/>
  <c r="H248" i="1"/>
  <c r="I248" i="1"/>
  <c r="I418" i="1"/>
  <c r="H418" i="1"/>
  <c r="H83" i="1"/>
  <c r="I83" i="1"/>
  <c r="I211" i="1"/>
  <c r="H211" i="1"/>
  <c r="H68" i="1"/>
  <c r="I68" i="1"/>
  <c r="H476" i="1"/>
  <c r="I476" i="1"/>
  <c r="H289" i="1"/>
  <c r="I289" i="1"/>
  <c r="H182" i="1"/>
  <c r="I182" i="1"/>
  <c r="H165" i="1"/>
  <c r="I165" i="1"/>
  <c r="I137" i="1"/>
  <c r="H137" i="1"/>
  <c r="H374" i="1"/>
  <c r="I374" i="1"/>
  <c r="H204" i="1"/>
  <c r="I204" i="1"/>
  <c r="I299" i="1"/>
  <c r="H299" i="1"/>
  <c r="I214" i="1"/>
  <c r="H214" i="1"/>
  <c r="H473" i="1"/>
  <c r="I473" i="1"/>
  <c r="H232" i="1"/>
  <c r="I232" i="1"/>
  <c r="H318" i="1"/>
  <c r="I318" i="1"/>
  <c r="H60" i="1"/>
  <c r="I60" i="1"/>
  <c r="I354" i="1"/>
  <c r="H354" i="1"/>
  <c r="H388" i="1"/>
  <c r="I388" i="1"/>
  <c r="H260" i="1"/>
  <c r="I260" i="1"/>
  <c r="H239" i="1"/>
  <c r="I239" i="1"/>
  <c r="H12" i="1"/>
  <c r="I12" i="1"/>
  <c r="H5" i="1"/>
  <c r="I5" i="1"/>
  <c r="H195" i="1"/>
  <c r="I195" i="1"/>
  <c r="I66" i="1"/>
  <c r="H66" i="1"/>
  <c r="H379" i="1"/>
  <c r="I379" i="1"/>
  <c r="I7" i="1"/>
  <c r="H7" i="1"/>
  <c r="H226" i="1"/>
  <c r="I226" i="1"/>
  <c r="H193" i="1"/>
  <c r="I193" i="1"/>
  <c r="H296" i="1"/>
  <c r="I296" i="1"/>
  <c r="H70" i="1"/>
  <c r="I70" i="1"/>
  <c r="H127" i="1"/>
  <c r="I127" i="1"/>
  <c r="H84" i="1"/>
  <c r="I84" i="1"/>
  <c r="H275" i="1"/>
  <c r="I275" i="1"/>
  <c r="H65" i="1"/>
  <c r="I65" i="1"/>
  <c r="H452" i="1"/>
  <c r="I452" i="1"/>
  <c r="I357" i="1"/>
  <c r="H357" i="1"/>
  <c r="H26" i="1"/>
  <c r="I26" i="1"/>
  <c r="H243" i="1"/>
  <c r="I243" i="1"/>
  <c r="I85" i="1"/>
  <c r="H85" i="1"/>
  <c r="H511" i="1"/>
  <c r="I511" i="1"/>
  <c r="H447" i="1"/>
  <c r="I447" i="1"/>
  <c r="H273" i="1"/>
  <c r="I273" i="1"/>
  <c r="H498" i="1"/>
  <c r="I498" i="1"/>
  <c r="H322" i="1"/>
  <c r="I322" i="1"/>
  <c r="H345" i="1"/>
  <c r="I345" i="1"/>
  <c r="H305" i="1"/>
  <c r="I305" i="1"/>
  <c r="H235" i="1"/>
  <c r="I235" i="1"/>
  <c r="H430" i="1"/>
  <c r="I430" i="1"/>
  <c r="I173" i="1"/>
  <c r="H173" i="1"/>
  <c r="H181" i="1"/>
  <c r="I181" i="1"/>
  <c r="I220" i="1"/>
  <c r="H220" i="1"/>
  <c r="H86" i="1"/>
  <c r="I86" i="1"/>
  <c r="I315" i="1"/>
  <c r="H315" i="1"/>
  <c r="H445" i="1"/>
  <c r="I445" i="1"/>
  <c r="H382" i="1"/>
  <c r="I382" i="1"/>
  <c r="H242" i="1"/>
  <c r="I242" i="1"/>
  <c r="H267" i="1"/>
  <c r="I267" i="1"/>
  <c r="H332" i="1"/>
  <c r="I332" i="1"/>
  <c r="I424" i="1"/>
  <c r="H424" i="1"/>
  <c r="H508" i="1"/>
  <c r="I508" i="1"/>
  <c r="H197" i="1"/>
  <c r="I197" i="1"/>
  <c r="H437" i="1"/>
  <c r="I437" i="1"/>
  <c r="H490" i="1"/>
  <c r="I490" i="1"/>
  <c r="I178" i="1"/>
  <c r="H178" i="1"/>
  <c r="H208" i="1"/>
  <c r="I208" i="1"/>
  <c r="I325" i="1"/>
  <c r="H325" i="1"/>
  <c r="H179" i="1"/>
  <c r="I179" i="1"/>
  <c r="H320" i="1"/>
  <c r="I320" i="1"/>
  <c r="I21" i="1"/>
  <c r="H21" i="1"/>
  <c r="H369" i="1"/>
  <c r="I369" i="1"/>
  <c r="I377" i="1"/>
  <c r="H377" i="1"/>
  <c r="H353" i="1"/>
  <c r="I353" i="1"/>
  <c r="H225" i="1"/>
  <c r="I225" i="1"/>
  <c r="H380" i="1"/>
  <c r="I380" i="1"/>
  <c r="H113" i="1"/>
  <c r="I113" i="1"/>
  <c r="I80" i="1"/>
  <c r="H80" i="1"/>
  <c r="H139" i="1"/>
  <c r="I139" i="1"/>
  <c r="H456" i="1"/>
  <c r="I456" i="1"/>
  <c r="H174" i="1"/>
  <c r="I174" i="1"/>
  <c r="H158" i="1"/>
  <c r="I158" i="1"/>
  <c r="I28" i="1"/>
  <c r="H28" i="1"/>
  <c r="H449" i="1"/>
  <c r="I449" i="1"/>
  <c r="H175" i="1"/>
  <c r="I175" i="1"/>
  <c r="H254" i="1"/>
  <c r="I254" i="1"/>
  <c r="H266" i="1"/>
  <c r="I266" i="1"/>
  <c r="I422" i="1"/>
  <c r="H422" i="1"/>
  <c r="I375" i="1"/>
  <c r="H375" i="1"/>
  <c r="H401" i="1"/>
  <c r="I401" i="1"/>
  <c r="H298" i="1"/>
  <c r="I298" i="1"/>
  <c r="H408" i="1"/>
  <c r="I408" i="1"/>
  <c r="H163" i="1"/>
  <c r="I163" i="1"/>
  <c r="I442" i="1"/>
  <c r="H442" i="1"/>
  <c r="H101" i="1"/>
  <c r="I101" i="1"/>
  <c r="H244" i="1"/>
  <c r="I244" i="1"/>
  <c r="H363" i="1"/>
  <c r="I363" i="1"/>
  <c r="H23" i="1"/>
  <c r="I23" i="1"/>
  <c r="H34" i="1"/>
  <c r="I34" i="1"/>
  <c r="I400" i="1"/>
  <c r="H400" i="1"/>
  <c r="I229" i="1"/>
  <c r="H229" i="1"/>
  <c r="H505" i="1"/>
  <c r="I505" i="1"/>
  <c r="H24" i="1"/>
  <c r="I24" i="1"/>
  <c r="H146" i="1"/>
  <c r="I146" i="1"/>
  <c r="H312" i="1"/>
  <c r="I312" i="1"/>
  <c r="H448" i="1"/>
  <c r="I448" i="1"/>
  <c r="I32" i="1"/>
  <c r="H32" i="1"/>
  <c r="H169" i="1"/>
  <c r="I169" i="1"/>
  <c r="H439" i="1"/>
  <c r="I439" i="1"/>
  <c r="H407" i="1"/>
  <c r="I407" i="1"/>
  <c r="H373" i="1"/>
  <c r="I373" i="1"/>
  <c r="H247" i="1"/>
  <c r="I247" i="1"/>
  <c r="I189" i="1"/>
  <c r="H189" i="1"/>
  <c r="H116" i="1"/>
  <c r="I116" i="1"/>
  <c r="I153" i="1"/>
  <c r="H153" i="1"/>
  <c r="H483" i="1"/>
  <c r="I483" i="1"/>
  <c r="I321" i="1"/>
  <c r="H321" i="1"/>
  <c r="H112" i="1"/>
  <c r="I112" i="1"/>
  <c r="I196" i="1"/>
  <c r="H196" i="1"/>
  <c r="I253" i="1"/>
  <c r="H253" i="1"/>
  <c r="I268" i="1"/>
  <c r="H268" i="1"/>
  <c r="I240" i="1"/>
  <c r="H240" i="1"/>
  <c r="I103" i="1"/>
  <c r="H103" i="1"/>
  <c r="H489" i="1"/>
  <c r="I489" i="1"/>
  <c r="I51" i="1"/>
  <c r="H51" i="1"/>
  <c r="I420" i="1"/>
  <c r="H420" i="1"/>
  <c r="H463" i="1"/>
  <c r="I463" i="1"/>
  <c r="H272" i="1"/>
  <c r="I272" i="1"/>
  <c r="H107" i="1"/>
  <c r="I107" i="1"/>
  <c r="H255" i="1"/>
  <c r="I255" i="1"/>
  <c r="H206" i="1"/>
  <c r="I206" i="1"/>
  <c r="H131" i="1"/>
  <c r="I131" i="1"/>
  <c r="H429" i="1"/>
  <c r="I429" i="1"/>
  <c r="H485" i="1"/>
  <c r="I485" i="1"/>
  <c r="H180" i="1"/>
  <c r="I180" i="1"/>
  <c r="I138" i="1"/>
  <c r="H138" i="1"/>
  <c r="H20" i="1"/>
  <c r="I20" i="1"/>
  <c r="I472" i="1"/>
  <c r="H472" i="1"/>
  <c r="I136" i="1"/>
  <c r="H136" i="1"/>
  <c r="I433" i="1"/>
  <c r="H433" i="1"/>
  <c r="I212" i="1"/>
  <c r="H212" i="1"/>
  <c r="H13" i="1"/>
  <c r="I13" i="1"/>
  <c r="I71" i="1"/>
  <c r="H71" i="1"/>
  <c r="H390" i="1"/>
  <c r="I390" i="1"/>
  <c r="I82" i="1"/>
  <c r="H82" i="1"/>
  <c r="H412" i="1"/>
  <c r="I412" i="1"/>
  <c r="I300" i="1"/>
  <c r="H300" i="1"/>
  <c r="H425" i="1"/>
  <c r="I425" i="1"/>
  <c r="H360" i="1"/>
  <c r="I360" i="1"/>
  <c r="H161" i="1"/>
  <c r="I161" i="1"/>
  <c r="H15" i="1"/>
  <c r="I15" i="1"/>
  <c r="H52" i="1"/>
  <c r="I52" i="1"/>
  <c r="I343" i="1"/>
  <c r="H343" i="1"/>
  <c r="I461" i="1"/>
  <c r="H461" i="1"/>
  <c r="H291" i="1"/>
  <c r="I291" i="1"/>
  <c r="H328" i="1"/>
  <c r="I328" i="1"/>
  <c r="H22" i="1"/>
  <c r="I22" i="1"/>
  <c r="I117" i="1"/>
  <c r="H117" i="1"/>
  <c r="I284" i="1"/>
  <c r="H284" i="1"/>
  <c r="H44" i="1"/>
  <c r="I44" i="1"/>
  <c r="H335" i="1"/>
  <c r="I335" i="1"/>
  <c r="H120" i="1"/>
  <c r="I120" i="1"/>
  <c r="H241" i="1"/>
  <c r="I241" i="1"/>
  <c r="H441" i="1"/>
  <c r="I441" i="1"/>
  <c r="H387" i="1"/>
  <c r="I387" i="1"/>
  <c r="H27" i="1"/>
  <c r="I27" i="1"/>
  <c r="I399" i="1"/>
  <c r="H399" i="1"/>
  <c r="H222" i="1"/>
  <c r="I222" i="1"/>
  <c r="I497" i="1"/>
  <c r="H497" i="1"/>
  <c r="H474" i="1"/>
  <c r="I474" i="1"/>
  <c r="H413" i="1"/>
  <c r="I413" i="1"/>
  <c r="H89" i="1"/>
  <c r="I89" i="1"/>
  <c r="I371" i="1"/>
  <c r="H371" i="1"/>
  <c r="I167" i="1"/>
  <c r="H167" i="1"/>
  <c r="I185" i="1"/>
  <c r="H185" i="1"/>
  <c r="I504" i="1"/>
  <c r="H504" i="1"/>
  <c r="H109" i="1"/>
  <c r="I109" i="1"/>
  <c r="H475" i="1"/>
  <c r="I475" i="1"/>
  <c r="I409" i="1"/>
  <c r="H409" i="1"/>
  <c r="H285" i="1"/>
  <c r="I285" i="1"/>
  <c r="H231" i="1"/>
  <c r="I231" i="1"/>
  <c r="H426" i="1"/>
  <c r="I426" i="1"/>
  <c r="H499" i="1"/>
  <c r="I499" i="1"/>
  <c r="H219" i="1"/>
  <c r="I219" i="1"/>
  <c r="H368" i="1"/>
  <c r="I368" i="1"/>
  <c r="H194" i="1"/>
  <c r="I194" i="1"/>
  <c r="H98" i="1"/>
  <c r="I98" i="1"/>
  <c r="I362" i="1"/>
  <c r="H362" i="1"/>
  <c r="H76" i="1"/>
  <c r="I76" i="1"/>
  <c r="I294" i="1"/>
  <c r="H294" i="1"/>
  <c r="I126" i="1"/>
  <c r="H126" i="1"/>
  <c r="I134" i="1"/>
  <c r="H134" i="1"/>
  <c r="H348" i="1"/>
  <c r="I348" i="1"/>
  <c r="H331" i="1"/>
  <c r="I331" i="1"/>
  <c r="I458" i="1"/>
  <c r="H458" i="1"/>
  <c r="I398" i="1"/>
  <c r="H398" i="1"/>
  <c r="I145" i="1"/>
  <c r="H145" i="1"/>
  <c r="I72" i="1"/>
  <c r="H72" i="1"/>
  <c r="H451" i="1"/>
  <c r="I451" i="1"/>
  <c r="I257" i="1"/>
  <c r="H257" i="1"/>
  <c r="H67" i="1"/>
  <c r="I67" i="1"/>
  <c r="H436" i="1"/>
  <c r="I436" i="1"/>
  <c r="I307" i="1"/>
  <c r="H307" i="1"/>
  <c r="H64" i="1"/>
  <c r="I64" i="1"/>
  <c r="I97" i="1"/>
  <c r="H97" i="1"/>
  <c r="I281" i="1"/>
  <c r="H281" i="1"/>
  <c r="H140" i="1"/>
  <c r="I140" i="1"/>
  <c r="H376" i="1"/>
  <c r="I376" i="1"/>
  <c r="H87" i="1"/>
  <c r="I87" i="1"/>
  <c r="Y29" i="1"/>
  <c r="W31" i="1"/>
  <c r="H209" i="1"/>
  <c r="I209" i="1"/>
  <c r="H10" i="1"/>
  <c r="I10" i="1"/>
  <c r="I202" i="1"/>
  <c r="H202" i="1"/>
  <c r="H327" i="1"/>
  <c r="I327" i="1"/>
  <c r="I170" i="1"/>
  <c r="H170" i="1"/>
  <c r="H276" i="1"/>
  <c r="I276" i="1"/>
  <c r="H141" i="1"/>
  <c r="I141" i="1"/>
  <c r="I74" i="1"/>
  <c r="H74" i="1"/>
  <c r="I91" i="1"/>
  <c r="H91" i="1"/>
  <c r="I450" i="1"/>
  <c r="H450" i="1"/>
  <c r="H233" i="1"/>
  <c r="I233" i="1"/>
  <c r="H393" i="1"/>
  <c r="I393" i="1"/>
  <c r="I358" i="1"/>
  <c r="H358" i="1"/>
  <c r="H340" i="1"/>
  <c r="I340" i="1"/>
  <c r="H19" i="1"/>
  <c r="I19" i="1"/>
  <c r="I264" i="1"/>
  <c r="H264" i="1"/>
  <c r="I147" i="1"/>
  <c r="H147" i="1"/>
  <c r="H157" i="1"/>
  <c r="I157" i="1"/>
  <c r="H392" i="1"/>
  <c r="I392" i="1"/>
  <c r="H119" i="1"/>
  <c r="I119" i="1"/>
  <c r="H440" i="1"/>
  <c r="I440" i="1"/>
  <c r="H156" i="1"/>
  <c r="I156" i="1"/>
  <c r="I40" i="1"/>
  <c r="H40" i="1"/>
  <c r="H262" i="1"/>
  <c r="I262" i="1"/>
  <c r="H384" i="1"/>
  <c r="I384" i="1"/>
  <c r="H42" i="1"/>
  <c r="I42" i="1"/>
  <c r="H90" i="1"/>
  <c r="I90" i="1"/>
  <c r="H277" i="1"/>
  <c r="I277" i="1"/>
  <c r="I397" i="1"/>
  <c r="H397" i="1"/>
  <c r="H406" i="1"/>
  <c r="I406" i="1"/>
  <c r="H417" i="1"/>
  <c r="I417" i="1"/>
  <c r="H237" i="1"/>
  <c r="I237" i="1"/>
  <c r="I230" i="1"/>
  <c r="H230" i="1"/>
  <c r="H46" i="1"/>
  <c r="I46" i="1"/>
  <c r="I316" i="1"/>
  <c r="H316" i="1"/>
  <c r="I4" i="1"/>
  <c r="H4" i="1"/>
  <c r="H389" i="1"/>
  <c r="I389" i="1"/>
  <c r="H364" i="1"/>
  <c r="I364" i="1"/>
  <c r="H507" i="1"/>
  <c r="I507" i="1"/>
  <c r="H149" i="1"/>
  <c r="I149" i="1"/>
  <c r="H123" i="1"/>
  <c r="I123" i="1"/>
  <c r="H198" i="1"/>
  <c r="I198" i="1"/>
  <c r="I329" i="1"/>
  <c r="H329" i="1"/>
  <c r="H428" i="1"/>
  <c r="I428" i="1"/>
  <c r="H271" i="1"/>
  <c r="I271" i="1"/>
  <c r="I419" i="1"/>
  <c r="H419" i="1"/>
  <c r="I124" i="1"/>
  <c r="H124" i="1"/>
  <c r="I435" i="1"/>
  <c r="H435" i="1"/>
  <c r="H405" i="1"/>
  <c r="I405" i="1"/>
  <c r="I132" i="1"/>
  <c r="H132" i="1"/>
  <c r="H192" i="1"/>
  <c r="I192" i="1"/>
  <c r="H45" i="1"/>
  <c r="I45" i="1"/>
  <c r="H509" i="1"/>
  <c r="I509" i="1"/>
  <c r="H31" i="1"/>
  <c r="I31" i="1"/>
  <c r="I279" i="1"/>
  <c r="H279" i="1"/>
  <c r="I283" i="1"/>
  <c r="H283" i="1"/>
  <c r="H310" i="1"/>
  <c r="I310" i="1"/>
  <c r="H252" i="1"/>
  <c r="I252" i="1"/>
  <c r="H512" i="1"/>
  <c r="I512" i="1"/>
  <c r="H338" i="1"/>
  <c r="I338" i="1"/>
  <c r="I365" i="1"/>
  <c r="H365" i="1"/>
  <c r="I99" i="1"/>
  <c r="H99" i="1"/>
  <c r="H25" i="1"/>
  <c r="I25" i="1"/>
  <c r="H432" i="1"/>
  <c r="I432" i="1"/>
  <c r="H479" i="1"/>
  <c r="I479" i="1"/>
  <c r="I444" i="1"/>
  <c r="H444" i="1"/>
  <c r="I460" i="1"/>
  <c r="H460" i="1"/>
  <c r="H287" i="1"/>
  <c r="I287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29" i="1" s="1"/>
  <c r="I381" i="1"/>
  <c r="H381" i="1"/>
  <c r="H282" i="1"/>
  <c r="I282" i="1"/>
  <c r="H290" i="1"/>
  <c r="I290" i="1"/>
  <c r="H210" i="1"/>
  <c r="I210" i="1"/>
  <c r="I482" i="1"/>
  <c r="H482" i="1"/>
  <c r="H11" i="1"/>
  <c r="I11" i="1"/>
  <c r="I484" i="1"/>
  <c r="H484" i="1"/>
  <c r="I48" i="1"/>
  <c r="H48" i="1"/>
  <c r="H496" i="1"/>
  <c r="I496" i="1"/>
  <c r="I361" i="1"/>
  <c r="H361" i="1"/>
  <c r="I288" i="1"/>
  <c r="H288" i="1"/>
  <c r="I14" i="1"/>
  <c r="H14" i="1"/>
  <c r="H188" i="1"/>
  <c r="I188" i="1"/>
  <c r="I216" i="1"/>
  <c r="H216" i="1"/>
  <c r="I144" i="1"/>
  <c r="H144" i="1"/>
  <c r="I129" i="1"/>
  <c r="H129" i="1"/>
  <c r="H336" i="1"/>
  <c r="I336" i="1"/>
  <c r="H261" i="1"/>
  <c r="I261" i="1"/>
  <c r="H199" i="1"/>
  <c r="I199" i="1"/>
  <c r="I370" i="1"/>
  <c r="H370" i="1"/>
  <c r="H228" i="1"/>
  <c r="I228" i="1"/>
  <c r="H207" i="1"/>
  <c r="I207" i="1"/>
  <c r="H301" i="1"/>
  <c r="I301" i="1"/>
  <c r="I77" i="1"/>
  <c r="H77" i="1"/>
  <c r="H469" i="1"/>
  <c r="I469" i="1"/>
  <c r="I501" i="1"/>
  <c r="H501" i="1"/>
  <c r="I95" i="1"/>
  <c r="H95" i="1"/>
  <c r="H311" i="1"/>
  <c r="I311" i="1"/>
  <c r="H151" i="1"/>
  <c r="I151" i="1"/>
  <c r="H256" i="1"/>
  <c r="I256" i="1"/>
  <c r="H274" i="1"/>
  <c r="I274" i="1"/>
  <c r="I56" i="1"/>
  <c r="H56" i="1"/>
  <c r="I249" i="1"/>
  <c r="H249" i="1"/>
  <c r="H410" i="1"/>
  <c r="I410" i="1"/>
  <c r="I383" i="1"/>
  <c r="H383" i="1"/>
  <c r="I438" i="1"/>
  <c r="H438" i="1"/>
  <c r="H453" i="1"/>
  <c r="I453" i="1"/>
  <c r="H184" i="1"/>
  <c r="I184" i="1"/>
  <c r="H386" i="1"/>
  <c r="I386" i="1"/>
  <c r="H218" i="1"/>
  <c r="I218" i="1"/>
  <c r="I30" i="1"/>
  <c r="H30" i="1"/>
  <c r="I245" i="1"/>
  <c r="H245" i="1"/>
  <c r="I215" i="1"/>
  <c r="H215" i="1"/>
  <c r="H35" i="1"/>
  <c r="I35" i="1"/>
  <c r="H503" i="1"/>
  <c r="I503" i="1"/>
  <c r="H514" i="1"/>
  <c r="I514" i="1"/>
  <c r="H54" i="1"/>
  <c r="I54" i="1"/>
  <c r="H323" i="1"/>
  <c r="I323" i="1"/>
  <c r="I481" i="1"/>
  <c r="H481" i="1"/>
  <c r="H16" i="1"/>
  <c r="I16" i="1"/>
  <c r="H317" i="1"/>
  <c r="I317" i="1"/>
  <c r="H269" i="1"/>
  <c r="I269" i="1"/>
  <c r="H341" i="1"/>
  <c r="I341" i="1"/>
  <c r="H278" i="1"/>
  <c r="I278" i="1"/>
  <c r="H324" i="1"/>
  <c r="I324" i="1"/>
  <c r="H191" i="1"/>
  <c r="I191" i="1"/>
  <c r="H236" i="1"/>
  <c r="I236" i="1"/>
  <c r="H402" i="1"/>
  <c r="I402" i="1"/>
  <c r="I105" i="1"/>
  <c r="H105" i="1"/>
  <c r="H330" i="1"/>
  <c r="I330" i="1"/>
  <c r="I177" i="1"/>
  <c r="H177" i="1"/>
  <c r="I480" i="1"/>
  <c r="H480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Z155" i="1" s="1"/>
  <c r="AA155" i="1" s="1"/>
  <c r="W157" i="1"/>
  <c r="R141" i="1"/>
  <c r="S140" i="1"/>
  <c r="T140" i="1" s="1"/>
  <c r="S141" i="1" l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Z233" i="1" s="1"/>
  <c r="AA233" i="1" s="1"/>
  <c r="W235" i="1"/>
  <c r="R219" i="1"/>
  <c r="S218" i="1"/>
  <c r="T218" i="1" s="1"/>
  <c r="R220" i="1" l="1"/>
  <c r="S219" i="1"/>
  <c r="T219" i="1" s="1"/>
  <c r="Y234" i="1"/>
  <c r="Z234" i="1" s="1"/>
  <c r="AA234" i="1" s="1"/>
  <c r="W236" i="1"/>
  <c r="Y235" i="1" l="1"/>
  <c r="Z235" i="1" s="1"/>
  <c r="AA235" i="1" s="1"/>
  <c r="W237" i="1"/>
  <c r="R221" i="1"/>
  <c r="S220" i="1"/>
  <c r="T220" i="1" s="1"/>
  <c r="Y236" i="1" l="1"/>
  <c r="Z236" i="1" s="1"/>
  <c r="AA236" i="1" s="1"/>
  <c r="W238" i="1"/>
  <c r="R222" i="1"/>
  <c r="S221" i="1"/>
  <c r="T221" i="1" s="1"/>
  <c r="R223" i="1" l="1"/>
  <c r="S222" i="1"/>
  <c r="T222" i="1" s="1"/>
  <c r="Y237" i="1"/>
  <c r="Z237" i="1" s="1"/>
  <c r="AA237" i="1" s="1"/>
  <c r="W239" i="1"/>
  <c r="Y238" i="1" l="1"/>
  <c r="Z238" i="1" s="1"/>
  <c r="AA238" i="1" s="1"/>
  <c r="W240" i="1"/>
  <c r="R224" i="1"/>
  <c r="S223" i="1"/>
  <c r="T223" i="1" s="1"/>
  <c r="S224" i="1" l="1"/>
  <c r="T224" i="1" s="1"/>
  <c r="R225" i="1"/>
  <c r="Y239" i="1"/>
  <c r="Z239" i="1" s="1"/>
  <c r="AA239" i="1" s="1"/>
  <c r="W241" i="1"/>
  <c r="Y240" i="1" l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W252" i="1"/>
  <c r="R236" i="1"/>
  <c r="S235" i="1"/>
  <c r="T235" i="1" s="1"/>
  <c r="R237" i="1" l="1"/>
  <c r="S236" i="1"/>
  <c r="T236" i="1" s="1"/>
  <c r="Y251" i="1"/>
  <c r="Z251" i="1" s="1"/>
  <c r="AA251" i="1" s="1"/>
  <c r="W253" i="1"/>
  <c r="Y252" i="1" l="1"/>
  <c r="Z252" i="1" s="1"/>
  <c r="AA252" i="1" s="1"/>
  <c r="W254" i="1"/>
  <c r="R238" i="1"/>
  <c r="S237" i="1"/>
  <c r="T237" i="1" s="1"/>
  <c r="R239" i="1" l="1"/>
  <c r="S238" i="1"/>
  <c r="T238" i="1" s="1"/>
  <c r="Y253" i="1"/>
  <c r="Z253" i="1" s="1"/>
  <c r="AA253" i="1" s="1"/>
  <c r="W255" i="1"/>
  <c r="Y254" i="1" l="1"/>
  <c r="Z254" i="1" s="1"/>
  <c r="AA254" i="1" s="1"/>
  <c r="W256" i="1"/>
  <c r="R240" i="1"/>
  <c r="S239" i="1"/>
  <c r="T239" i="1" s="1"/>
  <c r="R241" i="1" l="1"/>
  <c r="S240" i="1"/>
  <c r="T240" i="1" s="1"/>
  <c r="Y255" i="1"/>
  <c r="Z255" i="1" s="1"/>
  <c r="AA255" i="1" s="1"/>
  <c r="W257" i="1"/>
  <c r="Y256" i="1" l="1"/>
  <c r="Z256" i="1" s="1"/>
  <c r="AA256" i="1" s="1"/>
  <c r="W258" i="1"/>
  <c r="R242" i="1"/>
  <c r="S241" i="1"/>
  <c r="T241" i="1" s="1"/>
  <c r="R243" i="1" l="1"/>
  <c r="S242" i="1"/>
  <c r="T242" i="1" s="1"/>
  <c r="Y257" i="1"/>
  <c r="Z257" i="1" s="1"/>
  <c r="AA257" i="1" s="1"/>
  <c r="W259" i="1"/>
  <c r="Y258" i="1" l="1"/>
  <c r="Z258" i="1" s="1"/>
  <c r="AA258" i="1" s="1"/>
  <c r="W260" i="1"/>
  <c r="R244" i="1"/>
  <c r="S243" i="1"/>
  <c r="T243" i="1" s="1"/>
  <c r="R245" i="1" l="1"/>
  <c r="S244" i="1"/>
  <c r="T244" i="1" s="1"/>
  <c r="Y259" i="1"/>
  <c r="Z259" i="1" s="1"/>
  <c r="AA259" i="1" s="1"/>
  <c r="W261" i="1"/>
  <c r="Y260" i="1" l="1"/>
  <c r="Z260" i="1" s="1"/>
  <c r="AA260" i="1" s="1"/>
  <c r="W262" i="1"/>
  <c r="R246" i="1"/>
  <c r="S245" i="1"/>
  <c r="T245" i="1" s="1"/>
  <c r="R247" i="1" l="1"/>
  <c r="S246" i="1"/>
  <c r="T246" i="1" s="1"/>
  <c r="Y261" i="1"/>
  <c r="Z261" i="1" s="1"/>
  <c r="AA261" i="1" s="1"/>
  <c r="W263" i="1"/>
  <c r="Y262" i="1" l="1"/>
  <c r="Z262" i="1" s="1"/>
  <c r="AA262" i="1" s="1"/>
  <c r="W264" i="1"/>
  <c r="R248" i="1"/>
  <c r="S247" i="1"/>
  <c r="T247" i="1" s="1"/>
  <c r="R249" i="1" l="1"/>
  <c r="S248" i="1"/>
  <c r="T248" i="1" s="1"/>
  <c r="Y263" i="1"/>
  <c r="Z263" i="1" s="1"/>
  <c r="AA263" i="1" s="1"/>
  <c r="W265" i="1"/>
  <c r="Y264" i="1" l="1"/>
  <c r="Z264" i="1" s="1"/>
  <c r="AA264" i="1" s="1"/>
  <c r="W266" i="1"/>
  <c r="R250" i="1"/>
  <c r="S249" i="1"/>
  <c r="T249" i="1" s="1"/>
  <c r="R251" i="1" l="1"/>
  <c r="S250" i="1"/>
  <c r="T250" i="1" s="1"/>
  <c r="Y265" i="1"/>
  <c r="Z265" i="1" s="1"/>
  <c r="AA265" i="1" s="1"/>
  <c r="W267" i="1"/>
  <c r="Y266" i="1" l="1"/>
  <c r="Z266" i="1" s="1"/>
  <c r="AA266" i="1" s="1"/>
  <c r="W268" i="1"/>
  <c r="R252" i="1"/>
  <c r="S251" i="1"/>
  <c r="T251" i="1" s="1"/>
  <c r="R253" i="1" l="1"/>
  <c r="S252" i="1"/>
  <c r="T252" i="1" s="1"/>
  <c r="Y267" i="1"/>
  <c r="Z267" i="1" s="1"/>
  <c r="AA267" i="1" s="1"/>
  <c r="W269" i="1"/>
  <c r="Y268" i="1" l="1"/>
  <c r="Z268" i="1" s="1"/>
  <c r="AA268" i="1" s="1"/>
  <c r="W270" i="1"/>
  <c r="R254" i="1"/>
  <c r="S253" i="1"/>
  <c r="T253" i="1" s="1"/>
  <c r="R255" i="1" l="1"/>
  <c r="S254" i="1"/>
  <c r="T254" i="1" s="1"/>
  <c r="Y269" i="1"/>
  <c r="Z269" i="1" s="1"/>
  <c r="AA269" i="1" s="1"/>
  <c r="W271" i="1"/>
  <c r="Y270" i="1" l="1"/>
  <c r="Z270" i="1" s="1"/>
  <c r="AA270" i="1" s="1"/>
  <c r="W272" i="1"/>
  <c r="R256" i="1"/>
  <c r="S255" i="1"/>
  <c r="T255" i="1" s="1"/>
  <c r="R257" i="1" l="1"/>
  <c r="S256" i="1"/>
  <c r="T256" i="1" s="1"/>
  <c r="Y271" i="1"/>
  <c r="Z271" i="1" s="1"/>
  <c r="AA271" i="1" s="1"/>
  <c r="W273" i="1"/>
  <c r="Y272" i="1" l="1"/>
  <c r="Z272" i="1" s="1"/>
  <c r="AA272" i="1" s="1"/>
  <c r="W274" i="1"/>
  <c r="R258" i="1"/>
  <c r="S257" i="1"/>
  <c r="T257" i="1" s="1"/>
  <c r="R259" i="1" l="1"/>
  <c r="S258" i="1"/>
  <c r="T258" i="1" s="1"/>
  <c r="Y273" i="1"/>
  <c r="Z273" i="1" s="1"/>
  <c r="AA273" i="1" s="1"/>
  <c r="W275" i="1"/>
  <c r="Y274" i="1" l="1"/>
  <c r="Z274" i="1" s="1"/>
  <c r="AA274" i="1" s="1"/>
  <c r="W276" i="1"/>
  <c r="R260" i="1"/>
  <c r="S259" i="1"/>
  <c r="T259" i="1" s="1"/>
  <c r="R261" i="1" l="1"/>
  <c r="S260" i="1"/>
  <c r="T260" i="1" s="1"/>
  <c r="Y275" i="1"/>
  <c r="Z275" i="1" s="1"/>
  <c r="AA275" i="1" s="1"/>
  <c r="W277" i="1"/>
  <c r="Y276" i="1" l="1"/>
  <c r="Z276" i="1" s="1"/>
  <c r="AA276" i="1" s="1"/>
  <c r="W278" i="1"/>
  <c r="R262" i="1"/>
  <c r="S261" i="1"/>
  <c r="T261" i="1" s="1"/>
  <c r="R263" i="1" l="1"/>
  <c r="S262" i="1"/>
  <c r="T262" i="1" s="1"/>
  <c r="Y277" i="1"/>
  <c r="Z277" i="1" s="1"/>
  <c r="AA277" i="1" s="1"/>
  <c r="W279" i="1"/>
  <c r="Y278" i="1" l="1"/>
  <c r="Z278" i="1" s="1"/>
  <c r="AA278" i="1" s="1"/>
  <c r="W280" i="1"/>
  <c r="R264" i="1"/>
  <c r="S263" i="1"/>
  <c r="T263" i="1" s="1"/>
  <c r="R265" i="1" l="1"/>
  <c r="S264" i="1"/>
  <c r="T264" i="1" s="1"/>
  <c r="Y279" i="1"/>
  <c r="Z279" i="1" s="1"/>
  <c r="AA279" i="1" s="1"/>
  <c r="W281" i="1"/>
  <c r="Y280" i="1" l="1"/>
  <c r="Z280" i="1" s="1"/>
  <c r="AA280" i="1" s="1"/>
  <c r="W282" i="1"/>
  <c r="R266" i="1"/>
  <c r="S265" i="1"/>
  <c r="T265" i="1" s="1"/>
  <c r="Y281" i="1" l="1"/>
  <c r="Z281" i="1" s="1"/>
  <c r="AA281" i="1" s="1"/>
  <c r="W283" i="1"/>
  <c r="R267" i="1"/>
  <c r="S266" i="1"/>
  <c r="T266" i="1" s="1"/>
  <c r="R268" i="1" l="1"/>
  <c r="S267" i="1"/>
  <c r="T267" i="1" s="1"/>
  <c r="Y282" i="1"/>
  <c r="Z282" i="1" s="1"/>
  <c r="AA282" i="1" s="1"/>
  <c r="W284" i="1"/>
  <c r="Y283" i="1" l="1"/>
  <c r="Z283" i="1" s="1"/>
  <c r="AA283" i="1" s="1"/>
  <c r="W285" i="1"/>
  <c r="R269" i="1"/>
  <c r="S268" i="1"/>
  <c r="T268" i="1" s="1"/>
  <c r="R270" i="1" l="1"/>
  <c r="S269" i="1"/>
  <c r="T269" i="1" s="1"/>
  <c r="Y284" i="1"/>
  <c r="Z284" i="1" s="1"/>
  <c r="AA284" i="1" s="1"/>
  <c r="W286" i="1"/>
  <c r="Y285" i="1" l="1"/>
  <c r="Z285" i="1" s="1"/>
  <c r="AA285" i="1" s="1"/>
  <c r="W287" i="1"/>
  <c r="R271" i="1"/>
  <c r="S270" i="1"/>
  <c r="T270" i="1" s="1"/>
  <c r="R272" i="1" l="1"/>
  <c r="S271" i="1"/>
  <c r="T271" i="1" s="1"/>
  <c r="Y286" i="1"/>
  <c r="Z286" i="1" s="1"/>
  <c r="AA286" i="1" s="1"/>
  <c r="W288" i="1"/>
  <c r="Y287" i="1" l="1"/>
  <c r="Z287" i="1" s="1"/>
  <c r="AA287" i="1" s="1"/>
  <c r="W289" i="1"/>
  <c r="R273" i="1"/>
  <c r="S272" i="1"/>
  <c r="T272" i="1" s="1"/>
  <c r="Y288" i="1" l="1"/>
  <c r="Z288" i="1" s="1"/>
  <c r="AA288" i="1" s="1"/>
  <c r="W290" i="1"/>
  <c r="R274" i="1"/>
  <c r="S273" i="1"/>
  <c r="T273" i="1" s="1"/>
  <c r="R275" i="1" l="1"/>
  <c r="S274" i="1"/>
  <c r="T274" i="1" s="1"/>
  <c r="Y289" i="1"/>
  <c r="Z289" i="1" s="1"/>
  <c r="AA289" i="1" s="1"/>
  <c r="W291" i="1"/>
  <c r="Y290" i="1" l="1"/>
  <c r="Z290" i="1" s="1"/>
  <c r="AA290" i="1" s="1"/>
  <c r="W292" i="1"/>
  <c r="R276" i="1"/>
  <c r="S275" i="1"/>
  <c r="T275" i="1" s="1"/>
  <c r="R277" i="1" l="1"/>
  <c r="S276" i="1"/>
  <c r="T276" i="1" s="1"/>
  <c r="Y291" i="1"/>
  <c r="Z291" i="1" s="1"/>
  <c r="AA291" i="1" s="1"/>
  <c r="W293" i="1"/>
  <c r="Y292" i="1" l="1"/>
  <c r="Z292" i="1" s="1"/>
  <c r="AA292" i="1" s="1"/>
  <c r="W294" i="1"/>
  <c r="S277" i="1"/>
  <c r="T277" i="1" s="1"/>
  <c r="R278" i="1"/>
  <c r="R279" i="1" l="1"/>
  <c r="S278" i="1"/>
  <c r="T278" i="1" s="1"/>
  <c r="Y293" i="1"/>
  <c r="Z293" i="1" s="1"/>
  <c r="AA293" i="1" s="1"/>
  <c r="W295" i="1"/>
  <c r="Y294" i="1" l="1"/>
  <c r="Z294" i="1" s="1"/>
  <c r="AA294" i="1" s="1"/>
  <c r="W296" i="1"/>
  <c r="R280" i="1"/>
  <c r="S279" i="1"/>
  <c r="T279" i="1" s="1"/>
  <c r="R281" i="1" l="1"/>
  <c r="S280" i="1"/>
  <c r="T280" i="1" s="1"/>
  <c r="Y295" i="1"/>
  <c r="Z295" i="1" s="1"/>
  <c r="AA295" i="1" s="1"/>
  <c r="W297" i="1"/>
  <c r="Y296" i="1" l="1"/>
  <c r="Z296" i="1" s="1"/>
  <c r="AA296" i="1" s="1"/>
  <c r="W298" i="1"/>
  <c r="R282" i="1"/>
  <c r="S281" i="1"/>
  <c r="T281" i="1" s="1"/>
  <c r="R283" i="1" l="1"/>
  <c r="S282" i="1"/>
  <c r="T282" i="1" s="1"/>
  <c r="Y297" i="1"/>
  <c r="Z297" i="1" s="1"/>
  <c r="AA297" i="1" s="1"/>
  <c r="W299" i="1"/>
  <c r="Y298" i="1" l="1"/>
  <c r="Z298" i="1" s="1"/>
  <c r="AA298" i="1" s="1"/>
  <c r="W300" i="1"/>
  <c r="S283" i="1"/>
  <c r="T283" i="1" s="1"/>
  <c r="R284" i="1"/>
  <c r="R285" i="1" l="1"/>
  <c r="S284" i="1"/>
  <c r="T284" i="1" s="1"/>
  <c r="Y299" i="1"/>
  <c r="Z299" i="1" s="1"/>
  <c r="AA299" i="1" s="1"/>
  <c r="W301" i="1"/>
  <c r="Y300" i="1" l="1"/>
  <c r="W302" i="1"/>
  <c r="R286" i="1"/>
  <c r="S285" i="1"/>
  <c r="T285" i="1" s="1"/>
  <c r="R287" i="1" l="1"/>
  <c r="S286" i="1"/>
  <c r="T286" i="1" s="1"/>
  <c r="Y301" i="1"/>
  <c r="W303" i="1"/>
  <c r="Z300" i="1"/>
  <c r="AA300" i="1" s="1"/>
  <c r="Y302" i="1" l="1"/>
  <c r="W304" i="1"/>
  <c r="Z301" i="1"/>
  <c r="AA301" i="1" s="1"/>
  <c r="R288" i="1"/>
  <c r="S287" i="1"/>
  <c r="T287" i="1" s="1"/>
  <c r="R289" i="1" l="1"/>
  <c r="S288" i="1"/>
  <c r="T288" i="1" s="1"/>
  <c r="Y303" i="1"/>
  <c r="W305" i="1"/>
  <c r="Z302" i="1"/>
  <c r="AA302" i="1" s="1"/>
  <c r="Z303" i="1" l="1"/>
  <c r="AA303" i="1" s="1"/>
  <c r="Y304" i="1"/>
  <c r="W306" i="1"/>
  <c r="R290" i="1"/>
  <c r="S289" i="1"/>
  <c r="T289" i="1" s="1"/>
  <c r="Z304" i="1" l="1"/>
  <c r="AA304" i="1" s="1"/>
  <c r="Y305" i="1"/>
  <c r="W307" i="1"/>
  <c r="R291" i="1"/>
  <c r="S290" i="1"/>
  <c r="T290" i="1" s="1"/>
  <c r="R292" i="1" l="1"/>
  <c r="S291" i="1"/>
  <c r="T291" i="1" s="1"/>
  <c r="Y306" i="1"/>
  <c r="W308" i="1"/>
  <c r="Z305" i="1"/>
  <c r="AA305" i="1" s="1"/>
  <c r="Y307" i="1" l="1"/>
  <c r="W309" i="1"/>
  <c r="Z306" i="1"/>
  <c r="AA306" i="1" s="1"/>
  <c r="R293" i="1"/>
  <c r="S292" i="1"/>
  <c r="T292" i="1" s="1"/>
  <c r="R294" i="1" l="1"/>
  <c r="S293" i="1"/>
  <c r="T293" i="1" s="1"/>
  <c r="Y308" i="1"/>
  <c r="W310" i="1"/>
  <c r="Z307" i="1"/>
  <c r="AA307" i="1" s="1"/>
  <c r="Y309" i="1" l="1"/>
  <c r="W311" i="1"/>
  <c r="Z308" i="1"/>
  <c r="AA308" i="1" s="1"/>
  <c r="R295" i="1"/>
  <c r="S294" i="1"/>
  <c r="T294" i="1" s="1"/>
  <c r="R296" i="1" l="1"/>
  <c r="S295" i="1"/>
  <c r="T295" i="1" s="1"/>
  <c r="Y310" i="1"/>
  <c r="W312" i="1"/>
  <c r="Z309" i="1"/>
  <c r="AA309" i="1" s="1"/>
  <c r="Y311" i="1" l="1"/>
  <c r="W313" i="1"/>
  <c r="Z310" i="1"/>
  <c r="AA310" i="1" s="1"/>
  <c r="R297" i="1"/>
  <c r="S296" i="1"/>
  <c r="T296" i="1" s="1"/>
  <c r="R298" i="1" l="1"/>
  <c r="S297" i="1"/>
  <c r="T297" i="1" s="1"/>
  <c r="Y312" i="1"/>
  <c r="W314" i="1"/>
  <c r="Z311" i="1"/>
  <c r="AA311" i="1" s="1"/>
  <c r="Y313" i="1" l="1"/>
  <c r="W315" i="1"/>
  <c r="Z312" i="1"/>
  <c r="AA312" i="1" s="1"/>
  <c r="R299" i="1"/>
  <c r="S298" i="1"/>
  <c r="T298" i="1" s="1"/>
  <c r="R300" i="1" l="1"/>
  <c r="S299" i="1"/>
  <c r="T299" i="1" s="1"/>
  <c r="Y314" i="1"/>
  <c r="W316" i="1"/>
  <c r="Z313" i="1"/>
  <c r="AA313" i="1" s="1"/>
  <c r="Y315" i="1" l="1"/>
  <c r="W317" i="1"/>
  <c r="Z314" i="1"/>
  <c r="AA314" i="1" s="1"/>
  <c r="R301" i="1"/>
  <c r="S300" i="1"/>
  <c r="T300" i="1" s="1"/>
  <c r="R302" i="1" l="1"/>
  <c r="S301" i="1"/>
  <c r="T301" i="1" s="1"/>
  <c r="Y316" i="1"/>
  <c r="W318" i="1"/>
  <c r="Z315" i="1"/>
  <c r="AA315" i="1" s="1"/>
  <c r="Y317" i="1" l="1"/>
  <c r="W319" i="1"/>
  <c r="Z316" i="1"/>
  <c r="AA316" i="1" s="1"/>
  <c r="R303" i="1"/>
  <c r="S302" i="1"/>
  <c r="T302" i="1" s="1"/>
  <c r="R304" i="1" l="1"/>
  <c r="S303" i="1"/>
  <c r="T303" i="1" s="1"/>
  <c r="Y318" i="1"/>
  <c r="W320" i="1"/>
  <c r="Z317" i="1"/>
  <c r="AA317" i="1" s="1"/>
  <c r="Y319" i="1" l="1"/>
  <c r="W321" i="1"/>
  <c r="Z318" i="1"/>
  <c r="AA318" i="1" s="1"/>
  <c r="R305" i="1"/>
  <c r="S304" i="1"/>
  <c r="T304" i="1" s="1"/>
  <c r="S305" i="1" l="1"/>
  <c r="T305" i="1" s="1"/>
  <c r="R306" i="1"/>
  <c r="Y320" i="1"/>
  <c r="W322" i="1"/>
  <c r="Z319" i="1"/>
  <c r="AA319" i="1" s="1"/>
  <c r="Y321" i="1" l="1"/>
  <c r="W323" i="1"/>
  <c r="Z320" i="1"/>
  <c r="AA320" i="1" s="1"/>
  <c r="R307" i="1"/>
  <c r="S306" i="1"/>
  <c r="T306" i="1" s="1"/>
  <c r="R308" i="1" l="1"/>
  <c r="S307" i="1"/>
  <c r="T307" i="1" s="1"/>
  <c r="Y322" i="1"/>
  <c r="W324" i="1"/>
  <c r="Z321" i="1"/>
  <c r="AA321" i="1" s="1"/>
  <c r="Y323" i="1" l="1"/>
  <c r="W325" i="1"/>
  <c r="Z322" i="1"/>
  <c r="AA322" i="1" s="1"/>
  <c r="R309" i="1"/>
  <c r="S308" i="1"/>
  <c r="T308" i="1" s="1"/>
  <c r="S309" i="1" l="1"/>
  <c r="T309" i="1" s="1"/>
  <c r="R310" i="1"/>
  <c r="Y324" i="1"/>
  <c r="W326" i="1"/>
  <c r="Z323" i="1"/>
  <c r="AA323" i="1" s="1"/>
  <c r="Y325" i="1" l="1"/>
  <c r="W327" i="1"/>
  <c r="Z324" i="1"/>
  <c r="AA324" i="1" s="1"/>
  <c r="R311" i="1"/>
  <c r="S310" i="1"/>
  <c r="T310" i="1" s="1"/>
  <c r="R312" i="1" l="1"/>
  <c r="S311" i="1"/>
  <c r="T311" i="1" s="1"/>
  <c r="Y326" i="1"/>
  <c r="W328" i="1"/>
  <c r="Z325" i="1"/>
  <c r="AA325" i="1" s="1"/>
  <c r="Y327" i="1" l="1"/>
  <c r="W329" i="1"/>
  <c r="Z326" i="1"/>
  <c r="AA326" i="1" s="1"/>
  <c r="R313" i="1"/>
  <c r="S312" i="1"/>
  <c r="T312" i="1" s="1"/>
  <c r="R314" i="1" l="1"/>
  <c r="S313" i="1"/>
  <c r="T313" i="1" s="1"/>
  <c r="Y328" i="1"/>
  <c r="W330" i="1"/>
  <c r="Z327" i="1"/>
  <c r="AA327" i="1" s="1"/>
  <c r="Y329" i="1" l="1"/>
  <c r="W331" i="1"/>
  <c r="Z328" i="1"/>
  <c r="AA328" i="1" s="1"/>
  <c r="R315" i="1"/>
  <c r="S314" i="1"/>
  <c r="T314" i="1" s="1"/>
  <c r="R316" i="1" l="1"/>
  <c r="S315" i="1"/>
  <c r="T315" i="1" s="1"/>
  <c r="Y330" i="1"/>
  <c r="W332" i="1"/>
  <c r="Z329" i="1"/>
  <c r="AA329" i="1" s="1"/>
  <c r="Y331" i="1" l="1"/>
  <c r="W333" i="1"/>
  <c r="Z330" i="1"/>
  <c r="AA330" i="1" s="1"/>
  <c r="R317" i="1"/>
  <c r="S316" i="1"/>
  <c r="T316" i="1" s="1"/>
  <c r="R318" i="1" l="1"/>
  <c r="S317" i="1"/>
  <c r="T317" i="1" s="1"/>
  <c r="Y332" i="1"/>
  <c r="W334" i="1"/>
  <c r="Z331" i="1"/>
  <c r="AA331" i="1" s="1"/>
  <c r="Y333" i="1" l="1"/>
  <c r="W335" i="1"/>
  <c r="Z332" i="1"/>
  <c r="AA332" i="1" s="1"/>
  <c r="R319" i="1"/>
  <c r="S318" i="1"/>
  <c r="T318" i="1" s="1"/>
  <c r="R320" i="1" l="1"/>
  <c r="S319" i="1"/>
  <c r="T319" i="1" s="1"/>
  <c r="Y334" i="1"/>
  <c r="W336" i="1"/>
  <c r="Z333" i="1"/>
  <c r="AA333" i="1" s="1"/>
  <c r="Y335" i="1" l="1"/>
  <c r="W337" i="1"/>
  <c r="Z334" i="1"/>
  <c r="AA334" i="1" s="1"/>
  <c r="R321" i="1"/>
  <c r="S320" i="1"/>
  <c r="T320" i="1" s="1"/>
  <c r="R322" i="1" l="1"/>
  <c r="S321" i="1"/>
  <c r="T321" i="1" s="1"/>
  <c r="Y336" i="1"/>
  <c r="W338" i="1"/>
  <c r="Z335" i="1"/>
  <c r="AA335" i="1" s="1"/>
  <c r="Y337" i="1" l="1"/>
  <c r="W339" i="1"/>
  <c r="Z336" i="1"/>
  <c r="AA336" i="1" s="1"/>
  <c r="R323" i="1"/>
  <c r="S322" i="1"/>
  <c r="T322" i="1" s="1"/>
  <c r="R324" i="1" l="1"/>
  <c r="S323" i="1"/>
  <c r="T323" i="1" s="1"/>
  <c r="Y338" i="1"/>
  <c r="W340" i="1"/>
  <c r="Z337" i="1"/>
  <c r="AA337" i="1" s="1"/>
  <c r="Y339" i="1" l="1"/>
  <c r="W341" i="1"/>
  <c r="Z338" i="1"/>
  <c r="AA338" i="1" s="1"/>
  <c r="R325" i="1"/>
  <c r="S324" i="1"/>
  <c r="T324" i="1" s="1"/>
  <c r="R326" i="1" l="1"/>
  <c r="S325" i="1"/>
  <c r="T325" i="1" s="1"/>
  <c r="Y340" i="1"/>
  <c r="W342" i="1"/>
  <c r="Z339" i="1"/>
  <c r="AA339" i="1" s="1"/>
  <c r="Y341" i="1" l="1"/>
  <c r="W343" i="1"/>
  <c r="Z340" i="1"/>
  <c r="AA340" i="1" s="1"/>
  <c r="R327" i="1"/>
  <c r="S326" i="1"/>
  <c r="T326" i="1" s="1"/>
  <c r="R328" i="1" l="1"/>
  <c r="S327" i="1"/>
  <c r="T327" i="1" s="1"/>
  <c r="Y342" i="1"/>
  <c r="W344" i="1"/>
  <c r="Z341" i="1"/>
  <c r="AA341" i="1" s="1"/>
  <c r="S328" i="1" l="1"/>
  <c r="T328" i="1" s="1"/>
  <c r="R329" i="1"/>
  <c r="Y343" i="1"/>
  <c r="W345" i="1"/>
  <c r="Z342" i="1"/>
  <c r="AA342" i="1" s="1"/>
  <c r="Y344" i="1" l="1"/>
  <c r="W346" i="1"/>
  <c r="Z343" i="1"/>
  <c r="AA343" i="1" s="1"/>
  <c r="R330" i="1"/>
  <c r="S329" i="1"/>
  <c r="T329" i="1" s="1"/>
  <c r="Y345" i="1" l="1"/>
  <c r="W347" i="1"/>
  <c r="R331" i="1"/>
  <c r="S330" i="1"/>
  <c r="T330" i="1" s="1"/>
  <c r="Z344" i="1"/>
  <c r="AA344" i="1" s="1"/>
  <c r="Y346" i="1" l="1"/>
  <c r="W348" i="1"/>
  <c r="R332" i="1"/>
  <c r="S331" i="1"/>
  <c r="T331" i="1" s="1"/>
  <c r="Z345" i="1"/>
  <c r="AA345" i="1" s="1"/>
  <c r="R333" i="1" l="1"/>
  <c r="S332" i="1"/>
  <c r="T332" i="1" s="1"/>
  <c r="Y347" i="1"/>
  <c r="W349" i="1"/>
  <c r="Z346" i="1"/>
  <c r="AA346" i="1" s="1"/>
  <c r="Y348" i="1" l="1"/>
  <c r="W350" i="1"/>
  <c r="Z347" i="1"/>
  <c r="AA347" i="1" s="1"/>
  <c r="R334" i="1"/>
  <c r="S333" i="1"/>
  <c r="T333" i="1" s="1"/>
  <c r="R335" i="1" l="1"/>
  <c r="S334" i="1"/>
  <c r="T334" i="1" s="1"/>
  <c r="Y349" i="1"/>
  <c r="W351" i="1"/>
  <c r="Z348" i="1"/>
  <c r="AA348" i="1" s="1"/>
  <c r="Y350" i="1" l="1"/>
  <c r="W352" i="1"/>
  <c r="Z349" i="1"/>
  <c r="AA349" i="1" s="1"/>
  <c r="R336" i="1"/>
  <c r="S335" i="1"/>
  <c r="T335" i="1" s="1"/>
  <c r="R337" i="1" l="1"/>
  <c r="S336" i="1"/>
  <c r="T336" i="1" s="1"/>
  <c r="Y351" i="1"/>
  <c r="W353" i="1"/>
  <c r="Z350" i="1"/>
  <c r="AA350" i="1" s="1"/>
  <c r="Y352" i="1" l="1"/>
  <c r="W354" i="1"/>
  <c r="Z351" i="1"/>
  <c r="AA351" i="1" s="1"/>
  <c r="R338" i="1"/>
  <c r="S337" i="1"/>
  <c r="T337" i="1" s="1"/>
  <c r="R339" i="1" l="1"/>
  <c r="S338" i="1"/>
  <c r="T338" i="1" s="1"/>
  <c r="Y353" i="1"/>
  <c r="W355" i="1"/>
  <c r="Z352" i="1"/>
  <c r="AA352" i="1" s="1"/>
  <c r="Y354" i="1" l="1"/>
  <c r="W356" i="1"/>
  <c r="Z353" i="1"/>
  <c r="AA353" i="1" s="1"/>
  <c r="R340" i="1"/>
  <c r="S339" i="1"/>
  <c r="T339" i="1" s="1"/>
  <c r="R341" i="1" l="1"/>
  <c r="S340" i="1"/>
  <c r="T340" i="1" s="1"/>
  <c r="Y355" i="1"/>
  <c r="W357" i="1"/>
  <c r="Z354" i="1"/>
  <c r="AA354" i="1" s="1"/>
  <c r="Y356" i="1" l="1"/>
  <c r="W358" i="1"/>
  <c r="Z355" i="1"/>
  <c r="AA355" i="1" s="1"/>
  <c r="R342" i="1"/>
  <c r="S341" i="1"/>
  <c r="T341" i="1" s="1"/>
  <c r="R343" i="1" l="1"/>
  <c r="S342" i="1"/>
  <c r="T342" i="1" s="1"/>
  <c r="Y357" i="1"/>
  <c r="W359" i="1"/>
  <c r="Z356" i="1"/>
  <c r="AA356" i="1" s="1"/>
  <c r="Y358" i="1" l="1"/>
  <c r="W360" i="1"/>
  <c r="Z357" i="1"/>
  <c r="AA357" i="1" s="1"/>
  <c r="R344" i="1"/>
  <c r="S343" i="1"/>
  <c r="T343" i="1" s="1"/>
  <c r="R345" i="1" l="1"/>
  <c r="S344" i="1"/>
  <c r="T344" i="1" s="1"/>
  <c r="Y359" i="1"/>
  <c r="W361" i="1"/>
  <c r="Z358" i="1"/>
  <c r="AA358" i="1" s="1"/>
  <c r="Y360" i="1" l="1"/>
  <c r="W362" i="1"/>
  <c r="Z359" i="1"/>
  <c r="AA359" i="1" s="1"/>
  <c r="R346" i="1"/>
  <c r="S345" i="1"/>
  <c r="T345" i="1" s="1"/>
  <c r="R347" i="1" l="1"/>
  <c r="S346" i="1"/>
  <c r="T346" i="1" s="1"/>
  <c r="Y361" i="1"/>
  <c r="W363" i="1"/>
  <c r="Z360" i="1"/>
  <c r="AA360" i="1" s="1"/>
  <c r="Y362" i="1" l="1"/>
  <c r="W364" i="1"/>
  <c r="Z361" i="1"/>
  <c r="AA361" i="1" s="1"/>
  <c r="R348" i="1"/>
  <c r="S347" i="1"/>
  <c r="T347" i="1" s="1"/>
  <c r="R349" i="1" l="1"/>
  <c r="S348" i="1"/>
  <c r="T348" i="1" s="1"/>
  <c r="Y363" i="1"/>
  <c r="W365" i="1"/>
  <c r="Z362" i="1"/>
  <c r="AA362" i="1" s="1"/>
  <c r="Z363" i="1" l="1"/>
  <c r="AA363" i="1" s="1"/>
  <c r="Y364" i="1"/>
  <c r="W366" i="1"/>
  <c r="R350" i="1"/>
  <c r="S349" i="1"/>
  <c r="T349" i="1" s="1"/>
  <c r="Z364" i="1" l="1"/>
  <c r="AA364" i="1" s="1"/>
  <c r="R351" i="1"/>
  <c r="S350" i="1"/>
  <c r="T350" i="1" s="1"/>
  <c r="Y365" i="1"/>
  <c r="W367" i="1"/>
  <c r="Z365" i="1" l="1"/>
  <c r="AA365" i="1" s="1"/>
  <c r="Y366" i="1"/>
  <c r="W368" i="1"/>
  <c r="S351" i="1"/>
  <c r="T351" i="1" s="1"/>
  <c r="R352" i="1"/>
  <c r="Z366" i="1" l="1"/>
  <c r="AA366" i="1" s="1"/>
  <c r="R353" i="1"/>
  <c r="S352" i="1"/>
  <c r="T352" i="1" s="1"/>
  <c r="Y367" i="1"/>
  <c r="W369" i="1"/>
  <c r="Y368" i="1" l="1"/>
  <c r="W370" i="1"/>
  <c r="Z367" i="1"/>
  <c r="AA367" i="1" s="1"/>
  <c r="R354" i="1"/>
  <c r="S353" i="1"/>
  <c r="T353" i="1" s="1"/>
  <c r="R355" i="1" l="1"/>
  <c r="S354" i="1"/>
  <c r="T354" i="1" s="1"/>
  <c r="Y369" i="1"/>
  <c r="W371" i="1"/>
  <c r="Z368" i="1"/>
  <c r="AA368" i="1" s="1"/>
  <c r="Y370" i="1" l="1"/>
  <c r="W372" i="1"/>
  <c r="Z369" i="1"/>
  <c r="AA369" i="1" s="1"/>
  <c r="S355" i="1"/>
  <c r="T355" i="1" s="1"/>
  <c r="R356" i="1"/>
  <c r="R357" i="1" l="1"/>
  <c r="S356" i="1"/>
  <c r="T356" i="1" s="1"/>
  <c r="Y371" i="1"/>
  <c r="W373" i="1"/>
  <c r="Z370" i="1"/>
  <c r="AA370" i="1" s="1"/>
  <c r="Y372" i="1" l="1"/>
  <c r="W374" i="1"/>
  <c r="Z371" i="1"/>
  <c r="AA371" i="1" s="1"/>
  <c r="R358" i="1"/>
  <c r="S357" i="1"/>
  <c r="T357" i="1" s="1"/>
  <c r="R359" i="1" l="1"/>
  <c r="S358" i="1"/>
  <c r="T358" i="1" s="1"/>
  <c r="Y373" i="1"/>
  <c r="W375" i="1"/>
  <c r="Z372" i="1"/>
  <c r="AA372" i="1" s="1"/>
  <c r="Y374" i="1" l="1"/>
  <c r="W376" i="1"/>
  <c r="Z373" i="1"/>
  <c r="AA373" i="1" s="1"/>
  <c r="S359" i="1"/>
  <c r="T359" i="1" s="1"/>
  <c r="R360" i="1"/>
  <c r="R361" i="1" l="1"/>
  <c r="S360" i="1"/>
  <c r="T360" i="1" s="1"/>
  <c r="Y375" i="1"/>
  <c r="W377" i="1"/>
  <c r="Z374" i="1"/>
  <c r="AA374" i="1" s="1"/>
  <c r="Y376" i="1" l="1"/>
  <c r="W378" i="1"/>
  <c r="Z375" i="1"/>
  <c r="AA375" i="1" s="1"/>
  <c r="R362" i="1"/>
  <c r="S361" i="1"/>
  <c r="T361" i="1" s="1"/>
  <c r="R363" i="1" l="1"/>
  <c r="S362" i="1"/>
  <c r="T362" i="1" s="1"/>
  <c r="Y377" i="1"/>
  <c r="W379" i="1"/>
  <c r="Z376" i="1"/>
  <c r="AA376" i="1" s="1"/>
  <c r="Y378" i="1" l="1"/>
  <c r="W380" i="1"/>
  <c r="Z377" i="1"/>
  <c r="AA377" i="1" s="1"/>
  <c r="R364" i="1"/>
  <c r="S363" i="1"/>
  <c r="T363" i="1" s="1"/>
  <c r="R365" i="1" l="1"/>
  <c r="S364" i="1"/>
  <c r="T364" i="1" s="1"/>
  <c r="Y379" i="1"/>
  <c r="W381" i="1"/>
  <c r="Z378" i="1"/>
  <c r="AA378" i="1" s="1"/>
  <c r="Y380" i="1" l="1"/>
  <c r="W382" i="1"/>
  <c r="Z379" i="1"/>
  <c r="AA379" i="1" s="1"/>
  <c r="R366" i="1"/>
  <c r="S365" i="1"/>
  <c r="T365" i="1" s="1"/>
  <c r="R367" i="1" l="1"/>
  <c r="S366" i="1"/>
  <c r="T366" i="1" s="1"/>
  <c r="Y381" i="1"/>
  <c r="W383" i="1"/>
  <c r="Z380" i="1"/>
  <c r="AA380" i="1" s="1"/>
  <c r="Y382" i="1" l="1"/>
  <c r="W384" i="1"/>
  <c r="Z381" i="1"/>
  <c r="AA381" i="1" s="1"/>
  <c r="R368" i="1"/>
  <c r="S367" i="1"/>
  <c r="T367" i="1" s="1"/>
  <c r="R369" i="1" l="1"/>
  <c r="S368" i="1"/>
  <c r="T368" i="1" s="1"/>
  <c r="Y383" i="1"/>
  <c r="W385" i="1"/>
  <c r="Z382" i="1"/>
  <c r="AA382" i="1" s="1"/>
  <c r="Z383" i="1" l="1"/>
  <c r="AA383" i="1" s="1"/>
  <c r="Y384" i="1"/>
  <c r="W386" i="1"/>
  <c r="R370" i="1"/>
  <c r="S369" i="1"/>
  <c r="T369" i="1" s="1"/>
  <c r="Z384" i="1" l="1"/>
  <c r="AA384" i="1" s="1"/>
  <c r="Y385" i="1"/>
  <c r="W387" i="1"/>
  <c r="R371" i="1"/>
  <c r="S370" i="1"/>
  <c r="T370" i="1" s="1"/>
  <c r="Z385" i="1" l="1"/>
  <c r="AA385" i="1" s="1"/>
  <c r="R372" i="1"/>
  <c r="S371" i="1"/>
  <c r="T371" i="1" s="1"/>
  <c r="Y386" i="1"/>
  <c r="W388" i="1"/>
  <c r="Z386" i="1" l="1"/>
  <c r="AA386" i="1" s="1"/>
  <c r="Y387" i="1"/>
  <c r="W389" i="1"/>
  <c r="S372" i="1"/>
  <c r="T372" i="1" s="1"/>
  <c r="R373" i="1"/>
  <c r="Z387" i="1" l="1"/>
  <c r="AA387" i="1" s="1"/>
  <c r="R374" i="1"/>
  <c r="S373" i="1"/>
  <c r="T373" i="1" s="1"/>
  <c r="Y388" i="1"/>
  <c r="W390" i="1"/>
  <c r="Z388" i="1" l="1"/>
  <c r="AA388" i="1" s="1"/>
  <c r="Y389" i="1"/>
  <c r="W391" i="1"/>
  <c r="R375" i="1"/>
  <c r="S374" i="1"/>
  <c r="T374" i="1" s="1"/>
  <c r="Z389" i="1" l="1"/>
  <c r="AA389" i="1" s="1"/>
  <c r="R376" i="1"/>
  <c r="S375" i="1"/>
  <c r="T375" i="1" s="1"/>
  <c r="Y390" i="1"/>
  <c r="W392" i="1"/>
  <c r="Z390" i="1" l="1"/>
  <c r="AA390" i="1" s="1"/>
  <c r="Y391" i="1"/>
  <c r="W393" i="1"/>
  <c r="R377" i="1"/>
  <c r="S376" i="1"/>
  <c r="T376" i="1" s="1"/>
  <c r="Z391" i="1" l="1"/>
  <c r="AA391" i="1" s="1"/>
  <c r="S377" i="1"/>
  <c r="T377" i="1" s="1"/>
  <c r="R378" i="1"/>
  <c r="Y392" i="1"/>
  <c r="W394" i="1"/>
  <c r="Z392" i="1" l="1"/>
  <c r="AA392" i="1" s="1"/>
  <c r="Y393" i="1"/>
  <c r="W395" i="1"/>
  <c r="R379" i="1"/>
  <c r="S378" i="1"/>
  <c r="T378" i="1" s="1"/>
  <c r="Z393" i="1" l="1"/>
  <c r="AA393" i="1" s="1"/>
  <c r="R380" i="1"/>
  <c r="S379" i="1"/>
  <c r="T379" i="1" s="1"/>
  <c r="Y394" i="1"/>
  <c r="W396" i="1"/>
  <c r="Z394" i="1" l="1"/>
  <c r="AA394" i="1" s="1"/>
  <c r="Y395" i="1"/>
  <c r="W397" i="1"/>
  <c r="R381" i="1"/>
  <c r="S380" i="1"/>
  <c r="T380" i="1" s="1"/>
  <c r="Z395" i="1" l="1"/>
  <c r="AA395" i="1" s="1"/>
  <c r="R382" i="1"/>
  <c r="S381" i="1"/>
  <c r="T381" i="1" s="1"/>
  <c r="Y396" i="1"/>
  <c r="Z396" i="1" s="1"/>
  <c r="AA396" i="1" s="1"/>
  <c r="W398" i="1"/>
  <c r="Y397" i="1" l="1"/>
  <c r="Z397" i="1" s="1"/>
  <c r="AA397" i="1" s="1"/>
  <c r="W399" i="1"/>
  <c r="R383" i="1"/>
  <c r="S382" i="1"/>
  <c r="T382" i="1" s="1"/>
  <c r="R384" i="1" l="1"/>
  <c r="S383" i="1"/>
  <c r="T383" i="1" s="1"/>
  <c r="Y398" i="1"/>
  <c r="Z398" i="1" s="1"/>
  <c r="AA398" i="1" s="1"/>
  <c r="W400" i="1"/>
  <c r="Y399" i="1" l="1"/>
  <c r="Z399" i="1" s="1"/>
  <c r="AA399" i="1" s="1"/>
  <c r="W401" i="1"/>
  <c r="R385" i="1"/>
  <c r="S384" i="1"/>
  <c r="T384" i="1" s="1"/>
  <c r="R386" i="1" l="1"/>
  <c r="S385" i="1"/>
  <c r="T385" i="1" s="1"/>
  <c r="Y400" i="1"/>
  <c r="Z400" i="1" s="1"/>
  <c r="AA400" i="1" s="1"/>
  <c r="W402" i="1"/>
  <c r="Y401" i="1" l="1"/>
  <c r="Z401" i="1" s="1"/>
  <c r="AA401" i="1" s="1"/>
  <c r="W403" i="1"/>
  <c r="R387" i="1"/>
  <c r="S386" i="1"/>
  <c r="T386" i="1" s="1"/>
  <c r="R388" i="1" l="1"/>
  <c r="S387" i="1"/>
  <c r="T387" i="1" s="1"/>
  <c r="Y402" i="1"/>
  <c r="Z402" i="1" s="1"/>
  <c r="AA402" i="1" s="1"/>
  <c r="W404" i="1"/>
  <c r="Y403" i="1" l="1"/>
  <c r="Z403" i="1" s="1"/>
  <c r="AA403" i="1" s="1"/>
  <c r="W405" i="1"/>
  <c r="R389" i="1"/>
  <c r="S388" i="1"/>
  <c r="T388" i="1" s="1"/>
  <c r="R390" i="1" l="1"/>
  <c r="S389" i="1"/>
  <c r="T389" i="1" s="1"/>
  <c r="Y404" i="1"/>
  <c r="Z404" i="1" s="1"/>
  <c r="AA404" i="1" s="1"/>
  <c r="W406" i="1"/>
  <c r="Y405" i="1" l="1"/>
  <c r="Z405" i="1" s="1"/>
  <c r="AA405" i="1" s="1"/>
  <c r="W407" i="1"/>
  <c r="R391" i="1"/>
  <c r="S390" i="1"/>
  <c r="T390" i="1" s="1"/>
  <c r="S391" i="1" l="1"/>
  <c r="T391" i="1" s="1"/>
  <c r="R392" i="1"/>
  <c r="Y406" i="1"/>
  <c r="Z406" i="1" s="1"/>
  <c r="AA406" i="1" s="1"/>
  <c r="W408" i="1"/>
  <c r="Y407" i="1" l="1"/>
  <c r="Z407" i="1" s="1"/>
  <c r="AA407" i="1" s="1"/>
  <c r="W409" i="1"/>
  <c r="R393" i="1"/>
  <c r="S392" i="1"/>
  <c r="T392" i="1" s="1"/>
  <c r="R394" i="1" l="1"/>
  <c r="S393" i="1"/>
  <c r="T393" i="1" s="1"/>
  <c r="Y408" i="1"/>
  <c r="Z408" i="1" s="1"/>
  <c r="AA408" i="1" s="1"/>
  <c r="W410" i="1"/>
  <c r="Y409" i="1" l="1"/>
  <c r="Z409" i="1" s="1"/>
  <c r="AA409" i="1" s="1"/>
  <c r="W411" i="1"/>
  <c r="R395" i="1"/>
  <c r="S394" i="1"/>
  <c r="T394" i="1" s="1"/>
  <c r="R396" i="1" l="1"/>
  <c r="S395" i="1"/>
  <c r="T395" i="1" s="1"/>
  <c r="Y410" i="1"/>
  <c r="Z410" i="1" s="1"/>
  <c r="AA410" i="1" s="1"/>
  <c r="W412" i="1"/>
  <c r="Y411" i="1" l="1"/>
  <c r="Z411" i="1" s="1"/>
  <c r="AA411" i="1" s="1"/>
  <c r="W413" i="1"/>
  <c r="R397" i="1"/>
  <c r="S396" i="1"/>
  <c r="T396" i="1" s="1"/>
  <c r="R398" i="1" l="1"/>
  <c r="S397" i="1"/>
  <c r="T397" i="1" s="1"/>
  <c r="Y412" i="1"/>
  <c r="Z412" i="1" s="1"/>
  <c r="AA412" i="1" s="1"/>
  <c r="W414" i="1"/>
  <c r="Y413" i="1" l="1"/>
  <c r="Z413" i="1" s="1"/>
  <c r="AA413" i="1" s="1"/>
  <c r="W415" i="1"/>
  <c r="S398" i="1"/>
  <c r="T398" i="1" s="1"/>
  <c r="R399" i="1"/>
  <c r="R400" i="1" l="1"/>
  <c r="S399" i="1"/>
  <c r="T399" i="1" s="1"/>
  <c r="Y414" i="1"/>
  <c r="Z414" i="1" s="1"/>
  <c r="AA414" i="1" s="1"/>
  <c r="W416" i="1"/>
  <c r="Y415" i="1" l="1"/>
  <c r="Z415" i="1" s="1"/>
  <c r="AA415" i="1" s="1"/>
  <c r="W417" i="1"/>
  <c r="R401" i="1"/>
  <c r="S400" i="1"/>
  <c r="T400" i="1" s="1"/>
  <c r="R402" i="1" l="1"/>
  <c r="S401" i="1"/>
  <c r="T401" i="1" s="1"/>
  <c r="Y416" i="1"/>
  <c r="Z416" i="1" s="1"/>
  <c r="AA416" i="1" s="1"/>
  <c r="W418" i="1"/>
  <c r="Y417" i="1" l="1"/>
  <c r="Z417" i="1" s="1"/>
  <c r="AA417" i="1" s="1"/>
  <c r="W419" i="1"/>
  <c r="S402" i="1"/>
  <c r="T402" i="1" s="1"/>
  <c r="R403" i="1"/>
  <c r="R404" i="1" l="1"/>
  <c r="S403" i="1"/>
  <c r="T403" i="1" s="1"/>
  <c r="Y418" i="1"/>
  <c r="Z418" i="1" s="1"/>
  <c r="AA418" i="1" s="1"/>
  <c r="W420" i="1"/>
  <c r="Y419" i="1" l="1"/>
  <c r="W421" i="1"/>
  <c r="S404" i="1"/>
  <c r="T404" i="1" s="1"/>
  <c r="R405" i="1"/>
  <c r="S405" i="1" l="1"/>
  <c r="T405" i="1" s="1"/>
  <c r="R406" i="1"/>
  <c r="Y420" i="1"/>
  <c r="W422" i="1"/>
  <c r="Z419" i="1"/>
  <c r="AA419" i="1" s="1"/>
  <c r="Y421" i="1" l="1"/>
  <c r="W423" i="1"/>
  <c r="Z420" i="1"/>
  <c r="AA420" i="1" s="1"/>
  <c r="R407" i="1"/>
  <c r="S406" i="1"/>
  <c r="T406" i="1" s="1"/>
  <c r="R408" i="1" l="1"/>
  <c r="S407" i="1"/>
  <c r="T407" i="1" s="1"/>
  <c r="Y422" i="1"/>
  <c r="W424" i="1"/>
  <c r="Z421" i="1"/>
  <c r="AA421" i="1" s="1"/>
  <c r="Y423" i="1" l="1"/>
  <c r="W425" i="1"/>
  <c r="Z422" i="1"/>
  <c r="AA422" i="1" s="1"/>
  <c r="R409" i="1"/>
  <c r="S408" i="1"/>
  <c r="T408" i="1" s="1"/>
  <c r="R410" i="1" l="1"/>
  <c r="S409" i="1"/>
  <c r="T409" i="1" s="1"/>
  <c r="Y424" i="1"/>
  <c r="W426" i="1"/>
  <c r="Z423" i="1"/>
  <c r="AA423" i="1" s="1"/>
  <c r="Y425" i="1" l="1"/>
  <c r="W427" i="1"/>
  <c r="Z424" i="1"/>
  <c r="AA424" i="1" s="1"/>
  <c r="R411" i="1"/>
  <c r="S410" i="1"/>
  <c r="T410" i="1" s="1"/>
  <c r="Z425" i="1" l="1"/>
  <c r="AA425" i="1" s="1"/>
  <c r="R412" i="1"/>
  <c r="S411" i="1"/>
  <c r="T411" i="1" s="1"/>
  <c r="Y426" i="1"/>
  <c r="W428" i="1"/>
  <c r="Z426" i="1" l="1"/>
  <c r="AA426" i="1" s="1"/>
  <c r="Y427" i="1"/>
  <c r="W429" i="1"/>
  <c r="R413" i="1"/>
  <c r="S412" i="1"/>
  <c r="T412" i="1" s="1"/>
  <c r="Z427" i="1" l="1"/>
  <c r="AA427" i="1" s="1"/>
  <c r="R414" i="1"/>
  <c r="S413" i="1"/>
  <c r="T413" i="1" s="1"/>
  <c r="Y428" i="1"/>
  <c r="W430" i="1"/>
  <c r="Z428" i="1" l="1"/>
  <c r="AA428" i="1" s="1"/>
  <c r="Y429" i="1"/>
  <c r="W431" i="1"/>
  <c r="R415" i="1"/>
  <c r="S414" i="1"/>
  <c r="T414" i="1" s="1"/>
  <c r="Z429" i="1" l="1"/>
  <c r="AA429" i="1" s="1"/>
  <c r="R416" i="1"/>
  <c r="S415" i="1"/>
  <c r="T415" i="1" s="1"/>
  <c r="Y430" i="1"/>
  <c r="W432" i="1"/>
  <c r="Z430" i="1" l="1"/>
  <c r="AA430" i="1" s="1"/>
  <c r="Y431" i="1"/>
  <c r="Z431" i="1" s="1"/>
  <c r="AA431" i="1" s="1"/>
  <c r="W433" i="1"/>
  <c r="R417" i="1"/>
  <c r="S416" i="1"/>
  <c r="T416" i="1" s="1"/>
  <c r="R418" i="1" l="1"/>
  <c r="S417" i="1"/>
  <c r="T417" i="1" s="1"/>
  <c r="Y432" i="1"/>
  <c r="Z432" i="1" s="1"/>
  <c r="AA432" i="1" s="1"/>
  <c r="W434" i="1"/>
  <c r="Y433" i="1" l="1"/>
  <c r="W435" i="1"/>
  <c r="R419" i="1"/>
  <c r="S418" i="1"/>
  <c r="T418" i="1" s="1"/>
  <c r="R420" i="1" l="1"/>
  <c r="S419" i="1"/>
  <c r="T419" i="1" s="1"/>
  <c r="Y434" i="1"/>
  <c r="W436" i="1"/>
  <c r="Z433" i="1"/>
  <c r="AA433" i="1" s="1"/>
  <c r="Z434" i="1" l="1"/>
  <c r="AA434" i="1" s="1"/>
  <c r="Y435" i="1"/>
  <c r="W437" i="1"/>
  <c r="R421" i="1"/>
  <c r="S420" i="1"/>
  <c r="T420" i="1" s="1"/>
  <c r="Z435" i="1" l="1"/>
  <c r="AA435" i="1" s="1"/>
  <c r="R422" i="1"/>
  <c r="S421" i="1"/>
  <c r="T421" i="1" s="1"/>
  <c r="Y436" i="1"/>
  <c r="W438" i="1"/>
  <c r="Z436" i="1" l="1"/>
  <c r="AA436" i="1" s="1"/>
  <c r="Y437" i="1"/>
  <c r="W439" i="1"/>
  <c r="S422" i="1"/>
  <c r="T422" i="1" s="1"/>
  <c r="R423" i="1"/>
  <c r="Z437" i="1" l="1"/>
  <c r="AA437" i="1" s="1"/>
  <c r="R424" i="1"/>
  <c r="S423" i="1"/>
  <c r="T423" i="1" s="1"/>
  <c r="Y438" i="1"/>
  <c r="W440" i="1"/>
  <c r="Z438" i="1" l="1"/>
  <c r="AA438" i="1" s="1"/>
  <c r="Y439" i="1"/>
  <c r="W441" i="1"/>
  <c r="R425" i="1"/>
  <c r="S424" i="1"/>
  <c r="T424" i="1" s="1"/>
  <c r="Z439" i="1" l="1"/>
  <c r="AA439" i="1" s="1"/>
  <c r="R426" i="1"/>
  <c r="S425" i="1"/>
  <c r="T425" i="1" s="1"/>
  <c r="Y440" i="1"/>
  <c r="W442" i="1"/>
  <c r="Z440" i="1" l="1"/>
  <c r="AA440" i="1" s="1"/>
  <c r="Y441" i="1"/>
  <c r="W443" i="1"/>
  <c r="R427" i="1"/>
  <c r="S426" i="1"/>
  <c r="T426" i="1" s="1"/>
  <c r="Z441" i="1" l="1"/>
  <c r="AA441" i="1" s="1"/>
  <c r="R428" i="1"/>
  <c r="S427" i="1"/>
  <c r="T427" i="1" s="1"/>
  <c r="Y442" i="1"/>
  <c r="W444" i="1"/>
  <c r="Z442" i="1" l="1"/>
  <c r="AA442" i="1" s="1"/>
  <c r="Y443" i="1"/>
  <c r="W445" i="1"/>
  <c r="R429" i="1"/>
  <c r="S428" i="1"/>
  <c r="T428" i="1" s="1"/>
  <c r="Z443" i="1" l="1"/>
  <c r="AA443" i="1" s="1"/>
  <c r="R430" i="1"/>
  <c r="S429" i="1"/>
  <c r="T429" i="1" s="1"/>
  <c r="Y444" i="1"/>
  <c r="W446" i="1"/>
  <c r="Z444" i="1" l="1"/>
  <c r="AA444" i="1" s="1"/>
  <c r="Y445" i="1"/>
  <c r="W447" i="1"/>
  <c r="R431" i="1"/>
  <c r="S430" i="1"/>
  <c r="T430" i="1" s="1"/>
  <c r="Z445" i="1" l="1"/>
  <c r="AA445" i="1" s="1"/>
  <c r="R432" i="1"/>
  <c r="S431" i="1"/>
  <c r="T431" i="1" s="1"/>
  <c r="Y446" i="1"/>
  <c r="Z446" i="1" s="1"/>
  <c r="AA446" i="1" s="1"/>
  <c r="W448" i="1"/>
  <c r="Y447" i="1" l="1"/>
  <c r="Z447" i="1" s="1"/>
  <c r="AA447" i="1" s="1"/>
  <c r="W449" i="1"/>
  <c r="R433" i="1"/>
  <c r="S432" i="1"/>
  <c r="T432" i="1" s="1"/>
  <c r="R434" i="1" l="1"/>
  <c r="S433" i="1"/>
  <c r="T433" i="1" s="1"/>
  <c r="Y448" i="1"/>
  <c r="Z448" i="1" s="1"/>
  <c r="AA448" i="1" s="1"/>
  <c r="W450" i="1"/>
  <c r="Y449" i="1" l="1"/>
  <c r="Z449" i="1" s="1"/>
  <c r="AA449" i="1" s="1"/>
  <c r="W451" i="1"/>
  <c r="R435" i="1"/>
  <c r="S434" i="1"/>
  <c r="T434" i="1" s="1"/>
  <c r="R436" i="1" l="1"/>
  <c r="S435" i="1"/>
  <c r="T435" i="1" s="1"/>
  <c r="Y450" i="1"/>
  <c r="Z450" i="1" s="1"/>
  <c r="AA450" i="1" s="1"/>
  <c r="W452" i="1"/>
  <c r="Y451" i="1" l="1"/>
  <c r="Z451" i="1" s="1"/>
  <c r="AA451" i="1" s="1"/>
  <c r="W453" i="1"/>
  <c r="S436" i="1"/>
  <c r="T436" i="1" s="1"/>
  <c r="R437" i="1"/>
  <c r="R438" i="1" l="1"/>
  <c r="S437" i="1"/>
  <c r="T437" i="1" s="1"/>
  <c r="Y452" i="1"/>
  <c r="Z452" i="1" s="1"/>
  <c r="AA452" i="1" s="1"/>
  <c r="W454" i="1"/>
  <c r="Y453" i="1" l="1"/>
  <c r="Z453" i="1" s="1"/>
  <c r="AA453" i="1" s="1"/>
  <c r="W455" i="1"/>
  <c r="R439" i="1"/>
  <c r="S438" i="1"/>
  <c r="T438" i="1" s="1"/>
  <c r="R440" i="1" l="1"/>
  <c r="S439" i="1"/>
  <c r="T439" i="1" s="1"/>
  <c r="Y454" i="1"/>
  <c r="Z454" i="1" s="1"/>
  <c r="AA454" i="1" s="1"/>
  <c r="W456" i="1"/>
  <c r="Y455" i="1" l="1"/>
  <c r="Z455" i="1" s="1"/>
  <c r="AA455" i="1" s="1"/>
  <c r="W457" i="1"/>
  <c r="R441" i="1"/>
  <c r="S440" i="1"/>
  <c r="T440" i="1" s="1"/>
  <c r="R442" i="1" l="1"/>
  <c r="S441" i="1"/>
  <c r="T441" i="1" s="1"/>
  <c r="Y456" i="1"/>
  <c r="Z456" i="1" s="1"/>
  <c r="AA456" i="1" s="1"/>
  <c r="W458" i="1"/>
  <c r="Y457" i="1" l="1"/>
  <c r="Z457" i="1" s="1"/>
  <c r="AA457" i="1" s="1"/>
  <c r="W459" i="1"/>
  <c r="R443" i="1"/>
  <c r="S442" i="1"/>
  <c r="T442" i="1" s="1"/>
  <c r="R444" i="1" l="1"/>
  <c r="S443" i="1"/>
  <c r="T443" i="1" s="1"/>
  <c r="Y458" i="1"/>
  <c r="Z458" i="1" s="1"/>
  <c r="AA458" i="1" s="1"/>
  <c r="W460" i="1"/>
  <c r="Y459" i="1" l="1"/>
  <c r="W461" i="1"/>
  <c r="R445" i="1"/>
  <c r="S444" i="1"/>
  <c r="T444" i="1" s="1"/>
  <c r="R446" i="1" l="1"/>
  <c r="S445" i="1"/>
  <c r="T445" i="1" s="1"/>
  <c r="Y460" i="1"/>
  <c r="W462" i="1"/>
  <c r="Z459" i="1"/>
  <c r="AA459" i="1" s="1"/>
  <c r="Y461" i="1" l="1"/>
  <c r="W463" i="1"/>
  <c r="Z460" i="1"/>
  <c r="AA460" i="1" s="1"/>
  <c r="R447" i="1"/>
  <c r="S446" i="1"/>
  <c r="T446" i="1" s="1"/>
  <c r="R448" i="1" l="1"/>
  <c r="S447" i="1"/>
  <c r="T447" i="1" s="1"/>
  <c r="Y462" i="1"/>
  <c r="W464" i="1"/>
  <c r="Z461" i="1"/>
  <c r="AA461" i="1" s="1"/>
  <c r="Y463" i="1" l="1"/>
  <c r="W465" i="1"/>
  <c r="Z462" i="1"/>
  <c r="AA462" i="1" s="1"/>
  <c r="R449" i="1"/>
  <c r="S448" i="1"/>
  <c r="T448" i="1" s="1"/>
  <c r="R450" i="1" l="1"/>
  <c r="S449" i="1"/>
  <c r="T449" i="1" s="1"/>
  <c r="Y464" i="1"/>
  <c r="W466" i="1"/>
  <c r="Z463" i="1"/>
  <c r="AA463" i="1" s="1"/>
  <c r="Y465" i="1" l="1"/>
  <c r="W467" i="1"/>
  <c r="Z464" i="1"/>
  <c r="AA464" i="1" s="1"/>
  <c r="R451" i="1"/>
  <c r="S450" i="1"/>
  <c r="T450" i="1" s="1"/>
  <c r="R452" i="1" l="1"/>
  <c r="S451" i="1"/>
  <c r="T451" i="1" s="1"/>
  <c r="Y466" i="1"/>
  <c r="W468" i="1"/>
  <c r="Z465" i="1"/>
  <c r="AA465" i="1" s="1"/>
  <c r="Y467" i="1" l="1"/>
  <c r="W469" i="1"/>
  <c r="Z466" i="1"/>
  <c r="AA466" i="1" s="1"/>
  <c r="R453" i="1"/>
  <c r="S452" i="1"/>
  <c r="T452" i="1" s="1"/>
  <c r="R454" i="1" l="1"/>
  <c r="S453" i="1"/>
  <c r="T453" i="1" s="1"/>
  <c r="Y468" i="1"/>
  <c r="W470" i="1"/>
  <c r="Z467" i="1"/>
  <c r="AA467" i="1" s="1"/>
  <c r="Z468" i="1" l="1"/>
  <c r="AA468" i="1" s="1"/>
  <c r="Y469" i="1"/>
  <c r="W471" i="1"/>
  <c r="R455" i="1"/>
  <c r="S454" i="1"/>
  <c r="T454" i="1" s="1"/>
  <c r="Z469" i="1" l="1"/>
  <c r="AA469" i="1" s="1"/>
  <c r="S455" i="1"/>
  <c r="T455" i="1" s="1"/>
  <c r="R456" i="1"/>
  <c r="Y470" i="1"/>
  <c r="W472" i="1"/>
  <c r="Z470" i="1" l="1"/>
  <c r="AA470" i="1" s="1"/>
  <c r="Y471" i="1"/>
  <c r="W473" i="1"/>
  <c r="R457" i="1"/>
  <c r="S456" i="1"/>
  <c r="T456" i="1" s="1"/>
  <c r="Z471" i="1" l="1"/>
  <c r="AA471" i="1" s="1"/>
  <c r="Y472" i="1"/>
  <c r="W474" i="1"/>
  <c r="R458" i="1"/>
  <c r="S457" i="1"/>
  <c r="T457" i="1" s="1"/>
  <c r="Z472" i="1" l="1"/>
  <c r="AA472" i="1" s="1"/>
  <c r="R459" i="1"/>
  <c r="S458" i="1"/>
  <c r="T458" i="1" s="1"/>
  <c r="Y473" i="1"/>
  <c r="W475" i="1"/>
  <c r="Z473" i="1" l="1"/>
  <c r="AA473" i="1" s="1"/>
  <c r="Y474" i="1"/>
  <c r="W476" i="1"/>
  <c r="R460" i="1"/>
  <c r="S459" i="1"/>
  <c r="T459" i="1" s="1"/>
  <c r="Z474" i="1" l="1"/>
  <c r="AA474" i="1" s="1"/>
  <c r="R461" i="1"/>
  <c r="S460" i="1"/>
  <c r="T460" i="1" s="1"/>
  <c r="Y475" i="1"/>
  <c r="W477" i="1"/>
  <c r="Z475" i="1" l="1"/>
  <c r="AA475" i="1" s="1"/>
  <c r="Y476" i="1"/>
  <c r="W478" i="1"/>
  <c r="R462" i="1"/>
  <c r="S461" i="1"/>
  <c r="T461" i="1" s="1"/>
  <c r="Z476" i="1" l="1"/>
  <c r="AA476" i="1" s="1"/>
  <c r="R463" i="1"/>
  <c r="S462" i="1"/>
  <c r="T462" i="1" s="1"/>
  <c r="Y477" i="1"/>
  <c r="Z477" i="1" s="1"/>
  <c r="AA477" i="1" s="1"/>
  <c r="W479" i="1"/>
  <c r="Y478" i="1" l="1"/>
  <c r="Z478" i="1" s="1"/>
  <c r="AA478" i="1" s="1"/>
  <c r="W480" i="1"/>
  <c r="R464" i="1"/>
  <c r="S463" i="1"/>
  <c r="T463" i="1" s="1"/>
  <c r="S464" i="1" l="1"/>
  <c r="T464" i="1" s="1"/>
  <c r="R465" i="1"/>
  <c r="Y479" i="1"/>
  <c r="Z479" i="1" s="1"/>
  <c r="AA479" i="1" s="1"/>
  <c r="W481" i="1"/>
  <c r="Y480" i="1" l="1"/>
  <c r="Z480" i="1" s="1"/>
  <c r="AA480" i="1" s="1"/>
  <c r="W482" i="1"/>
  <c r="R466" i="1"/>
  <c r="S465" i="1"/>
  <c r="T465" i="1" s="1"/>
  <c r="R467" i="1" l="1"/>
  <c r="S466" i="1"/>
  <c r="T466" i="1" s="1"/>
  <c r="Y481" i="1"/>
  <c r="Z481" i="1" s="1"/>
  <c r="AA481" i="1" s="1"/>
  <c r="W483" i="1"/>
  <c r="Y482" i="1" l="1"/>
  <c r="Z482" i="1" s="1"/>
  <c r="AA482" i="1" s="1"/>
  <c r="W484" i="1"/>
  <c r="R468" i="1"/>
  <c r="S467" i="1"/>
  <c r="T467" i="1" s="1"/>
  <c r="R469" i="1" l="1"/>
  <c r="S468" i="1"/>
  <c r="T468" i="1" s="1"/>
  <c r="Y483" i="1"/>
  <c r="Z483" i="1" s="1"/>
  <c r="AA483" i="1" s="1"/>
  <c r="W485" i="1"/>
  <c r="Y484" i="1" l="1"/>
  <c r="Z484" i="1" s="1"/>
  <c r="AA484" i="1" s="1"/>
  <c r="W486" i="1"/>
  <c r="R470" i="1"/>
  <c r="S469" i="1"/>
  <c r="T469" i="1" s="1"/>
  <c r="R471" i="1" l="1"/>
  <c r="S470" i="1"/>
  <c r="T470" i="1" s="1"/>
  <c r="Y485" i="1"/>
  <c r="W487" i="1"/>
  <c r="Y486" i="1" l="1"/>
  <c r="W488" i="1"/>
  <c r="Z485" i="1"/>
  <c r="AA485" i="1" s="1"/>
  <c r="R472" i="1"/>
  <c r="S471" i="1"/>
  <c r="T471" i="1" s="1"/>
  <c r="R473" i="1" l="1"/>
  <c r="S472" i="1"/>
  <c r="T472" i="1" s="1"/>
  <c r="Y487" i="1"/>
  <c r="W489" i="1"/>
  <c r="Z486" i="1"/>
  <c r="AA486" i="1" s="1"/>
  <c r="Y488" i="1" l="1"/>
  <c r="W490" i="1"/>
  <c r="Z487" i="1"/>
  <c r="AA487" i="1" s="1"/>
  <c r="R474" i="1"/>
  <c r="S473" i="1"/>
  <c r="T473" i="1" s="1"/>
  <c r="R475" i="1" l="1"/>
  <c r="S474" i="1"/>
  <c r="T474" i="1" s="1"/>
  <c r="Y489" i="1"/>
  <c r="W491" i="1"/>
  <c r="Z488" i="1"/>
  <c r="AA488" i="1" s="1"/>
  <c r="Y490" i="1" l="1"/>
  <c r="W492" i="1"/>
  <c r="Z489" i="1"/>
  <c r="AA489" i="1" s="1"/>
  <c r="R476" i="1"/>
  <c r="S475" i="1"/>
  <c r="T475" i="1" s="1"/>
  <c r="Y491" i="1" l="1"/>
  <c r="W493" i="1"/>
  <c r="R477" i="1"/>
  <c r="S476" i="1"/>
  <c r="T476" i="1" s="1"/>
  <c r="Z490" i="1"/>
  <c r="AA490" i="1" s="1"/>
  <c r="R478" i="1" l="1"/>
  <c r="S477" i="1"/>
  <c r="T477" i="1" s="1"/>
  <c r="Y492" i="1"/>
  <c r="W494" i="1"/>
  <c r="Z491" i="1"/>
  <c r="AA491" i="1" s="1"/>
  <c r="Y493" i="1" l="1"/>
  <c r="W495" i="1"/>
  <c r="Z492" i="1"/>
  <c r="AA492" i="1" s="1"/>
  <c r="S478" i="1"/>
  <c r="T478" i="1" s="1"/>
  <c r="R479" i="1"/>
  <c r="R480" i="1" l="1"/>
  <c r="S479" i="1"/>
  <c r="T479" i="1" s="1"/>
  <c r="Y494" i="1"/>
  <c r="W496" i="1"/>
  <c r="Z493" i="1"/>
  <c r="AA493" i="1" s="1"/>
  <c r="Y495" i="1" l="1"/>
  <c r="W497" i="1"/>
  <c r="Z494" i="1"/>
  <c r="AA494" i="1" s="1"/>
  <c r="R481" i="1"/>
  <c r="S480" i="1"/>
  <c r="T480" i="1" s="1"/>
  <c r="R482" i="1" l="1"/>
  <c r="S481" i="1"/>
  <c r="T481" i="1" s="1"/>
  <c r="Y496" i="1"/>
  <c r="W498" i="1"/>
  <c r="Z495" i="1"/>
  <c r="AA495" i="1" s="1"/>
  <c r="Z496" i="1" l="1"/>
  <c r="AA496" i="1" s="1"/>
  <c r="Y497" i="1"/>
  <c r="W499" i="1"/>
  <c r="R483" i="1"/>
  <c r="S482" i="1"/>
  <c r="T482" i="1" s="1"/>
  <c r="Z497" i="1" l="1"/>
  <c r="AA497" i="1" s="1"/>
  <c r="Y498" i="1"/>
  <c r="W500" i="1"/>
  <c r="R484" i="1"/>
  <c r="S483" i="1"/>
  <c r="T483" i="1" s="1"/>
  <c r="Z498" i="1" l="1"/>
  <c r="AA498" i="1" s="1"/>
  <c r="Y499" i="1"/>
  <c r="W501" i="1"/>
  <c r="R485" i="1"/>
  <c r="S484" i="1"/>
  <c r="T484" i="1" s="1"/>
  <c r="Z499" i="1" l="1"/>
  <c r="AA499" i="1" s="1"/>
  <c r="R486" i="1"/>
  <c r="S485" i="1"/>
  <c r="T485" i="1" s="1"/>
  <c r="Y500" i="1"/>
  <c r="W502" i="1"/>
  <c r="Z500" i="1" l="1"/>
  <c r="AA500" i="1" s="1"/>
  <c r="Y501" i="1"/>
  <c r="W503" i="1"/>
  <c r="R487" i="1"/>
  <c r="S486" i="1"/>
  <c r="T486" i="1" s="1"/>
  <c r="Z501" i="1" l="1"/>
  <c r="AA501" i="1" s="1"/>
  <c r="Y502" i="1"/>
  <c r="W504" i="1"/>
  <c r="R488" i="1"/>
  <c r="S487" i="1"/>
  <c r="T487" i="1" s="1"/>
  <c r="Z502" i="1" l="1"/>
  <c r="AA502" i="1" s="1"/>
  <c r="S488" i="1"/>
  <c r="T488" i="1" s="1"/>
  <c r="R489" i="1"/>
  <c r="Y503" i="1"/>
  <c r="W505" i="1"/>
  <c r="Z503" i="1" l="1"/>
  <c r="AA503" i="1" s="1"/>
  <c r="Y504" i="1"/>
  <c r="W506" i="1"/>
  <c r="S489" i="1"/>
  <c r="T489" i="1" s="1"/>
  <c r="R490" i="1"/>
  <c r="Z504" i="1" l="1"/>
  <c r="AA504" i="1" s="1"/>
  <c r="R491" i="1"/>
  <c r="S490" i="1"/>
  <c r="T490" i="1" s="1"/>
  <c r="Y505" i="1"/>
  <c r="Z505" i="1" s="1"/>
  <c r="AA505" i="1" s="1"/>
  <c r="W507" i="1"/>
  <c r="Y506" i="1" l="1"/>
  <c r="Z506" i="1" s="1"/>
  <c r="AA506" i="1" s="1"/>
  <c r="W508" i="1"/>
  <c r="R492" i="1"/>
  <c r="S491" i="1"/>
  <c r="T491" i="1" s="1"/>
  <c r="R493" i="1" l="1"/>
  <c r="S492" i="1"/>
  <c r="T492" i="1" s="1"/>
  <c r="Y507" i="1"/>
  <c r="Z507" i="1" s="1"/>
  <c r="AA507" i="1" s="1"/>
  <c r="W509" i="1"/>
  <c r="Y508" i="1" l="1"/>
  <c r="Z508" i="1" s="1"/>
  <c r="AA508" i="1" s="1"/>
  <c r="W510" i="1"/>
  <c r="R494" i="1"/>
  <c r="S493" i="1"/>
  <c r="T493" i="1" s="1"/>
  <c r="R495" i="1" l="1"/>
  <c r="S494" i="1"/>
  <c r="T494" i="1" s="1"/>
  <c r="Y509" i="1"/>
  <c r="Z509" i="1" s="1"/>
  <c r="AA509" i="1" s="1"/>
  <c r="W511" i="1"/>
  <c r="Y510" i="1" l="1"/>
  <c r="Z510" i="1" s="1"/>
  <c r="AA510" i="1" s="1"/>
  <c r="W512" i="1"/>
  <c r="R496" i="1"/>
  <c r="S495" i="1"/>
  <c r="T495" i="1" s="1"/>
  <c r="R497" i="1" l="1"/>
  <c r="S496" i="1"/>
  <c r="T496" i="1" s="1"/>
  <c r="Y511" i="1"/>
  <c r="Z511" i="1" s="1"/>
  <c r="AA511" i="1" s="1"/>
  <c r="W513" i="1"/>
  <c r="Y512" i="1" l="1"/>
  <c r="W514" i="1"/>
  <c r="R498" i="1"/>
  <c r="S497" i="1"/>
  <c r="T497" i="1" s="1"/>
  <c r="Y513" i="1" l="1"/>
  <c r="W515" i="1"/>
  <c r="R499" i="1"/>
  <c r="S498" i="1"/>
  <c r="T498" i="1" s="1"/>
  <c r="Z512" i="1"/>
  <c r="Z513" i="1" s="1"/>
  <c r="Y514" i="1" l="1"/>
  <c r="Z514" i="1" s="1"/>
  <c r="AA514" i="1" s="1"/>
  <c r="W516" i="1"/>
  <c r="AA512" i="1"/>
  <c r="AA513" i="1"/>
  <c r="R500" i="1"/>
  <c r="S499" i="1"/>
  <c r="T499" i="1" s="1"/>
  <c r="Y515" i="1" l="1"/>
  <c r="W517" i="1"/>
  <c r="R501" i="1"/>
  <c r="S500" i="1"/>
  <c r="T500" i="1" s="1"/>
  <c r="Y516" i="1" l="1"/>
  <c r="W518" i="1"/>
  <c r="Z515" i="1"/>
  <c r="AA515" i="1" s="1"/>
  <c r="R502" i="1"/>
  <c r="S501" i="1"/>
  <c r="T501" i="1" s="1"/>
  <c r="Y517" i="1" l="1"/>
  <c r="W519" i="1"/>
  <c r="Z516" i="1"/>
  <c r="AA516" i="1" s="1"/>
  <c r="R503" i="1"/>
  <c r="S502" i="1"/>
  <c r="T502" i="1" s="1"/>
  <c r="Y518" i="1" l="1"/>
  <c r="W520" i="1"/>
  <c r="Z517" i="1"/>
  <c r="AA517" i="1" s="1"/>
  <c r="R504" i="1"/>
  <c r="S503" i="1"/>
  <c r="T503" i="1" s="1"/>
  <c r="Y519" i="1" l="1"/>
  <c r="W521" i="1"/>
  <c r="Z518" i="1"/>
  <c r="AA518" i="1" s="1"/>
  <c r="R505" i="1"/>
  <c r="S504" i="1"/>
  <c r="T504" i="1" s="1"/>
  <c r="Y520" i="1" l="1"/>
  <c r="W522" i="1"/>
  <c r="Z519" i="1"/>
  <c r="AA519" i="1" s="1"/>
  <c r="R506" i="1"/>
  <c r="S505" i="1"/>
  <c r="T505" i="1" s="1"/>
  <c r="Y521" i="1" l="1"/>
  <c r="W523" i="1"/>
  <c r="Z520" i="1"/>
  <c r="AA520" i="1" s="1"/>
  <c r="R507" i="1"/>
  <c r="S506" i="1"/>
  <c r="T506" i="1" s="1"/>
  <c r="Y522" i="1" l="1"/>
  <c r="W524" i="1"/>
  <c r="Z521" i="1"/>
  <c r="AA521" i="1"/>
  <c r="R508" i="1"/>
  <c r="S507" i="1"/>
  <c r="T507" i="1" s="1"/>
  <c r="Y523" i="1" l="1"/>
  <c r="W525" i="1"/>
  <c r="Z522" i="1"/>
  <c r="AA522" i="1" s="1"/>
  <c r="R509" i="1"/>
  <c r="S508" i="1"/>
  <c r="T508" i="1" s="1"/>
  <c r="Y524" i="1" l="1"/>
  <c r="W526" i="1"/>
  <c r="Z523" i="1"/>
  <c r="AA523" i="1" s="1"/>
  <c r="R510" i="1"/>
  <c r="S509" i="1"/>
  <c r="T509" i="1" s="1"/>
  <c r="Y525" i="1" l="1"/>
  <c r="W527" i="1"/>
  <c r="Z524" i="1"/>
  <c r="AA524" i="1" s="1"/>
  <c r="R511" i="1"/>
  <c r="S510" i="1"/>
  <c r="T510" i="1" s="1"/>
  <c r="Y526" i="1" l="1"/>
  <c r="W528" i="1"/>
  <c r="Z525" i="1"/>
  <c r="AA525" i="1" s="1"/>
  <c r="R512" i="1"/>
  <c r="S511" i="1"/>
  <c r="T511" i="1" s="1"/>
  <c r="Y527" i="1" l="1"/>
  <c r="W529" i="1"/>
  <c r="Y528" i="1" s="1"/>
  <c r="Z526" i="1"/>
  <c r="AA526" i="1" s="1"/>
  <c r="R513" i="1"/>
  <c r="S512" i="1"/>
  <c r="T512" i="1" s="1"/>
  <c r="Z527" i="1" l="1"/>
  <c r="AA527" i="1" s="1"/>
  <c r="R514" i="1"/>
  <c r="S513" i="1"/>
  <c r="T513" i="1" s="1"/>
  <c r="S514" i="1" l="1"/>
  <c r="T514" i="1" s="1"/>
  <c r="R515" i="1"/>
  <c r="Z528" i="1"/>
  <c r="S515" i="1" l="1"/>
  <c r="T515" i="1" s="1"/>
  <c r="R516" i="1"/>
  <c r="Z529" i="1"/>
  <c r="AA529" i="1" s="1"/>
  <c r="AA528" i="1"/>
  <c r="S516" i="1" l="1"/>
  <c r="T516" i="1" s="1"/>
  <c r="R517" i="1"/>
  <c r="S517" i="1" l="1"/>
  <c r="T517" i="1" s="1"/>
  <c r="R518" i="1"/>
  <c r="S518" i="1" l="1"/>
  <c r="T518" i="1" s="1"/>
  <c r="R519" i="1"/>
  <c r="R520" i="1" l="1"/>
  <c r="S519" i="1"/>
  <c r="T519" i="1" s="1"/>
  <c r="S520" i="1" l="1"/>
  <c r="T520" i="1" s="1"/>
  <c r="R521" i="1"/>
  <c r="R522" i="1" l="1"/>
  <c r="S521" i="1"/>
  <c r="T521" i="1" s="1"/>
  <c r="S522" i="1" l="1"/>
  <c r="T522" i="1" s="1"/>
  <c r="R523" i="1"/>
  <c r="R524" i="1" l="1"/>
  <c r="S523" i="1"/>
  <c r="T523" i="1" s="1"/>
  <c r="R525" i="1" l="1"/>
  <c r="S524" i="1"/>
  <c r="T524" i="1" s="1"/>
  <c r="S525" i="1" l="1"/>
  <c r="T525" i="1" s="1"/>
  <c r="R526" i="1"/>
  <c r="S526" i="1" l="1"/>
  <c r="T526" i="1" s="1"/>
  <c r="R527" i="1"/>
  <c r="R528" i="1" l="1"/>
  <c r="S527" i="1"/>
  <c r="T527" i="1" s="1"/>
  <c r="S528" i="1" l="1"/>
  <c r="T528" i="1" s="1"/>
  <c r="R529" i="1"/>
  <c r="S529" i="1" s="1"/>
  <c r="T52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187C0F-7644-46BF-ADA1-5A12CB7C44E4}" keepAlive="1" name="Query - Forecast" description="Connection to the 'Forecast' query in the workbook." type="5" refreshedVersion="8" background="1" saveData="1">
    <dbPr connection="Provider=Microsoft.Mashup.OleDb.1;Data Source=$Workbook$;Location=Forecast;Extended Properties=&quot;&quot;" command="SELECT * FROM [Forecas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6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</futureMetadata>
  <cellMetadata count="1">
    <bk>
      <rc t="1" v="0"/>
    </bk>
  </cellMetadata>
  <valueMetadata count="156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</valueMetadata>
</metadata>
</file>

<file path=xl/sharedStrings.xml><?xml version="1.0" encoding="utf-8"?>
<sst xmlns="http://schemas.openxmlformats.org/spreadsheetml/2006/main" count="60" uniqueCount="50">
  <si>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</si>
  <si>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</si>
  <si>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</si>
  <si>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</si>
  <si>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</si>
  <si>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</si>
  <si>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</si>
  <si>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</si>
  <si>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</si>
  <si>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</si>
  <si>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</si>
  <si>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</si>
  <si>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</si>
  <si>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</si>
  <si>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</si>
  <si>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</si>
  <si>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</si>
  <si>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</si>
  <si>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</si>
  <si>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</si>
  <si>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</si>
  <si>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</si>
  <si>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</si>
  <si>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</si>
  <si>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</si>
  <si>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</si>
  <si>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</si>
  <si>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</si>
  <si>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</si>
  <si>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</si>
  <si>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</si>
  <si>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</si>
  <si>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</si>
  <si>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</si>
  <si>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</si>
  <si>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</si>
  <si>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</si>
  <si>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</si>
  <si>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</si>
  <si>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</si>
  <si>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</si>
  <si>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</si>
  <si>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</si>
  <si>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</si>
  <si>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</si>
  <si>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</si>
  <si>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Average</t>
  </si>
  <si>
    <t>CI/PI</t>
  </si>
  <si>
    <t>Date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</si>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</sst>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14" fontId="0" fillId="0" borderId="0" xfId="0" applyNumberFormat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</cellXfs>
  <cellStyles count="2">
    <cellStyle name="Comma" xfId="1" builtinId="3"/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Data!$C$2:$C$529</c:f>
              <c:numCache>
                <c:formatCode>_([$$-409]* #,##0.00_);_([$$-409]* \(#,##0.00\);_([$$-409]* "-"??_);_(@_)</c:formatCode>
                <c:ptCount val="528"/>
                <c:pt idx="0">
                  <c:v>297.04000000000002</c:v>
                </c:pt>
                <c:pt idx="1">
                  <c:v>294.39</c:v>
                </c:pt>
                <c:pt idx="2">
                  <c:v>291.74</c:v>
                </c:pt>
                <c:pt idx="3">
                  <c:v>288.99</c:v>
                </c:pt>
                <c:pt idx="4">
                  <c:v>291.89999999999998</c:v>
                </c:pt>
                <c:pt idx="5">
                  <c:v>290.87</c:v>
                </c:pt>
                <c:pt idx="6">
                  <c:v>294.08999999999997</c:v>
                </c:pt>
                <c:pt idx="7">
                  <c:v>294.14999999999998</c:v>
                </c:pt>
                <c:pt idx="8">
                  <c:v>293.47000000000003</c:v>
                </c:pt>
                <c:pt idx="9">
                  <c:v>291.08999999999997</c:v>
                </c:pt>
                <c:pt idx="10">
                  <c:v>291.16000000000003</c:v>
                </c:pt>
                <c:pt idx="11">
                  <c:v>294.36</c:v>
                </c:pt>
                <c:pt idx="12">
                  <c:v>300.52999999999997</c:v>
                </c:pt>
                <c:pt idx="13">
                  <c:v>298.41000000000003</c:v>
                </c:pt>
                <c:pt idx="14">
                  <c:v>300.05</c:v>
                </c:pt>
                <c:pt idx="15">
                  <c:v>300.44</c:v>
                </c:pt>
                <c:pt idx="16">
                  <c:v>297.20999999999998</c:v>
                </c:pt>
                <c:pt idx="17">
                  <c:v>292.26</c:v>
                </c:pt>
                <c:pt idx="18">
                  <c:v>292.31</c:v>
                </c:pt>
                <c:pt idx="19">
                  <c:v>294.64999999999998</c:v>
                </c:pt>
                <c:pt idx="20">
                  <c:v>292.72000000000003</c:v>
                </c:pt>
                <c:pt idx="21">
                  <c:v>298.08</c:v>
                </c:pt>
                <c:pt idx="22">
                  <c:v>297.05</c:v>
                </c:pt>
                <c:pt idx="23">
                  <c:v>285.97000000000003</c:v>
                </c:pt>
                <c:pt idx="24">
                  <c:v>284.64999999999998</c:v>
                </c:pt>
                <c:pt idx="25">
                  <c:v>287.33</c:v>
                </c:pt>
                <c:pt idx="26">
                  <c:v>291.93</c:v>
                </c:pt>
                <c:pt idx="27">
                  <c:v>289.47000000000003</c:v>
                </c:pt>
                <c:pt idx="28">
                  <c:v>289.44</c:v>
                </c:pt>
                <c:pt idx="29">
                  <c:v>287.11</c:v>
                </c:pt>
                <c:pt idx="30">
                  <c:v>288.17</c:v>
                </c:pt>
                <c:pt idx="31">
                  <c:v>291.86</c:v>
                </c:pt>
                <c:pt idx="32">
                  <c:v>292.02</c:v>
                </c:pt>
                <c:pt idx="33">
                  <c:v>292.64999999999998</c:v>
                </c:pt>
                <c:pt idx="34">
                  <c:v>293.91000000000003</c:v>
                </c:pt>
                <c:pt idx="35">
                  <c:v>295.92</c:v>
                </c:pt>
                <c:pt idx="36">
                  <c:v>297.75</c:v>
                </c:pt>
                <c:pt idx="37">
                  <c:v>297.12</c:v>
                </c:pt>
                <c:pt idx="38">
                  <c:v>293.76</c:v>
                </c:pt>
                <c:pt idx="39">
                  <c:v>295.19</c:v>
                </c:pt>
                <c:pt idx="40">
                  <c:v>292.27999999999997</c:v>
                </c:pt>
                <c:pt idx="41">
                  <c:v>290.73</c:v>
                </c:pt>
                <c:pt idx="42">
                  <c:v>290.94</c:v>
                </c:pt>
                <c:pt idx="43">
                  <c:v>292.54000000000002</c:v>
                </c:pt>
                <c:pt idx="44">
                  <c:v>292.93</c:v>
                </c:pt>
                <c:pt idx="45">
                  <c:v>291.11</c:v>
                </c:pt>
                <c:pt idx="46">
                  <c:v>292.55</c:v>
                </c:pt>
                <c:pt idx="47">
                  <c:v>294.82</c:v>
                </c:pt>
                <c:pt idx="48">
                  <c:v>294.31</c:v>
                </c:pt>
                <c:pt idx="49">
                  <c:v>282.86</c:v>
                </c:pt>
                <c:pt idx="50">
                  <c:v>281.73</c:v>
                </c:pt>
                <c:pt idx="51">
                  <c:v>279.14</c:v>
                </c:pt>
                <c:pt idx="52">
                  <c:v>278.58</c:v>
                </c:pt>
                <c:pt idx="53">
                  <c:v>282.87</c:v>
                </c:pt>
                <c:pt idx="54">
                  <c:v>284.45</c:v>
                </c:pt>
                <c:pt idx="55">
                  <c:v>283.52999999999997</c:v>
                </c:pt>
                <c:pt idx="56">
                  <c:v>282.63</c:v>
                </c:pt>
                <c:pt idx="57">
                  <c:v>278.62</c:v>
                </c:pt>
                <c:pt idx="58">
                  <c:v>278.62</c:v>
                </c:pt>
                <c:pt idx="59">
                  <c:v>282.02</c:v>
                </c:pt>
                <c:pt idx="60">
                  <c:v>281.95</c:v>
                </c:pt>
                <c:pt idx="61">
                  <c:v>280.22000000000003</c:v>
                </c:pt>
                <c:pt idx="62">
                  <c:v>277.74</c:v>
                </c:pt>
                <c:pt idx="63">
                  <c:v>275.54000000000002</c:v>
                </c:pt>
                <c:pt idx="64">
                  <c:v>270.08999999999997</c:v>
                </c:pt>
                <c:pt idx="65">
                  <c:v>266.69</c:v>
                </c:pt>
                <c:pt idx="66">
                  <c:v>267.56</c:v>
                </c:pt>
                <c:pt idx="67">
                  <c:v>269.44</c:v>
                </c:pt>
                <c:pt idx="68">
                  <c:v>268.67</c:v>
                </c:pt>
                <c:pt idx="69">
                  <c:v>268.62</c:v>
                </c:pt>
                <c:pt idx="70">
                  <c:v>267.39</c:v>
                </c:pt>
                <c:pt idx="71">
                  <c:v>266.23</c:v>
                </c:pt>
                <c:pt idx="72">
                  <c:v>265.43</c:v>
                </c:pt>
                <c:pt idx="73">
                  <c:v>269.95</c:v>
                </c:pt>
                <c:pt idx="74">
                  <c:v>270.98</c:v>
                </c:pt>
                <c:pt idx="75">
                  <c:v>271.99</c:v>
                </c:pt>
                <c:pt idx="76">
                  <c:v>275.58</c:v>
                </c:pt>
                <c:pt idx="77">
                  <c:v>276.88</c:v>
                </c:pt>
                <c:pt idx="78">
                  <c:v>276.75</c:v>
                </c:pt>
                <c:pt idx="79">
                  <c:v>275.60000000000002</c:v>
                </c:pt>
                <c:pt idx="80">
                  <c:v>273.08999999999997</c:v>
                </c:pt>
                <c:pt idx="81">
                  <c:v>273.55</c:v>
                </c:pt>
                <c:pt idx="82">
                  <c:v>273.04000000000002</c:v>
                </c:pt>
                <c:pt idx="83">
                  <c:v>274.43</c:v>
                </c:pt>
                <c:pt idx="84">
                  <c:v>273.27999999999997</c:v>
                </c:pt>
                <c:pt idx="85">
                  <c:v>270.32</c:v>
                </c:pt>
                <c:pt idx="86">
                  <c:v>269.3</c:v>
                </c:pt>
                <c:pt idx="87">
                  <c:v>267.5</c:v>
                </c:pt>
                <c:pt idx="88">
                  <c:v>268.49</c:v>
                </c:pt>
                <c:pt idx="89">
                  <c:v>267.95</c:v>
                </c:pt>
                <c:pt idx="90">
                  <c:v>275</c:v>
                </c:pt>
                <c:pt idx="91">
                  <c:v>271.32</c:v>
                </c:pt>
                <c:pt idx="92">
                  <c:v>270.66000000000003</c:v>
                </c:pt>
                <c:pt idx="93">
                  <c:v>273.87</c:v>
                </c:pt>
                <c:pt idx="94">
                  <c:v>273.51</c:v>
                </c:pt>
                <c:pt idx="95">
                  <c:v>272.38</c:v>
                </c:pt>
                <c:pt idx="96">
                  <c:v>267.87</c:v>
                </c:pt>
                <c:pt idx="97">
                  <c:v>265.87</c:v>
                </c:pt>
                <c:pt idx="98">
                  <c:v>265.77</c:v>
                </c:pt>
                <c:pt idx="99">
                  <c:v>257.93</c:v>
                </c:pt>
                <c:pt idx="100">
                  <c:v>258.11</c:v>
                </c:pt>
                <c:pt idx="101">
                  <c:v>253.54</c:v>
                </c:pt>
                <c:pt idx="102">
                  <c:v>249.37</c:v>
                </c:pt>
                <c:pt idx="103">
                  <c:v>252.07</c:v>
                </c:pt>
                <c:pt idx="104">
                  <c:v>258.89</c:v>
                </c:pt>
                <c:pt idx="105">
                  <c:v>259.75</c:v>
                </c:pt>
                <c:pt idx="106">
                  <c:v>262.72000000000003</c:v>
                </c:pt>
                <c:pt idx="107">
                  <c:v>259.99</c:v>
                </c:pt>
                <c:pt idx="108">
                  <c:v>260.72000000000003</c:v>
                </c:pt>
                <c:pt idx="109">
                  <c:v>256.20999999999998</c:v>
                </c:pt>
                <c:pt idx="110">
                  <c:v>253.81</c:v>
                </c:pt>
                <c:pt idx="111">
                  <c:v>254.28</c:v>
                </c:pt>
                <c:pt idx="112">
                  <c:v>254.48</c:v>
                </c:pt>
                <c:pt idx="113">
                  <c:v>253.7</c:v>
                </c:pt>
                <c:pt idx="114">
                  <c:v>253.58</c:v>
                </c:pt>
                <c:pt idx="115">
                  <c:v>253.51</c:v>
                </c:pt>
                <c:pt idx="116">
                  <c:v>250.79</c:v>
                </c:pt>
                <c:pt idx="117">
                  <c:v>253.8</c:v>
                </c:pt>
                <c:pt idx="118">
                  <c:v>259.39</c:v>
                </c:pt>
                <c:pt idx="119">
                  <c:v>260.38</c:v>
                </c:pt>
                <c:pt idx="120">
                  <c:v>257.38</c:v>
                </c:pt>
                <c:pt idx="121">
                  <c:v>257.83</c:v>
                </c:pt>
                <c:pt idx="122">
                  <c:v>258.17</c:v>
                </c:pt>
                <c:pt idx="123">
                  <c:v>254.84</c:v>
                </c:pt>
                <c:pt idx="124">
                  <c:v>249.99</c:v>
                </c:pt>
                <c:pt idx="125">
                  <c:v>247.79</c:v>
                </c:pt>
                <c:pt idx="126">
                  <c:v>250</c:v>
                </c:pt>
                <c:pt idx="127">
                  <c:v>251.09</c:v>
                </c:pt>
                <c:pt idx="128">
                  <c:v>247.85</c:v>
                </c:pt>
                <c:pt idx="129">
                  <c:v>245.82</c:v>
                </c:pt>
                <c:pt idx="130">
                  <c:v>250.49</c:v>
                </c:pt>
                <c:pt idx="131">
                  <c:v>254.8</c:v>
                </c:pt>
                <c:pt idx="132">
                  <c:v>253.9</c:v>
                </c:pt>
                <c:pt idx="133">
                  <c:v>251.53</c:v>
                </c:pt>
                <c:pt idx="134">
                  <c:v>257.27</c:v>
                </c:pt>
                <c:pt idx="135">
                  <c:v>261</c:v>
                </c:pt>
                <c:pt idx="136">
                  <c:v>259.52</c:v>
                </c:pt>
                <c:pt idx="137">
                  <c:v>257.27999999999997</c:v>
                </c:pt>
                <c:pt idx="138">
                  <c:v>259.54000000000002</c:v>
                </c:pt>
                <c:pt idx="139">
                  <c:v>254.05</c:v>
                </c:pt>
                <c:pt idx="140">
                  <c:v>253.37</c:v>
                </c:pt>
                <c:pt idx="141">
                  <c:v>251.46</c:v>
                </c:pt>
                <c:pt idx="142">
                  <c:v>252</c:v>
                </c:pt>
                <c:pt idx="143">
                  <c:v>261.42</c:v>
                </c:pt>
                <c:pt idx="144">
                  <c:v>266.44</c:v>
                </c:pt>
                <c:pt idx="145">
                  <c:v>265.39999999999998</c:v>
                </c:pt>
                <c:pt idx="146">
                  <c:v>268.75</c:v>
                </c:pt>
                <c:pt idx="147">
                  <c:v>276.69</c:v>
                </c:pt>
                <c:pt idx="148">
                  <c:v>268.45</c:v>
                </c:pt>
                <c:pt idx="149">
                  <c:v>270.06</c:v>
                </c:pt>
                <c:pt idx="150">
                  <c:v>269.37</c:v>
                </c:pt>
                <c:pt idx="151">
                  <c:v>271.19</c:v>
                </c:pt>
                <c:pt idx="152">
                  <c:v>267.91000000000003</c:v>
                </c:pt>
                <c:pt idx="153">
                  <c:v>269.45999999999998</c:v>
                </c:pt>
                <c:pt idx="154">
                  <c:v>270.31</c:v>
                </c:pt>
                <c:pt idx="155">
                  <c:v>271.14999999999998</c:v>
                </c:pt>
                <c:pt idx="156">
                  <c:v>274.87</c:v>
                </c:pt>
                <c:pt idx="157">
                  <c:v>278.49</c:v>
                </c:pt>
                <c:pt idx="158">
                  <c:v>287.55</c:v>
                </c:pt>
                <c:pt idx="159">
                  <c:v>285.63</c:v>
                </c:pt>
                <c:pt idx="160">
                  <c:v>289.70999999999998</c:v>
                </c:pt>
                <c:pt idx="161">
                  <c:v>289.20999999999998</c:v>
                </c:pt>
                <c:pt idx="162">
                  <c:v>289.52</c:v>
                </c:pt>
                <c:pt idx="163">
                  <c:v>288.68</c:v>
                </c:pt>
                <c:pt idx="164">
                  <c:v>289.64</c:v>
                </c:pt>
                <c:pt idx="165">
                  <c:v>287.05</c:v>
                </c:pt>
                <c:pt idx="166">
                  <c:v>287.86</c:v>
                </c:pt>
                <c:pt idx="167">
                  <c:v>288.66000000000003</c:v>
                </c:pt>
                <c:pt idx="168">
                  <c:v>285.52</c:v>
                </c:pt>
                <c:pt idx="169">
                  <c:v>288.02999999999997</c:v>
                </c:pt>
                <c:pt idx="170">
                  <c:v>287.97000000000003</c:v>
                </c:pt>
                <c:pt idx="171">
                  <c:v>289.51</c:v>
                </c:pt>
                <c:pt idx="172">
                  <c:v>291.29000000000002</c:v>
                </c:pt>
                <c:pt idx="173">
                  <c:v>291.27</c:v>
                </c:pt>
                <c:pt idx="174">
                  <c:v>290.23</c:v>
                </c:pt>
                <c:pt idx="175">
                  <c:v>292.35000000000002</c:v>
                </c:pt>
                <c:pt idx="176">
                  <c:v>296.52999999999997</c:v>
                </c:pt>
                <c:pt idx="177">
                  <c:v>296.69</c:v>
                </c:pt>
                <c:pt idx="178">
                  <c:v>293.75</c:v>
                </c:pt>
                <c:pt idx="179">
                  <c:v>292.02999999999997</c:v>
                </c:pt>
                <c:pt idx="180">
                  <c:v>293.85000000000002</c:v>
                </c:pt>
                <c:pt idx="181">
                  <c:v>296.83</c:v>
                </c:pt>
                <c:pt idx="182">
                  <c:v>299.06</c:v>
                </c:pt>
                <c:pt idx="183">
                  <c:v>300.27</c:v>
                </c:pt>
                <c:pt idx="184">
                  <c:v>300.47000000000003</c:v>
                </c:pt>
                <c:pt idx="185">
                  <c:v>303.64999999999998</c:v>
                </c:pt>
                <c:pt idx="186">
                  <c:v>303.69</c:v>
                </c:pt>
                <c:pt idx="187">
                  <c:v>304.51</c:v>
                </c:pt>
                <c:pt idx="188">
                  <c:v>302.98</c:v>
                </c:pt>
                <c:pt idx="189">
                  <c:v>303.76</c:v>
                </c:pt>
                <c:pt idx="190">
                  <c:v>303.45</c:v>
                </c:pt>
                <c:pt idx="191">
                  <c:v>303.76</c:v>
                </c:pt>
                <c:pt idx="192">
                  <c:v>300.85000000000002</c:v>
                </c:pt>
                <c:pt idx="193">
                  <c:v>301.89999999999998</c:v>
                </c:pt>
                <c:pt idx="194">
                  <c:v>303.83</c:v>
                </c:pt>
                <c:pt idx="195">
                  <c:v>304.04000000000002</c:v>
                </c:pt>
                <c:pt idx="196">
                  <c:v>305.04000000000002</c:v>
                </c:pt>
                <c:pt idx="197">
                  <c:v>309.83999999999997</c:v>
                </c:pt>
                <c:pt idx="198">
                  <c:v>313.33999999999997</c:v>
                </c:pt>
                <c:pt idx="199">
                  <c:v>312.92</c:v>
                </c:pt>
                <c:pt idx="200">
                  <c:v>314.7</c:v>
                </c:pt>
                <c:pt idx="201">
                  <c:v>316.56</c:v>
                </c:pt>
                <c:pt idx="202">
                  <c:v>314.89</c:v>
                </c:pt>
                <c:pt idx="203">
                  <c:v>314.69</c:v>
                </c:pt>
                <c:pt idx="204">
                  <c:v>298.57</c:v>
                </c:pt>
                <c:pt idx="205">
                  <c:v>301.58</c:v>
                </c:pt>
                <c:pt idx="206">
                  <c:v>292.61</c:v>
                </c:pt>
                <c:pt idx="207">
                  <c:v>296.79000000000002</c:v>
                </c:pt>
                <c:pt idx="208">
                  <c:v>295</c:v>
                </c:pt>
                <c:pt idx="209">
                  <c:v>291.52</c:v>
                </c:pt>
                <c:pt idx="210">
                  <c:v>292.11</c:v>
                </c:pt>
                <c:pt idx="211">
                  <c:v>295.20999999999998</c:v>
                </c:pt>
                <c:pt idx="212">
                  <c:v>292.85000000000002</c:v>
                </c:pt>
                <c:pt idx="213">
                  <c:v>297.32</c:v>
                </c:pt>
                <c:pt idx="214">
                  <c:v>294</c:v>
                </c:pt>
                <c:pt idx="215">
                  <c:v>294.66000000000003</c:v>
                </c:pt>
                <c:pt idx="216">
                  <c:v>298.97000000000003</c:v>
                </c:pt>
                <c:pt idx="217">
                  <c:v>301.52999999999997</c:v>
                </c:pt>
                <c:pt idx="218">
                  <c:v>298.64999999999998</c:v>
                </c:pt>
                <c:pt idx="219">
                  <c:v>297.35000000000002</c:v>
                </c:pt>
                <c:pt idx="220">
                  <c:v>298.56</c:v>
                </c:pt>
                <c:pt idx="221">
                  <c:v>292.63</c:v>
                </c:pt>
                <c:pt idx="222">
                  <c:v>291.10000000000002</c:v>
                </c:pt>
                <c:pt idx="223">
                  <c:v>290.73</c:v>
                </c:pt>
                <c:pt idx="224">
                  <c:v>290.91000000000003</c:v>
                </c:pt>
                <c:pt idx="225">
                  <c:v>288.47000000000003</c:v>
                </c:pt>
                <c:pt idx="226">
                  <c:v>290.27999999999997</c:v>
                </c:pt>
                <c:pt idx="227">
                  <c:v>296.19</c:v>
                </c:pt>
                <c:pt idx="228">
                  <c:v>296.33</c:v>
                </c:pt>
                <c:pt idx="229">
                  <c:v>295.08</c:v>
                </c:pt>
                <c:pt idx="230">
                  <c:v>296.01</c:v>
                </c:pt>
                <c:pt idx="231">
                  <c:v>292.44</c:v>
                </c:pt>
                <c:pt idx="232">
                  <c:v>294.5</c:v>
                </c:pt>
                <c:pt idx="233">
                  <c:v>295.08999999999997</c:v>
                </c:pt>
                <c:pt idx="234">
                  <c:v>299.47000000000003</c:v>
                </c:pt>
                <c:pt idx="235">
                  <c:v>298.98</c:v>
                </c:pt>
                <c:pt idx="236">
                  <c:v>301.37</c:v>
                </c:pt>
                <c:pt idx="237">
                  <c:v>300.70999999999998</c:v>
                </c:pt>
                <c:pt idx="238">
                  <c:v>296.10000000000002</c:v>
                </c:pt>
                <c:pt idx="239">
                  <c:v>296.63</c:v>
                </c:pt>
                <c:pt idx="240">
                  <c:v>296.60000000000002</c:v>
                </c:pt>
                <c:pt idx="241">
                  <c:v>297.70999999999998</c:v>
                </c:pt>
                <c:pt idx="242">
                  <c:v>296.08</c:v>
                </c:pt>
                <c:pt idx="243">
                  <c:v>290.88</c:v>
                </c:pt>
                <c:pt idx="244">
                  <c:v>290.23</c:v>
                </c:pt>
                <c:pt idx="245">
                  <c:v>292.68</c:v>
                </c:pt>
                <c:pt idx="246">
                  <c:v>291.29000000000002</c:v>
                </c:pt>
                <c:pt idx="247">
                  <c:v>293.99</c:v>
                </c:pt>
                <c:pt idx="248">
                  <c:v>294.8</c:v>
                </c:pt>
                <c:pt idx="249">
                  <c:v>293.62</c:v>
                </c:pt>
                <c:pt idx="250">
                  <c:v>289.60000000000002</c:v>
                </c:pt>
                <c:pt idx="251">
                  <c:v>289.89</c:v>
                </c:pt>
                <c:pt idx="252">
                  <c:v>292.51</c:v>
                </c:pt>
                <c:pt idx="253">
                  <c:v>294.77999999999997</c:v>
                </c:pt>
                <c:pt idx="254">
                  <c:v>292.18</c:v>
                </c:pt>
                <c:pt idx="255">
                  <c:v>289.33999999999997</c:v>
                </c:pt>
                <c:pt idx="256">
                  <c:v>286.89999999999998</c:v>
                </c:pt>
                <c:pt idx="257">
                  <c:v>282.31</c:v>
                </c:pt>
                <c:pt idx="258">
                  <c:v>283.63</c:v>
                </c:pt>
                <c:pt idx="259">
                  <c:v>281.58</c:v>
                </c:pt>
                <c:pt idx="260">
                  <c:v>282.3</c:v>
                </c:pt>
                <c:pt idx="261">
                  <c:v>279.74</c:v>
                </c:pt>
                <c:pt idx="262">
                  <c:v>280.95</c:v>
                </c:pt>
                <c:pt idx="263">
                  <c:v>282.61</c:v>
                </c:pt>
                <c:pt idx="264">
                  <c:v>281.35000000000002</c:v>
                </c:pt>
                <c:pt idx="265">
                  <c:v>284.43</c:v>
                </c:pt>
                <c:pt idx="266">
                  <c:v>285.45999999999998</c:v>
                </c:pt>
                <c:pt idx="267">
                  <c:v>293.08999999999997</c:v>
                </c:pt>
                <c:pt idx="268">
                  <c:v>291.14999999999998</c:v>
                </c:pt>
                <c:pt idx="269">
                  <c:v>290.11</c:v>
                </c:pt>
                <c:pt idx="270">
                  <c:v>290.32</c:v>
                </c:pt>
                <c:pt idx="271">
                  <c:v>288.7</c:v>
                </c:pt>
                <c:pt idx="272">
                  <c:v>290.05</c:v>
                </c:pt>
                <c:pt idx="273">
                  <c:v>289.77</c:v>
                </c:pt>
                <c:pt idx="274">
                  <c:v>288.83</c:v>
                </c:pt>
                <c:pt idx="275">
                  <c:v>294.36</c:v>
                </c:pt>
                <c:pt idx="276">
                  <c:v>294.3</c:v>
                </c:pt>
                <c:pt idx="277">
                  <c:v>308.42</c:v>
                </c:pt>
                <c:pt idx="278">
                  <c:v>310.20999999999998</c:v>
                </c:pt>
                <c:pt idx="279">
                  <c:v>307.60000000000002</c:v>
                </c:pt>
                <c:pt idx="280">
                  <c:v>310.02</c:v>
                </c:pt>
                <c:pt idx="281">
                  <c:v>308.55</c:v>
                </c:pt>
                <c:pt idx="282">
                  <c:v>304.83</c:v>
                </c:pt>
                <c:pt idx="283">
                  <c:v>301.94</c:v>
                </c:pt>
                <c:pt idx="284">
                  <c:v>303.05</c:v>
                </c:pt>
                <c:pt idx="285">
                  <c:v>304.81</c:v>
                </c:pt>
                <c:pt idx="286">
                  <c:v>307.57</c:v>
                </c:pt>
                <c:pt idx="287">
                  <c:v>310.72000000000003</c:v>
                </c:pt>
                <c:pt idx="288">
                  <c:v>304.27</c:v>
                </c:pt>
                <c:pt idx="289">
                  <c:v>309.95</c:v>
                </c:pt>
                <c:pt idx="290">
                  <c:v>308.33</c:v>
                </c:pt>
                <c:pt idx="291">
                  <c:v>304.29000000000002</c:v>
                </c:pt>
                <c:pt idx="292">
                  <c:v>305.77</c:v>
                </c:pt>
                <c:pt idx="293">
                  <c:v>307.45</c:v>
                </c:pt>
                <c:pt idx="294">
                  <c:v>310.37</c:v>
                </c:pt>
                <c:pt idx="295">
                  <c:v>321.29000000000002</c:v>
                </c:pt>
                <c:pt idx="296">
                  <c:v>317.25</c:v>
                </c:pt>
                <c:pt idx="297">
                  <c:v>306.76</c:v>
                </c:pt>
                <c:pt idx="298">
                  <c:v>299.39999999999998</c:v>
                </c:pt>
                <c:pt idx="299">
                  <c:v>297.5</c:v>
                </c:pt>
                <c:pt idx="300">
                  <c:v>299.83</c:v>
                </c:pt>
                <c:pt idx="301">
                  <c:v>303.97000000000003</c:v>
                </c:pt>
                <c:pt idx="302">
                  <c:v>303.60000000000002</c:v>
                </c:pt>
                <c:pt idx="303">
                  <c:v>306.92</c:v>
                </c:pt>
                <c:pt idx="304">
                  <c:v>307</c:v>
                </c:pt>
                <c:pt idx="305">
                  <c:v>305.44</c:v>
                </c:pt>
                <c:pt idx="306">
                  <c:v>305.67</c:v>
                </c:pt>
                <c:pt idx="307">
                  <c:v>306.92</c:v>
                </c:pt>
                <c:pt idx="308">
                  <c:v>313.58</c:v>
                </c:pt>
                <c:pt idx="309">
                  <c:v>312.69</c:v>
                </c:pt>
                <c:pt idx="310">
                  <c:v>307.08999999999997</c:v>
                </c:pt>
                <c:pt idx="311">
                  <c:v>312.37</c:v>
                </c:pt>
                <c:pt idx="312">
                  <c:v>313.63</c:v>
                </c:pt>
                <c:pt idx="313">
                  <c:v>311.58</c:v>
                </c:pt>
                <c:pt idx="314">
                  <c:v>318.27</c:v>
                </c:pt>
                <c:pt idx="315">
                  <c:v>300.11</c:v>
                </c:pt>
                <c:pt idx="316">
                  <c:v>299.89</c:v>
                </c:pt>
                <c:pt idx="317">
                  <c:v>299.83</c:v>
                </c:pt>
                <c:pt idx="318">
                  <c:v>303.95999999999998</c:v>
                </c:pt>
                <c:pt idx="319">
                  <c:v>306.77999999999997</c:v>
                </c:pt>
                <c:pt idx="320">
                  <c:v>309.89999999999998</c:v>
                </c:pt>
                <c:pt idx="321">
                  <c:v>316.07</c:v>
                </c:pt>
                <c:pt idx="322">
                  <c:v>312.48</c:v>
                </c:pt>
                <c:pt idx="323">
                  <c:v>309.10000000000002</c:v>
                </c:pt>
                <c:pt idx="324">
                  <c:v>311.3</c:v>
                </c:pt>
                <c:pt idx="325">
                  <c:v>308.72000000000003</c:v>
                </c:pt>
                <c:pt idx="326">
                  <c:v>319.08</c:v>
                </c:pt>
                <c:pt idx="327">
                  <c:v>318.48</c:v>
                </c:pt>
                <c:pt idx="328">
                  <c:v>316.22000000000003</c:v>
                </c:pt>
                <c:pt idx="329">
                  <c:v>316.74</c:v>
                </c:pt>
                <c:pt idx="330">
                  <c:v>316.81</c:v>
                </c:pt>
                <c:pt idx="331">
                  <c:v>314.5</c:v>
                </c:pt>
                <c:pt idx="332">
                  <c:v>319.64999999999998</c:v>
                </c:pt>
                <c:pt idx="333">
                  <c:v>313.64</c:v>
                </c:pt>
                <c:pt idx="334">
                  <c:v>311.95999999999998</c:v>
                </c:pt>
                <c:pt idx="335">
                  <c:v>315.72000000000003</c:v>
                </c:pt>
                <c:pt idx="336">
                  <c:v>316.79000000000002</c:v>
                </c:pt>
                <c:pt idx="337">
                  <c:v>318.13</c:v>
                </c:pt>
                <c:pt idx="338">
                  <c:v>313.49</c:v>
                </c:pt>
                <c:pt idx="339">
                  <c:v>313.68</c:v>
                </c:pt>
                <c:pt idx="340">
                  <c:v>311.92</c:v>
                </c:pt>
                <c:pt idx="341">
                  <c:v>308.69</c:v>
                </c:pt>
                <c:pt idx="342">
                  <c:v>307.5</c:v>
                </c:pt>
                <c:pt idx="343">
                  <c:v>314.48</c:v>
                </c:pt>
                <c:pt idx="344">
                  <c:v>318.61</c:v>
                </c:pt>
                <c:pt idx="345">
                  <c:v>321.23</c:v>
                </c:pt>
                <c:pt idx="346">
                  <c:v>319.8</c:v>
                </c:pt>
                <c:pt idx="347">
                  <c:v>316.44</c:v>
                </c:pt>
                <c:pt idx="348">
                  <c:v>314.31</c:v>
                </c:pt>
                <c:pt idx="349">
                  <c:v>314.57</c:v>
                </c:pt>
                <c:pt idx="350">
                  <c:v>314.95</c:v>
                </c:pt>
                <c:pt idx="351">
                  <c:v>312.83999999999997</c:v>
                </c:pt>
                <c:pt idx="352">
                  <c:v>311.86</c:v>
                </c:pt>
                <c:pt idx="353">
                  <c:v>313.85000000000002</c:v>
                </c:pt>
                <c:pt idx="354">
                  <c:v>312.68</c:v>
                </c:pt>
                <c:pt idx="355">
                  <c:v>312.39</c:v>
                </c:pt>
                <c:pt idx="356">
                  <c:v>311.57</c:v>
                </c:pt>
                <c:pt idx="357">
                  <c:v>308.98</c:v>
                </c:pt>
                <c:pt idx="358">
                  <c:v>307.36</c:v>
                </c:pt>
                <c:pt idx="359">
                  <c:v>304.77999999999997</c:v>
                </c:pt>
                <c:pt idx="360">
                  <c:v>300.43</c:v>
                </c:pt>
                <c:pt idx="361">
                  <c:v>301.72000000000003</c:v>
                </c:pt>
                <c:pt idx="362">
                  <c:v>303.16000000000003</c:v>
                </c:pt>
                <c:pt idx="363">
                  <c:v>301.91000000000003</c:v>
                </c:pt>
                <c:pt idx="364">
                  <c:v>296.29000000000002</c:v>
                </c:pt>
                <c:pt idx="365">
                  <c:v>292.31</c:v>
                </c:pt>
                <c:pt idx="366">
                  <c:v>289.63</c:v>
                </c:pt>
                <c:pt idx="367">
                  <c:v>287.45999999999998</c:v>
                </c:pt>
                <c:pt idx="368">
                  <c:v>289.52</c:v>
                </c:pt>
                <c:pt idx="369">
                  <c:v>291.47000000000003</c:v>
                </c:pt>
                <c:pt idx="370">
                  <c:v>285.55</c:v>
                </c:pt>
                <c:pt idx="371">
                  <c:v>285.63</c:v>
                </c:pt>
                <c:pt idx="372">
                  <c:v>291.55</c:v>
                </c:pt>
                <c:pt idx="373">
                  <c:v>292.17</c:v>
                </c:pt>
                <c:pt idx="374">
                  <c:v>297.49</c:v>
                </c:pt>
                <c:pt idx="375">
                  <c:v>294.63</c:v>
                </c:pt>
                <c:pt idx="376">
                  <c:v>294.08</c:v>
                </c:pt>
                <c:pt idx="377">
                  <c:v>293.52999999999997</c:v>
                </c:pt>
                <c:pt idx="378">
                  <c:v>291.67</c:v>
                </c:pt>
                <c:pt idx="379">
                  <c:v>293.02</c:v>
                </c:pt>
                <c:pt idx="380">
                  <c:v>298.39</c:v>
                </c:pt>
                <c:pt idx="381">
                  <c:v>299.91000000000003</c:v>
                </c:pt>
                <c:pt idx="382">
                  <c:v>301.88</c:v>
                </c:pt>
                <c:pt idx="383">
                  <c:v>299.62</c:v>
                </c:pt>
                <c:pt idx="384">
                  <c:v>298.89999999999998</c:v>
                </c:pt>
                <c:pt idx="385">
                  <c:v>300.37</c:v>
                </c:pt>
                <c:pt idx="386">
                  <c:v>297.07</c:v>
                </c:pt>
                <c:pt idx="387">
                  <c:v>295.74</c:v>
                </c:pt>
                <c:pt idx="388">
                  <c:v>299.17</c:v>
                </c:pt>
                <c:pt idx="389">
                  <c:v>298.12</c:v>
                </c:pt>
                <c:pt idx="390">
                  <c:v>294.48</c:v>
                </c:pt>
                <c:pt idx="391">
                  <c:v>298.47000000000003</c:v>
                </c:pt>
                <c:pt idx="392">
                  <c:v>299.22000000000003</c:v>
                </c:pt>
                <c:pt idx="393">
                  <c:v>302.67</c:v>
                </c:pt>
                <c:pt idx="394">
                  <c:v>303.61</c:v>
                </c:pt>
                <c:pt idx="395">
                  <c:v>300.07</c:v>
                </c:pt>
                <c:pt idx="396">
                  <c:v>302.89</c:v>
                </c:pt>
                <c:pt idx="397">
                  <c:v>304.23</c:v>
                </c:pt>
                <c:pt idx="398">
                  <c:v>298.77</c:v>
                </c:pt>
                <c:pt idx="399">
                  <c:v>307.66000000000003</c:v>
                </c:pt>
                <c:pt idx="400">
                  <c:v>307.91000000000003</c:v>
                </c:pt>
                <c:pt idx="401">
                  <c:v>305.45</c:v>
                </c:pt>
                <c:pt idx="402">
                  <c:v>304.36</c:v>
                </c:pt>
                <c:pt idx="403">
                  <c:v>301.64</c:v>
                </c:pt>
                <c:pt idx="404">
                  <c:v>305.07</c:v>
                </c:pt>
                <c:pt idx="405">
                  <c:v>308.95</c:v>
                </c:pt>
                <c:pt idx="406">
                  <c:v>308.93</c:v>
                </c:pt>
                <c:pt idx="407">
                  <c:v>308.7</c:v>
                </c:pt>
                <c:pt idx="408">
                  <c:v>310.93</c:v>
                </c:pt>
                <c:pt idx="409">
                  <c:v>313.08</c:v>
                </c:pt>
                <c:pt idx="410">
                  <c:v>313.22000000000003</c:v>
                </c:pt>
                <c:pt idx="411">
                  <c:v>314.07</c:v>
                </c:pt>
                <c:pt idx="412">
                  <c:v>313.44</c:v>
                </c:pt>
                <c:pt idx="413">
                  <c:v>312.94</c:v>
                </c:pt>
                <c:pt idx="414">
                  <c:v>311.43</c:v>
                </c:pt>
                <c:pt idx="415">
                  <c:v>312.22000000000003</c:v>
                </c:pt>
                <c:pt idx="416">
                  <c:v>313.54000000000002</c:v>
                </c:pt>
                <c:pt idx="417">
                  <c:v>315.76</c:v>
                </c:pt>
                <c:pt idx="418">
                  <c:v>316.39</c:v>
                </c:pt>
                <c:pt idx="419">
                  <c:v>316.99</c:v>
                </c:pt>
                <c:pt idx="420">
                  <c:v>314.38</c:v>
                </c:pt>
                <c:pt idx="421">
                  <c:v>312.8</c:v>
                </c:pt>
                <c:pt idx="422">
                  <c:v>312.52</c:v>
                </c:pt>
                <c:pt idx="423">
                  <c:v>305.94</c:v>
                </c:pt>
                <c:pt idx="424">
                  <c:v>308.43</c:v>
                </c:pt>
                <c:pt idx="425">
                  <c:v>305.39999999999998</c:v>
                </c:pt>
                <c:pt idx="426">
                  <c:v>302.07</c:v>
                </c:pt>
                <c:pt idx="427">
                  <c:v>303.29000000000002</c:v>
                </c:pt>
                <c:pt idx="428">
                  <c:v>304.97000000000003</c:v>
                </c:pt>
                <c:pt idx="429">
                  <c:v>301.14</c:v>
                </c:pt>
                <c:pt idx="430">
                  <c:v>302.38</c:v>
                </c:pt>
                <c:pt idx="431">
                  <c:v>302.99</c:v>
                </c:pt>
                <c:pt idx="432">
                  <c:v>303.19</c:v>
                </c:pt>
                <c:pt idx="433">
                  <c:v>304.33</c:v>
                </c:pt>
                <c:pt idx="434">
                  <c:v>302.3</c:v>
                </c:pt>
                <c:pt idx="435">
                  <c:v>305.24</c:v>
                </c:pt>
                <c:pt idx="436">
                  <c:v>302.99</c:v>
                </c:pt>
                <c:pt idx="437">
                  <c:v>303.89</c:v>
                </c:pt>
                <c:pt idx="438">
                  <c:v>300.52</c:v>
                </c:pt>
                <c:pt idx="439">
                  <c:v>299.88</c:v>
                </c:pt>
                <c:pt idx="440">
                  <c:v>300.98</c:v>
                </c:pt>
                <c:pt idx="441">
                  <c:v>296.04000000000002</c:v>
                </c:pt>
                <c:pt idx="442">
                  <c:v>296.32</c:v>
                </c:pt>
                <c:pt idx="443">
                  <c:v>294.39999999999998</c:v>
                </c:pt>
                <c:pt idx="444">
                  <c:v>293.81</c:v>
                </c:pt>
                <c:pt idx="445">
                  <c:v>297.01</c:v>
                </c:pt>
                <c:pt idx="446">
                  <c:v>300.11</c:v>
                </c:pt>
                <c:pt idx="447">
                  <c:v>304.56</c:v>
                </c:pt>
                <c:pt idx="448">
                  <c:v>305.25</c:v>
                </c:pt>
                <c:pt idx="449">
                  <c:v>305.33</c:v>
                </c:pt>
                <c:pt idx="450">
                  <c:v>308.08999999999997</c:v>
                </c:pt>
                <c:pt idx="451">
                  <c:v>307.77</c:v>
                </c:pt>
                <c:pt idx="452">
                  <c:v>307.48</c:v>
                </c:pt>
                <c:pt idx="453">
                  <c:v>310.11</c:v>
                </c:pt>
                <c:pt idx="454">
                  <c:v>306.97000000000003</c:v>
                </c:pt>
                <c:pt idx="455">
                  <c:v>305.79000000000002</c:v>
                </c:pt>
                <c:pt idx="456">
                  <c:v>310</c:v>
                </c:pt>
                <c:pt idx="457">
                  <c:v>306.39999999999998</c:v>
                </c:pt>
                <c:pt idx="458">
                  <c:v>302.35000000000002</c:v>
                </c:pt>
                <c:pt idx="459">
                  <c:v>302.43</c:v>
                </c:pt>
                <c:pt idx="460">
                  <c:v>298.43</c:v>
                </c:pt>
                <c:pt idx="461">
                  <c:v>296.37</c:v>
                </c:pt>
                <c:pt idx="462">
                  <c:v>299.20999999999998</c:v>
                </c:pt>
                <c:pt idx="463">
                  <c:v>305.67</c:v>
                </c:pt>
                <c:pt idx="464">
                  <c:v>298.41000000000003</c:v>
                </c:pt>
                <c:pt idx="465">
                  <c:v>299.66000000000003</c:v>
                </c:pt>
                <c:pt idx="466">
                  <c:v>299.10000000000002</c:v>
                </c:pt>
                <c:pt idx="467">
                  <c:v>306.83</c:v>
                </c:pt>
                <c:pt idx="468">
                  <c:v>306.94</c:v>
                </c:pt>
                <c:pt idx="469">
                  <c:v>307.58</c:v>
                </c:pt>
                <c:pt idx="470">
                  <c:v>307.02999999999997</c:v>
                </c:pt>
                <c:pt idx="471">
                  <c:v>304.89999999999998</c:v>
                </c:pt>
                <c:pt idx="472">
                  <c:v>304.58999999999997</c:v>
                </c:pt>
                <c:pt idx="473">
                  <c:v>302.74</c:v>
                </c:pt>
                <c:pt idx="474">
                  <c:v>304.16000000000003</c:v>
                </c:pt>
                <c:pt idx="475">
                  <c:v>309.35000000000002</c:v>
                </c:pt>
                <c:pt idx="476">
                  <c:v>304.89999999999998</c:v>
                </c:pt>
                <c:pt idx="477">
                  <c:v>310.45</c:v>
                </c:pt>
                <c:pt idx="478">
                  <c:v>312.39999999999998</c:v>
                </c:pt>
                <c:pt idx="479">
                  <c:v>311.82</c:v>
                </c:pt>
                <c:pt idx="480">
                  <c:v>303.57</c:v>
                </c:pt>
                <c:pt idx="481">
                  <c:v>300.72000000000003</c:v>
                </c:pt>
                <c:pt idx="482">
                  <c:v>307.70999999999998</c:v>
                </c:pt>
                <c:pt idx="483">
                  <c:v>308.54000000000002</c:v>
                </c:pt>
                <c:pt idx="484">
                  <c:v>311.23</c:v>
                </c:pt>
                <c:pt idx="485">
                  <c:v>309.79000000000002</c:v>
                </c:pt>
                <c:pt idx="486">
                  <c:v>310.79000000000002</c:v>
                </c:pt>
                <c:pt idx="487">
                  <c:v>310.52999999999997</c:v>
                </c:pt>
                <c:pt idx="488">
                  <c:v>309.70999999999998</c:v>
                </c:pt>
                <c:pt idx="489">
                  <c:v>316.72000000000003</c:v>
                </c:pt>
                <c:pt idx="490">
                  <c:v>318.73</c:v>
                </c:pt>
                <c:pt idx="491">
                  <c:v>314.5</c:v>
                </c:pt>
                <c:pt idx="492">
                  <c:v>318.69</c:v>
                </c:pt>
                <c:pt idx="493">
                  <c:v>319.64999999999998</c:v>
                </c:pt>
                <c:pt idx="494">
                  <c:v>315.83999999999997</c:v>
                </c:pt>
                <c:pt idx="495">
                  <c:v>316.22000000000003</c:v>
                </c:pt>
                <c:pt idx="496">
                  <c:v>310.83999999999997</c:v>
                </c:pt>
                <c:pt idx="497">
                  <c:v>313.33</c:v>
                </c:pt>
                <c:pt idx="498">
                  <c:v>310.68</c:v>
                </c:pt>
                <c:pt idx="499">
                  <c:v>308.52999999999997</c:v>
                </c:pt>
                <c:pt idx="500">
                  <c:v>308.02999999999997</c:v>
                </c:pt>
                <c:pt idx="501">
                  <c:v>305.63</c:v>
                </c:pt>
                <c:pt idx="502">
                  <c:v>303.26</c:v>
                </c:pt>
                <c:pt idx="503">
                  <c:v>299.86</c:v>
                </c:pt>
                <c:pt idx="504">
                  <c:v>302.77</c:v>
                </c:pt>
                <c:pt idx="505">
                  <c:v>304.16000000000003</c:v>
                </c:pt>
                <c:pt idx="506">
                  <c:v>308.88</c:v>
                </c:pt>
                <c:pt idx="507">
                  <c:v>307.32</c:v>
                </c:pt>
                <c:pt idx="508">
                  <c:v>306.75</c:v>
                </c:pt>
                <c:pt idx="509">
                  <c:v>309.44</c:v>
                </c:pt>
                <c:pt idx="510">
                  <c:v>308.13</c:v>
                </c:pt>
                <c:pt idx="511">
                  <c:v>308.62</c:v>
                </c:pt>
                <c:pt idx="512">
                  <c:v>307.43</c:v>
                </c:pt>
                <c:pt idx="513">
                  <c:v>302.83999999999997</c:v>
                </c:pt>
                <c:pt idx="514">
                  <c:v>305.69</c:v>
                </c:pt>
                <c:pt idx="515">
                  <c:v>306.02999999999997</c:v>
                </c:pt>
                <c:pt idx="516">
                  <c:v>309.25</c:v>
                </c:pt>
                <c:pt idx="517">
                  <c:v>312.95</c:v>
                </c:pt>
                <c:pt idx="518">
                  <c:v>314.13</c:v>
                </c:pt>
                <c:pt idx="519">
                  <c:v>312.8</c:v>
                </c:pt>
                <c:pt idx="520">
                  <c:v>315.51</c:v>
                </c:pt>
                <c:pt idx="521">
                  <c:v>315</c:v>
                </c:pt>
                <c:pt idx="522">
                  <c:v>318.52999999999997</c:v>
                </c:pt>
                <c:pt idx="523">
                  <c:v>319.48</c:v>
                </c:pt>
                <c:pt idx="524">
                  <c:v>323.69</c:v>
                </c:pt>
                <c:pt idx="525">
                  <c:v>323.48</c:v>
                </c:pt>
                <c:pt idx="526">
                  <c:v>327.16000000000003</c:v>
                </c:pt>
                <c:pt idx="527">
                  <c:v>325.60000000000002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2-48B1-A06F-B45E814B921C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Data!$J$2:$J$529</c:f>
              <c:numCache>
                <c:formatCode>General</c:formatCode>
                <c:ptCount val="528"/>
                <c:pt idx="19">
                  <c:v>294.45550000000003</c:v>
                </c:pt>
                <c:pt idx="20">
                  <c:v>294.23950000000002</c:v>
                </c:pt>
                <c:pt idx="21">
                  <c:v>294.42399999999998</c:v>
                </c:pt>
                <c:pt idx="22">
                  <c:v>294.68950000000001</c:v>
                </c:pt>
                <c:pt idx="23">
                  <c:v>294.5385</c:v>
                </c:pt>
                <c:pt idx="24">
                  <c:v>294.17600000000004</c:v>
                </c:pt>
                <c:pt idx="25">
                  <c:v>293.99900000000002</c:v>
                </c:pt>
                <c:pt idx="26">
                  <c:v>293.89100000000002</c:v>
                </c:pt>
                <c:pt idx="27">
                  <c:v>293.65700000000004</c:v>
                </c:pt>
                <c:pt idx="28">
                  <c:v>293.45550000000003</c:v>
                </c:pt>
                <c:pt idx="29">
                  <c:v>293.25650000000002</c:v>
                </c:pt>
                <c:pt idx="30">
                  <c:v>293.10700000000003</c:v>
                </c:pt>
                <c:pt idx="31">
                  <c:v>292.98200000000003</c:v>
                </c:pt>
                <c:pt idx="32">
                  <c:v>292.55649999999997</c:v>
                </c:pt>
                <c:pt idx="33">
                  <c:v>292.26849999999996</c:v>
                </c:pt>
                <c:pt idx="34">
                  <c:v>291.9615</c:v>
                </c:pt>
                <c:pt idx="35">
                  <c:v>291.73549999999994</c:v>
                </c:pt>
                <c:pt idx="36">
                  <c:v>291.76249999999999</c:v>
                </c:pt>
                <c:pt idx="37">
                  <c:v>292.00549999999998</c:v>
                </c:pt>
                <c:pt idx="38">
                  <c:v>292.07799999999997</c:v>
                </c:pt>
                <c:pt idx="39">
                  <c:v>292.10500000000002</c:v>
                </c:pt>
                <c:pt idx="40">
                  <c:v>292.08299999999997</c:v>
                </c:pt>
                <c:pt idx="41">
                  <c:v>291.71549999999996</c:v>
                </c:pt>
                <c:pt idx="42">
                  <c:v>291.40999999999997</c:v>
                </c:pt>
                <c:pt idx="43">
                  <c:v>291.73849999999993</c:v>
                </c:pt>
                <c:pt idx="44">
                  <c:v>292.15249999999997</c:v>
                </c:pt>
                <c:pt idx="45">
                  <c:v>292.34149999999994</c:v>
                </c:pt>
                <c:pt idx="46">
                  <c:v>292.37250000000006</c:v>
                </c:pt>
                <c:pt idx="47">
                  <c:v>292.64</c:v>
                </c:pt>
                <c:pt idx="48">
                  <c:v>292.88350000000003</c:v>
                </c:pt>
                <c:pt idx="49">
                  <c:v>292.67099999999999</c:v>
                </c:pt>
                <c:pt idx="50">
                  <c:v>292.34899999999999</c:v>
                </c:pt>
                <c:pt idx="51">
                  <c:v>291.71300000000008</c:v>
                </c:pt>
                <c:pt idx="52">
                  <c:v>291.04100000000005</c:v>
                </c:pt>
                <c:pt idx="53">
                  <c:v>290.55200000000002</c:v>
                </c:pt>
                <c:pt idx="54">
                  <c:v>290.07900000000006</c:v>
                </c:pt>
                <c:pt idx="55">
                  <c:v>289.45950000000005</c:v>
                </c:pt>
                <c:pt idx="56">
                  <c:v>288.70349999999996</c:v>
                </c:pt>
                <c:pt idx="57">
                  <c:v>287.77850000000001</c:v>
                </c:pt>
                <c:pt idx="58">
                  <c:v>287.0215</c:v>
                </c:pt>
                <c:pt idx="59">
                  <c:v>286.363</c:v>
                </c:pt>
                <c:pt idx="60">
                  <c:v>285.84649999999999</c:v>
                </c:pt>
                <c:pt idx="61">
                  <c:v>285.32100000000003</c:v>
                </c:pt>
                <c:pt idx="62">
                  <c:v>284.66099999999994</c:v>
                </c:pt>
                <c:pt idx="63">
                  <c:v>283.81099999999992</c:v>
                </c:pt>
                <c:pt idx="64">
                  <c:v>282.66899999999998</c:v>
                </c:pt>
                <c:pt idx="65">
                  <c:v>281.44799999999998</c:v>
                </c:pt>
                <c:pt idx="66">
                  <c:v>280.19849999999997</c:v>
                </c:pt>
                <c:pt idx="67">
                  <c:v>278.92949999999996</c:v>
                </c:pt>
                <c:pt idx="68">
                  <c:v>277.64749999999992</c:v>
                </c:pt>
                <c:pt idx="69">
                  <c:v>276.93549999999993</c:v>
                </c:pt>
                <c:pt idx="70">
                  <c:v>276.21849999999995</c:v>
                </c:pt>
                <c:pt idx="71">
                  <c:v>275.57299999999998</c:v>
                </c:pt>
                <c:pt idx="72">
                  <c:v>274.91549999999995</c:v>
                </c:pt>
                <c:pt idx="73">
                  <c:v>274.26949999999999</c:v>
                </c:pt>
                <c:pt idx="74">
                  <c:v>273.59600000000012</c:v>
                </c:pt>
                <c:pt idx="75">
                  <c:v>273.01900000000006</c:v>
                </c:pt>
                <c:pt idx="76">
                  <c:v>272.66649999999998</c:v>
                </c:pt>
                <c:pt idx="77">
                  <c:v>272.57949999999994</c:v>
                </c:pt>
                <c:pt idx="78">
                  <c:v>272.48599999999999</c:v>
                </c:pt>
                <c:pt idx="79">
                  <c:v>272.16500000000002</c:v>
                </c:pt>
                <c:pt idx="80">
                  <c:v>271.72199999999998</c:v>
                </c:pt>
                <c:pt idx="81">
                  <c:v>271.38850000000002</c:v>
                </c:pt>
                <c:pt idx="82">
                  <c:v>271.15350000000001</c:v>
                </c:pt>
                <c:pt idx="83">
                  <c:v>271.09800000000007</c:v>
                </c:pt>
                <c:pt idx="84">
                  <c:v>271.25749999999999</c:v>
                </c:pt>
                <c:pt idx="85">
                  <c:v>271.43899999999996</c:v>
                </c:pt>
                <c:pt idx="86">
                  <c:v>271.52600000000001</c:v>
                </c:pt>
                <c:pt idx="87">
                  <c:v>271.42899999999997</c:v>
                </c:pt>
                <c:pt idx="88">
                  <c:v>271.41999999999996</c:v>
                </c:pt>
                <c:pt idx="89">
                  <c:v>271.38649999999996</c:v>
                </c:pt>
                <c:pt idx="90">
                  <c:v>271.76699999999994</c:v>
                </c:pt>
                <c:pt idx="91">
                  <c:v>272.02149999999995</c:v>
                </c:pt>
                <c:pt idx="92">
                  <c:v>272.28300000000002</c:v>
                </c:pt>
                <c:pt idx="93">
                  <c:v>272.47899999999993</c:v>
                </c:pt>
                <c:pt idx="94">
                  <c:v>272.60550000000001</c:v>
                </c:pt>
                <c:pt idx="95">
                  <c:v>272.625</c:v>
                </c:pt>
                <c:pt idx="96">
                  <c:v>272.23950000000002</c:v>
                </c:pt>
                <c:pt idx="97">
                  <c:v>271.68900000000002</c:v>
                </c:pt>
                <c:pt idx="98">
                  <c:v>271.14</c:v>
                </c:pt>
                <c:pt idx="99">
                  <c:v>270.25649999999996</c:v>
                </c:pt>
                <c:pt idx="100">
                  <c:v>269.50749999999994</c:v>
                </c:pt>
                <c:pt idx="101">
                  <c:v>268.50699999999995</c:v>
                </c:pt>
                <c:pt idx="102">
                  <c:v>267.32350000000002</c:v>
                </c:pt>
                <c:pt idx="103">
                  <c:v>266.20549999999992</c:v>
                </c:pt>
                <c:pt idx="104">
                  <c:v>265.48599999999999</c:v>
                </c:pt>
                <c:pt idx="105">
                  <c:v>264.95750000000004</c:v>
                </c:pt>
                <c:pt idx="106">
                  <c:v>264.62850000000003</c:v>
                </c:pt>
                <c:pt idx="107">
                  <c:v>264.25299999999999</c:v>
                </c:pt>
                <c:pt idx="108">
                  <c:v>263.86450000000002</c:v>
                </c:pt>
                <c:pt idx="109">
                  <c:v>263.27750000000003</c:v>
                </c:pt>
                <c:pt idx="110">
                  <c:v>262.21800000000002</c:v>
                </c:pt>
                <c:pt idx="111">
                  <c:v>261.36599999999999</c:v>
                </c:pt>
                <c:pt idx="112">
                  <c:v>260.55699999999996</c:v>
                </c:pt>
                <c:pt idx="113">
                  <c:v>259.54849999999999</c:v>
                </c:pt>
                <c:pt idx="114">
                  <c:v>258.55199999999996</c:v>
                </c:pt>
                <c:pt idx="115">
                  <c:v>257.60849999999999</c:v>
                </c:pt>
                <c:pt idx="116">
                  <c:v>256.75449999999995</c:v>
                </c:pt>
                <c:pt idx="117">
                  <c:v>256.15100000000007</c:v>
                </c:pt>
                <c:pt idx="118">
                  <c:v>255.83200000000005</c:v>
                </c:pt>
                <c:pt idx="119">
                  <c:v>255.9545</c:v>
                </c:pt>
                <c:pt idx="120">
                  <c:v>255.91800000000003</c:v>
                </c:pt>
                <c:pt idx="121">
                  <c:v>256.13250000000005</c:v>
                </c:pt>
                <c:pt idx="122">
                  <c:v>256.57250000000005</c:v>
                </c:pt>
                <c:pt idx="123">
                  <c:v>256.71099999999996</c:v>
                </c:pt>
                <c:pt idx="124">
                  <c:v>256.26599999999996</c:v>
                </c:pt>
                <c:pt idx="125">
                  <c:v>255.66800000000003</c:v>
                </c:pt>
                <c:pt idx="126">
                  <c:v>255.03199999999998</c:v>
                </c:pt>
                <c:pt idx="127">
                  <c:v>254.58700000000005</c:v>
                </c:pt>
                <c:pt idx="128">
                  <c:v>253.94350000000003</c:v>
                </c:pt>
                <c:pt idx="129">
                  <c:v>253.42400000000004</c:v>
                </c:pt>
                <c:pt idx="130">
                  <c:v>253.25800000000004</c:v>
                </c:pt>
                <c:pt idx="131">
                  <c:v>253.28400000000002</c:v>
                </c:pt>
                <c:pt idx="132">
                  <c:v>253.25500000000002</c:v>
                </c:pt>
                <c:pt idx="133">
                  <c:v>253.1465</c:v>
                </c:pt>
                <c:pt idx="134">
                  <c:v>253.33099999999996</c:v>
                </c:pt>
                <c:pt idx="135">
                  <c:v>253.70550000000003</c:v>
                </c:pt>
                <c:pt idx="136">
                  <c:v>254.142</c:v>
                </c:pt>
                <c:pt idx="137">
                  <c:v>254.31600000000003</c:v>
                </c:pt>
                <c:pt idx="138">
                  <c:v>254.32350000000005</c:v>
                </c:pt>
                <c:pt idx="139">
                  <c:v>254.00700000000001</c:v>
                </c:pt>
                <c:pt idx="140">
                  <c:v>253.8065</c:v>
                </c:pt>
                <c:pt idx="141">
                  <c:v>253.488</c:v>
                </c:pt>
                <c:pt idx="142">
                  <c:v>253.17950000000002</c:v>
                </c:pt>
                <c:pt idx="143">
                  <c:v>253.5085</c:v>
                </c:pt>
                <c:pt idx="144">
                  <c:v>254.33099999999999</c:v>
                </c:pt>
                <c:pt idx="145">
                  <c:v>255.21149999999997</c:v>
                </c:pt>
                <c:pt idx="146">
                  <c:v>256.149</c:v>
                </c:pt>
                <c:pt idx="147">
                  <c:v>257.42899999999997</c:v>
                </c:pt>
                <c:pt idx="148">
                  <c:v>258.45899999999995</c:v>
                </c:pt>
                <c:pt idx="149">
                  <c:v>259.67099999999999</c:v>
                </c:pt>
                <c:pt idx="150">
                  <c:v>260.61500000000001</c:v>
                </c:pt>
                <c:pt idx="151">
                  <c:v>261.43449999999996</c:v>
                </c:pt>
                <c:pt idx="152">
                  <c:v>262.13499999999999</c:v>
                </c:pt>
                <c:pt idx="153">
                  <c:v>263.03149999999994</c:v>
                </c:pt>
                <c:pt idx="154">
                  <c:v>263.68349999999998</c:v>
                </c:pt>
                <c:pt idx="155">
                  <c:v>264.19099999999997</c:v>
                </c:pt>
                <c:pt idx="156">
                  <c:v>264.95850000000002</c:v>
                </c:pt>
                <c:pt idx="157">
                  <c:v>266.01899999999995</c:v>
                </c:pt>
                <c:pt idx="158">
                  <c:v>267.41949999999997</c:v>
                </c:pt>
                <c:pt idx="159">
                  <c:v>268.99849999999998</c:v>
                </c:pt>
                <c:pt idx="160">
                  <c:v>270.81550000000004</c:v>
                </c:pt>
                <c:pt idx="161">
                  <c:v>272.70300000000003</c:v>
                </c:pt>
                <c:pt idx="162">
                  <c:v>274.57900000000001</c:v>
                </c:pt>
                <c:pt idx="163">
                  <c:v>275.94200000000001</c:v>
                </c:pt>
                <c:pt idx="164">
                  <c:v>277.10199999999998</c:v>
                </c:pt>
                <c:pt idx="165">
                  <c:v>278.18450000000001</c:v>
                </c:pt>
                <c:pt idx="166">
                  <c:v>279.1400000000001</c:v>
                </c:pt>
                <c:pt idx="167">
                  <c:v>279.73850000000004</c:v>
                </c:pt>
                <c:pt idx="168">
                  <c:v>280.59199999999998</c:v>
                </c:pt>
                <c:pt idx="169">
                  <c:v>281.4905</c:v>
                </c:pt>
                <c:pt idx="170">
                  <c:v>282.4205</c:v>
                </c:pt>
                <c:pt idx="171">
                  <c:v>283.3365</c:v>
                </c:pt>
                <c:pt idx="172">
                  <c:v>284.50549999999998</c:v>
                </c:pt>
                <c:pt idx="173">
                  <c:v>285.596</c:v>
                </c:pt>
                <c:pt idx="174">
                  <c:v>286.59199999999998</c:v>
                </c:pt>
                <c:pt idx="175">
                  <c:v>287.65200000000004</c:v>
                </c:pt>
                <c:pt idx="176">
                  <c:v>288.73500000000001</c:v>
                </c:pt>
                <c:pt idx="177">
                  <c:v>289.64499999999998</c:v>
                </c:pt>
                <c:pt idx="178">
                  <c:v>289.95499999999993</c:v>
                </c:pt>
                <c:pt idx="179">
                  <c:v>290.27499999999998</c:v>
                </c:pt>
                <c:pt idx="180">
                  <c:v>290.48200000000003</c:v>
                </c:pt>
                <c:pt idx="181">
                  <c:v>290.863</c:v>
                </c:pt>
                <c:pt idx="182">
                  <c:v>291.34000000000003</c:v>
                </c:pt>
                <c:pt idx="183">
                  <c:v>291.91950000000008</c:v>
                </c:pt>
                <c:pt idx="184">
                  <c:v>292.46100000000013</c:v>
                </c:pt>
                <c:pt idx="185">
                  <c:v>293.29100000000005</c:v>
                </c:pt>
                <c:pt idx="186">
                  <c:v>294.08249999999998</c:v>
                </c:pt>
                <c:pt idx="187">
                  <c:v>294.875</c:v>
                </c:pt>
                <c:pt idx="188">
                  <c:v>295.74799999999993</c:v>
                </c:pt>
                <c:pt idx="189">
                  <c:v>296.53449999999992</c:v>
                </c:pt>
                <c:pt idx="190">
                  <c:v>297.30849999999998</c:v>
                </c:pt>
                <c:pt idx="191">
                  <c:v>298.02099999999996</c:v>
                </c:pt>
                <c:pt idx="192">
                  <c:v>298.49900000000002</c:v>
                </c:pt>
                <c:pt idx="193">
                  <c:v>299.03049999999996</c:v>
                </c:pt>
                <c:pt idx="194">
                  <c:v>299.71050000000002</c:v>
                </c:pt>
                <c:pt idx="195">
                  <c:v>300.29499999999996</c:v>
                </c:pt>
                <c:pt idx="196">
                  <c:v>300.72050000000002</c:v>
                </c:pt>
                <c:pt idx="197">
                  <c:v>301.37800000000004</c:v>
                </c:pt>
                <c:pt idx="198">
                  <c:v>302.35749999999996</c:v>
                </c:pt>
                <c:pt idx="199">
                  <c:v>303.40199999999999</c:v>
                </c:pt>
                <c:pt idx="200">
                  <c:v>304.44450000000001</c:v>
                </c:pt>
                <c:pt idx="201">
                  <c:v>305.43100000000004</c:v>
                </c:pt>
                <c:pt idx="202">
                  <c:v>306.22250000000003</c:v>
                </c:pt>
                <c:pt idx="203">
                  <c:v>306.94349999999997</c:v>
                </c:pt>
                <c:pt idx="204">
                  <c:v>306.8485</c:v>
                </c:pt>
                <c:pt idx="205">
                  <c:v>306.745</c:v>
                </c:pt>
                <c:pt idx="206">
                  <c:v>306.19099999999997</c:v>
                </c:pt>
                <c:pt idx="207">
                  <c:v>305.80499999999995</c:v>
                </c:pt>
                <c:pt idx="208">
                  <c:v>305.40599999999995</c:v>
                </c:pt>
                <c:pt idx="209">
                  <c:v>304.79399999999998</c:v>
                </c:pt>
                <c:pt idx="210">
                  <c:v>304.22699999999992</c:v>
                </c:pt>
                <c:pt idx="211">
                  <c:v>303.79949999999997</c:v>
                </c:pt>
                <c:pt idx="212">
                  <c:v>303.39949999999999</c:v>
                </c:pt>
                <c:pt idx="213">
                  <c:v>303.1705</c:v>
                </c:pt>
                <c:pt idx="214">
                  <c:v>302.67899999999997</c:v>
                </c:pt>
                <c:pt idx="215">
                  <c:v>302.20999999999998</c:v>
                </c:pt>
                <c:pt idx="216">
                  <c:v>301.90649999999999</c:v>
                </c:pt>
                <c:pt idx="217">
                  <c:v>301.49099999999999</c:v>
                </c:pt>
                <c:pt idx="218">
                  <c:v>300.75650000000002</c:v>
                </c:pt>
                <c:pt idx="219">
                  <c:v>299.97799999999995</c:v>
                </c:pt>
                <c:pt idx="220">
                  <c:v>299.17100000000005</c:v>
                </c:pt>
                <c:pt idx="221">
                  <c:v>297.97450000000003</c:v>
                </c:pt>
                <c:pt idx="222">
                  <c:v>296.78500000000003</c:v>
                </c:pt>
                <c:pt idx="223">
                  <c:v>295.58699999999999</c:v>
                </c:pt>
                <c:pt idx="224">
                  <c:v>295.20400000000001</c:v>
                </c:pt>
                <c:pt idx="225">
                  <c:v>294.54849999999999</c:v>
                </c:pt>
                <c:pt idx="226">
                  <c:v>294.43200000000007</c:v>
                </c:pt>
                <c:pt idx="227">
                  <c:v>294.40199999999999</c:v>
                </c:pt>
                <c:pt idx="228">
                  <c:v>294.46850000000001</c:v>
                </c:pt>
                <c:pt idx="229">
                  <c:v>294.64649999999995</c:v>
                </c:pt>
                <c:pt idx="230">
                  <c:v>294.8415</c:v>
                </c:pt>
                <c:pt idx="231">
                  <c:v>294.70299999999992</c:v>
                </c:pt>
                <c:pt idx="232">
                  <c:v>294.78549999999996</c:v>
                </c:pt>
                <c:pt idx="233">
                  <c:v>294.67399999999992</c:v>
                </c:pt>
                <c:pt idx="234">
                  <c:v>294.94749999999999</c:v>
                </c:pt>
                <c:pt idx="235">
                  <c:v>295.1635</c:v>
                </c:pt>
                <c:pt idx="236">
                  <c:v>295.28349999999995</c:v>
                </c:pt>
                <c:pt idx="237">
                  <c:v>295.24249999999995</c:v>
                </c:pt>
                <c:pt idx="238">
                  <c:v>295.11500000000007</c:v>
                </c:pt>
                <c:pt idx="239">
                  <c:v>295.07900000000006</c:v>
                </c:pt>
                <c:pt idx="240">
                  <c:v>294.98100000000011</c:v>
                </c:pt>
                <c:pt idx="241">
                  <c:v>295.23500000000001</c:v>
                </c:pt>
                <c:pt idx="242">
                  <c:v>295.48400000000004</c:v>
                </c:pt>
                <c:pt idx="243">
                  <c:v>295.49150000000003</c:v>
                </c:pt>
                <c:pt idx="244">
                  <c:v>295.45749999999998</c:v>
                </c:pt>
                <c:pt idx="245">
                  <c:v>295.66800000000001</c:v>
                </c:pt>
                <c:pt idx="246">
                  <c:v>295.71850000000001</c:v>
                </c:pt>
                <c:pt idx="247">
                  <c:v>295.60849999999994</c:v>
                </c:pt>
                <c:pt idx="248">
                  <c:v>295.53199999999998</c:v>
                </c:pt>
                <c:pt idx="249">
                  <c:v>295.45899999999995</c:v>
                </c:pt>
                <c:pt idx="250">
                  <c:v>295.13850000000002</c:v>
                </c:pt>
                <c:pt idx="251">
                  <c:v>295.01100000000002</c:v>
                </c:pt>
                <c:pt idx="252">
                  <c:v>294.91150000000005</c:v>
                </c:pt>
                <c:pt idx="253">
                  <c:v>294.89600000000007</c:v>
                </c:pt>
                <c:pt idx="254">
                  <c:v>294.53150000000005</c:v>
                </c:pt>
                <c:pt idx="255">
                  <c:v>294.04950000000002</c:v>
                </c:pt>
                <c:pt idx="256">
                  <c:v>293.32600000000002</c:v>
                </c:pt>
                <c:pt idx="257">
                  <c:v>292.40600000000001</c:v>
                </c:pt>
                <c:pt idx="258">
                  <c:v>291.78250000000003</c:v>
                </c:pt>
                <c:pt idx="259">
                  <c:v>291.03000000000003</c:v>
                </c:pt>
                <c:pt idx="260">
                  <c:v>290.315</c:v>
                </c:pt>
                <c:pt idx="261">
                  <c:v>289.41649999999998</c:v>
                </c:pt>
                <c:pt idx="262">
                  <c:v>288.65999999999997</c:v>
                </c:pt>
                <c:pt idx="263">
                  <c:v>288.24649999999991</c:v>
                </c:pt>
                <c:pt idx="264">
                  <c:v>287.80250000000001</c:v>
                </c:pt>
                <c:pt idx="265">
                  <c:v>287.39</c:v>
                </c:pt>
                <c:pt idx="266">
                  <c:v>287.0985</c:v>
                </c:pt>
                <c:pt idx="267">
                  <c:v>287.05350000000004</c:v>
                </c:pt>
                <c:pt idx="268">
                  <c:v>286.87099999999998</c:v>
                </c:pt>
                <c:pt idx="269">
                  <c:v>286.69549999999998</c:v>
                </c:pt>
                <c:pt idx="270">
                  <c:v>286.73149999999998</c:v>
                </c:pt>
                <c:pt idx="271">
                  <c:v>286.67199999999991</c:v>
                </c:pt>
                <c:pt idx="272">
                  <c:v>286.54899999999992</c:v>
                </c:pt>
                <c:pt idx="273">
                  <c:v>286.29849999999999</c:v>
                </c:pt>
                <c:pt idx="274">
                  <c:v>286.13099999999997</c:v>
                </c:pt>
                <c:pt idx="275">
                  <c:v>286.38200000000001</c:v>
                </c:pt>
                <c:pt idx="276">
                  <c:v>286.75200000000007</c:v>
                </c:pt>
                <c:pt idx="277">
                  <c:v>288.0575</c:v>
                </c:pt>
                <c:pt idx="278">
                  <c:v>289.38650000000001</c:v>
                </c:pt>
                <c:pt idx="279">
                  <c:v>290.68750000000006</c:v>
                </c:pt>
                <c:pt idx="280">
                  <c:v>292.07350000000008</c:v>
                </c:pt>
                <c:pt idx="281">
                  <c:v>293.51400000000007</c:v>
                </c:pt>
                <c:pt idx="282">
                  <c:v>294.70800000000003</c:v>
                </c:pt>
                <c:pt idx="283">
                  <c:v>295.67449999999997</c:v>
                </c:pt>
                <c:pt idx="284">
                  <c:v>296.75950000000006</c:v>
                </c:pt>
                <c:pt idx="285">
                  <c:v>297.77850000000001</c:v>
                </c:pt>
                <c:pt idx="286">
                  <c:v>298.88400000000001</c:v>
                </c:pt>
                <c:pt idx="287">
                  <c:v>299.76550000000003</c:v>
                </c:pt>
                <c:pt idx="288">
                  <c:v>300.42150000000004</c:v>
                </c:pt>
                <c:pt idx="289">
                  <c:v>301.4135</c:v>
                </c:pt>
                <c:pt idx="290">
                  <c:v>302.31399999999996</c:v>
                </c:pt>
                <c:pt idx="291">
                  <c:v>303.09349999999995</c:v>
                </c:pt>
                <c:pt idx="292">
                  <c:v>303.87950000000001</c:v>
                </c:pt>
                <c:pt idx="293">
                  <c:v>304.76350000000008</c:v>
                </c:pt>
                <c:pt idx="294">
                  <c:v>305.84050000000008</c:v>
                </c:pt>
                <c:pt idx="295">
                  <c:v>307.18700000000001</c:v>
                </c:pt>
                <c:pt idx="296">
                  <c:v>308.33449999999999</c:v>
                </c:pt>
                <c:pt idx="297">
                  <c:v>308.25149999999996</c:v>
                </c:pt>
                <c:pt idx="298">
                  <c:v>307.71099999999996</c:v>
                </c:pt>
                <c:pt idx="299">
                  <c:v>307.20599999999996</c:v>
                </c:pt>
                <c:pt idx="300">
                  <c:v>306.69649999999996</c:v>
                </c:pt>
                <c:pt idx="301">
                  <c:v>306.46749999999997</c:v>
                </c:pt>
                <c:pt idx="302">
                  <c:v>306.40600000000001</c:v>
                </c:pt>
                <c:pt idx="303">
                  <c:v>306.65500000000003</c:v>
                </c:pt>
                <c:pt idx="304">
                  <c:v>306.85250000000002</c:v>
                </c:pt>
                <c:pt idx="305">
                  <c:v>306.88400000000001</c:v>
                </c:pt>
                <c:pt idx="306">
                  <c:v>306.78900000000004</c:v>
                </c:pt>
                <c:pt idx="307">
                  <c:v>306.59899999999999</c:v>
                </c:pt>
                <c:pt idx="308">
                  <c:v>307.06450000000001</c:v>
                </c:pt>
                <c:pt idx="309">
                  <c:v>307.20149999999995</c:v>
                </c:pt>
                <c:pt idx="310">
                  <c:v>307.13949999999994</c:v>
                </c:pt>
                <c:pt idx="311">
                  <c:v>307.54349999999999</c:v>
                </c:pt>
                <c:pt idx="312">
                  <c:v>307.93649999999997</c:v>
                </c:pt>
                <c:pt idx="313">
                  <c:v>308.14299999999997</c:v>
                </c:pt>
                <c:pt idx="314">
                  <c:v>308.53800000000001</c:v>
                </c:pt>
                <c:pt idx="315">
                  <c:v>307.47899999999993</c:v>
                </c:pt>
                <c:pt idx="316">
                  <c:v>306.61099999999999</c:v>
                </c:pt>
                <c:pt idx="317">
                  <c:v>306.26450000000006</c:v>
                </c:pt>
                <c:pt idx="318">
                  <c:v>306.49249999999995</c:v>
                </c:pt>
                <c:pt idx="319">
                  <c:v>306.95649999999995</c:v>
                </c:pt>
                <c:pt idx="320">
                  <c:v>307.45999999999992</c:v>
                </c:pt>
                <c:pt idx="321">
                  <c:v>308.06499999999994</c:v>
                </c:pt>
                <c:pt idx="322">
                  <c:v>308.50900000000001</c:v>
                </c:pt>
                <c:pt idx="323">
                  <c:v>308.61800000000005</c:v>
                </c:pt>
                <c:pt idx="324">
                  <c:v>308.83299999999997</c:v>
                </c:pt>
                <c:pt idx="325">
                  <c:v>308.99700000000001</c:v>
                </c:pt>
                <c:pt idx="326">
                  <c:v>309.66750000000002</c:v>
                </c:pt>
                <c:pt idx="327">
                  <c:v>310.24549999999999</c:v>
                </c:pt>
                <c:pt idx="328">
                  <c:v>310.3775</c:v>
                </c:pt>
                <c:pt idx="329">
                  <c:v>310.58000000000004</c:v>
                </c:pt>
                <c:pt idx="330">
                  <c:v>311.06600000000009</c:v>
                </c:pt>
                <c:pt idx="331">
                  <c:v>311.17250000000001</c:v>
                </c:pt>
                <c:pt idx="332">
                  <c:v>311.47350000000006</c:v>
                </c:pt>
                <c:pt idx="333">
                  <c:v>311.57650000000001</c:v>
                </c:pt>
                <c:pt idx="334">
                  <c:v>311.26100000000002</c:v>
                </c:pt>
                <c:pt idx="335">
                  <c:v>312.04149999999998</c:v>
                </c:pt>
                <c:pt idx="336">
                  <c:v>312.88650000000001</c:v>
                </c:pt>
                <c:pt idx="337">
                  <c:v>313.80149999999998</c:v>
                </c:pt>
                <c:pt idx="338">
                  <c:v>314.27800000000002</c:v>
                </c:pt>
                <c:pt idx="339">
                  <c:v>314.62300000000005</c:v>
                </c:pt>
                <c:pt idx="340">
                  <c:v>314.72399999999999</c:v>
                </c:pt>
                <c:pt idx="341">
                  <c:v>314.35499999999996</c:v>
                </c:pt>
                <c:pt idx="342">
                  <c:v>314.10599999999999</c:v>
                </c:pt>
                <c:pt idx="343">
                  <c:v>314.375</c:v>
                </c:pt>
                <c:pt idx="344">
                  <c:v>314.7405</c:v>
                </c:pt>
                <c:pt idx="345">
                  <c:v>315.36599999999999</c:v>
                </c:pt>
                <c:pt idx="346">
                  <c:v>315.40199999999999</c:v>
                </c:pt>
                <c:pt idx="347">
                  <c:v>315.2999999999999</c:v>
                </c:pt>
                <c:pt idx="348">
                  <c:v>315.20449999999994</c:v>
                </c:pt>
                <c:pt idx="349">
                  <c:v>315.09600000000006</c:v>
                </c:pt>
                <c:pt idx="350">
                  <c:v>315.00299999999999</c:v>
                </c:pt>
                <c:pt idx="351">
                  <c:v>314.91999999999996</c:v>
                </c:pt>
                <c:pt idx="352">
                  <c:v>314.53049999999996</c:v>
                </c:pt>
                <c:pt idx="353">
                  <c:v>314.54100000000005</c:v>
                </c:pt>
                <c:pt idx="354">
                  <c:v>314.57700000000006</c:v>
                </c:pt>
                <c:pt idx="355">
                  <c:v>314.41050000000007</c:v>
                </c:pt>
                <c:pt idx="356">
                  <c:v>314.1495000000001</c:v>
                </c:pt>
                <c:pt idx="357">
                  <c:v>313.69200000000001</c:v>
                </c:pt>
                <c:pt idx="358">
                  <c:v>313.38549999999998</c:v>
                </c:pt>
                <c:pt idx="359">
                  <c:v>312.94050000000004</c:v>
                </c:pt>
                <c:pt idx="360">
                  <c:v>312.36599999999999</c:v>
                </c:pt>
                <c:pt idx="361">
                  <c:v>312.01749999999998</c:v>
                </c:pt>
                <c:pt idx="362">
                  <c:v>311.80049999999994</c:v>
                </c:pt>
                <c:pt idx="363">
                  <c:v>311.17199999999997</c:v>
                </c:pt>
                <c:pt idx="364">
                  <c:v>310.05599999999998</c:v>
                </c:pt>
                <c:pt idx="365">
                  <c:v>308.61</c:v>
                </c:pt>
                <c:pt idx="366">
                  <c:v>307.10150000000004</c:v>
                </c:pt>
                <c:pt idx="367">
                  <c:v>305.65249999999997</c:v>
                </c:pt>
                <c:pt idx="368">
                  <c:v>304.41300000000001</c:v>
                </c:pt>
                <c:pt idx="369">
                  <c:v>303.25800000000004</c:v>
                </c:pt>
                <c:pt idx="370">
                  <c:v>301.78800000000001</c:v>
                </c:pt>
                <c:pt idx="371">
                  <c:v>300.42750000000001</c:v>
                </c:pt>
                <c:pt idx="372">
                  <c:v>299.41199999999998</c:v>
                </c:pt>
                <c:pt idx="373">
                  <c:v>298.32799999999997</c:v>
                </c:pt>
                <c:pt idx="374">
                  <c:v>297.56850000000003</c:v>
                </c:pt>
                <c:pt idx="375">
                  <c:v>296.68050000000005</c:v>
                </c:pt>
                <c:pt idx="376">
                  <c:v>295.80600000000004</c:v>
                </c:pt>
                <c:pt idx="377">
                  <c:v>295.0335</c:v>
                </c:pt>
                <c:pt idx="378">
                  <c:v>294.24900000000002</c:v>
                </c:pt>
                <c:pt idx="379">
                  <c:v>293.66100000000006</c:v>
                </c:pt>
                <c:pt idx="380">
                  <c:v>293.55900000000008</c:v>
                </c:pt>
                <c:pt idx="381">
                  <c:v>293.46850000000001</c:v>
                </c:pt>
                <c:pt idx="382">
                  <c:v>293.40449999999998</c:v>
                </c:pt>
                <c:pt idx="383">
                  <c:v>293.29000000000002</c:v>
                </c:pt>
                <c:pt idx="384">
                  <c:v>293.42050000000006</c:v>
                </c:pt>
                <c:pt idx="385">
                  <c:v>293.82349999999991</c:v>
                </c:pt>
                <c:pt idx="386">
                  <c:v>294.19549999999992</c:v>
                </c:pt>
                <c:pt idx="387">
                  <c:v>294.60949999999991</c:v>
                </c:pt>
                <c:pt idx="388">
                  <c:v>295.09199999999998</c:v>
                </c:pt>
                <c:pt idx="389">
                  <c:v>295.42449999999997</c:v>
                </c:pt>
                <c:pt idx="390">
                  <c:v>295.87099999999992</c:v>
                </c:pt>
                <c:pt idx="391">
                  <c:v>296.51299999999998</c:v>
                </c:pt>
                <c:pt idx="392">
                  <c:v>296.8965</c:v>
                </c:pt>
                <c:pt idx="393">
                  <c:v>297.42150000000004</c:v>
                </c:pt>
                <c:pt idx="394">
                  <c:v>297.72750000000002</c:v>
                </c:pt>
                <c:pt idx="395">
                  <c:v>297.99950000000001</c:v>
                </c:pt>
                <c:pt idx="396">
                  <c:v>298.44000000000005</c:v>
                </c:pt>
                <c:pt idx="397">
                  <c:v>298.97500000000002</c:v>
                </c:pt>
                <c:pt idx="398">
                  <c:v>299.33000000000004</c:v>
                </c:pt>
                <c:pt idx="399">
                  <c:v>300.06200000000001</c:v>
                </c:pt>
                <c:pt idx="400">
                  <c:v>300.53800000000001</c:v>
                </c:pt>
                <c:pt idx="401">
                  <c:v>300.815</c:v>
                </c:pt>
                <c:pt idx="402">
                  <c:v>300.93900000000002</c:v>
                </c:pt>
                <c:pt idx="403">
                  <c:v>301.04000000000002</c:v>
                </c:pt>
                <c:pt idx="404">
                  <c:v>301.3485</c:v>
                </c:pt>
                <c:pt idx="405">
                  <c:v>301.77749999999997</c:v>
                </c:pt>
                <c:pt idx="406">
                  <c:v>302.37049999999999</c:v>
                </c:pt>
                <c:pt idx="407">
                  <c:v>303.01850000000002</c:v>
                </c:pt>
                <c:pt idx="408">
                  <c:v>303.60649999999998</c:v>
                </c:pt>
                <c:pt idx="409">
                  <c:v>304.35450000000003</c:v>
                </c:pt>
                <c:pt idx="410">
                  <c:v>305.29149999999998</c:v>
                </c:pt>
                <c:pt idx="411">
                  <c:v>306.07150000000001</c:v>
                </c:pt>
                <c:pt idx="412">
                  <c:v>306.78249999999991</c:v>
                </c:pt>
                <c:pt idx="413">
                  <c:v>307.29599999999994</c:v>
                </c:pt>
                <c:pt idx="414">
                  <c:v>307.68699999999995</c:v>
                </c:pt>
                <c:pt idx="415">
                  <c:v>308.29449999999997</c:v>
                </c:pt>
                <c:pt idx="416">
                  <c:v>308.82699999999994</c:v>
                </c:pt>
                <c:pt idx="417">
                  <c:v>309.40349999999995</c:v>
                </c:pt>
                <c:pt idx="418">
                  <c:v>310.28450000000004</c:v>
                </c:pt>
                <c:pt idx="419">
                  <c:v>310.75100000000003</c:v>
                </c:pt>
                <c:pt idx="420">
                  <c:v>311.07450000000006</c:v>
                </c:pt>
                <c:pt idx="421">
                  <c:v>311.44200000000006</c:v>
                </c:pt>
                <c:pt idx="422">
                  <c:v>311.85000000000008</c:v>
                </c:pt>
                <c:pt idx="423">
                  <c:v>312.065</c:v>
                </c:pt>
                <c:pt idx="424">
                  <c:v>312.23300000000006</c:v>
                </c:pt>
                <c:pt idx="425">
                  <c:v>312.05549999999999</c:v>
                </c:pt>
                <c:pt idx="426">
                  <c:v>311.71249999999998</c:v>
                </c:pt>
                <c:pt idx="427">
                  <c:v>311.44200000000001</c:v>
                </c:pt>
                <c:pt idx="428">
                  <c:v>311.14400000000001</c:v>
                </c:pt>
                <c:pt idx="429">
                  <c:v>310.54700000000003</c:v>
                </c:pt>
                <c:pt idx="430">
                  <c:v>310.005</c:v>
                </c:pt>
                <c:pt idx="431">
                  <c:v>309.45100000000002</c:v>
                </c:pt>
                <c:pt idx="432">
                  <c:v>308.93850000000003</c:v>
                </c:pt>
                <c:pt idx="433">
                  <c:v>308.50800000000004</c:v>
                </c:pt>
                <c:pt idx="434">
                  <c:v>308.05149999999998</c:v>
                </c:pt>
                <c:pt idx="435">
                  <c:v>307.70249999999999</c:v>
                </c:pt>
                <c:pt idx="436">
                  <c:v>307.1749999999999</c:v>
                </c:pt>
                <c:pt idx="437">
                  <c:v>306.58150000000001</c:v>
                </c:pt>
                <c:pt idx="438">
                  <c:v>305.78800000000001</c:v>
                </c:pt>
                <c:pt idx="439">
                  <c:v>304.9325</c:v>
                </c:pt>
                <c:pt idx="440">
                  <c:v>304.26249999999999</c:v>
                </c:pt>
                <c:pt idx="441">
                  <c:v>303.42450000000002</c:v>
                </c:pt>
                <c:pt idx="442">
                  <c:v>302.61450000000002</c:v>
                </c:pt>
                <c:pt idx="443">
                  <c:v>302.03750000000002</c:v>
                </c:pt>
                <c:pt idx="444">
                  <c:v>301.30649999999997</c:v>
                </c:pt>
                <c:pt idx="445">
                  <c:v>300.887</c:v>
                </c:pt>
                <c:pt idx="446">
                  <c:v>300.78899999999999</c:v>
                </c:pt>
                <c:pt idx="447">
                  <c:v>300.85250000000002</c:v>
                </c:pt>
                <c:pt idx="448">
                  <c:v>300.86649999999997</c:v>
                </c:pt>
                <c:pt idx="449">
                  <c:v>301.07600000000002</c:v>
                </c:pt>
                <c:pt idx="450">
                  <c:v>301.36150000000004</c:v>
                </c:pt>
                <c:pt idx="451">
                  <c:v>301.60050000000001</c:v>
                </c:pt>
                <c:pt idx="452">
                  <c:v>301.81499999999994</c:v>
                </c:pt>
                <c:pt idx="453">
                  <c:v>302.10399999999993</c:v>
                </c:pt>
                <c:pt idx="454">
                  <c:v>302.33749999999998</c:v>
                </c:pt>
                <c:pt idx="455">
                  <c:v>302.36500000000001</c:v>
                </c:pt>
                <c:pt idx="456">
                  <c:v>302.71549999999991</c:v>
                </c:pt>
                <c:pt idx="457">
                  <c:v>302.84099999999995</c:v>
                </c:pt>
                <c:pt idx="458">
                  <c:v>302.9325</c:v>
                </c:pt>
                <c:pt idx="459">
                  <c:v>303.06</c:v>
                </c:pt>
                <c:pt idx="460">
                  <c:v>302.9325</c:v>
                </c:pt>
                <c:pt idx="461">
                  <c:v>302.94900000000001</c:v>
                </c:pt>
                <c:pt idx="462">
                  <c:v>303.09350000000006</c:v>
                </c:pt>
                <c:pt idx="463">
                  <c:v>303.65700000000004</c:v>
                </c:pt>
                <c:pt idx="464">
                  <c:v>303.88700000000006</c:v>
                </c:pt>
                <c:pt idx="465">
                  <c:v>304.01949999999999</c:v>
                </c:pt>
                <c:pt idx="466">
                  <c:v>303.96899999999994</c:v>
                </c:pt>
                <c:pt idx="467">
                  <c:v>304.08249999999998</c:v>
                </c:pt>
                <c:pt idx="468">
                  <c:v>304.16699999999997</c:v>
                </c:pt>
                <c:pt idx="469">
                  <c:v>304.27949999999998</c:v>
                </c:pt>
                <c:pt idx="470">
                  <c:v>304.22649999999993</c:v>
                </c:pt>
                <c:pt idx="471">
                  <c:v>304.08299999999997</c:v>
                </c:pt>
                <c:pt idx="472">
                  <c:v>303.93849999999992</c:v>
                </c:pt>
                <c:pt idx="473">
                  <c:v>303.56999999999994</c:v>
                </c:pt>
                <c:pt idx="474">
                  <c:v>303.4294999999999</c:v>
                </c:pt>
                <c:pt idx="475">
                  <c:v>303.60749999999996</c:v>
                </c:pt>
                <c:pt idx="476">
                  <c:v>303.35249999999996</c:v>
                </c:pt>
                <c:pt idx="477">
                  <c:v>303.55499999999995</c:v>
                </c:pt>
                <c:pt idx="478">
                  <c:v>304.05749999999995</c:v>
                </c:pt>
                <c:pt idx="479">
                  <c:v>304.52699999999999</c:v>
                </c:pt>
                <c:pt idx="480">
                  <c:v>304.78399999999999</c:v>
                </c:pt>
                <c:pt idx="481">
                  <c:v>305.00149999999996</c:v>
                </c:pt>
                <c:pt idx="482">
                  <c:v>305.42649999999998</c:v>
                </c:pt>
                <c:pt idx="483">
                  <c:v>305.57</c:v>
                </c:pt>
                <c:pt idx="484">
                  <c:v>306.21099999999996</c:v>
                </c:pt>
                <c:pt idx="485">
                  <c:v>306.71749999999997</c:v>
                </c:pt>
                <c:pt idx="486">
                  <c:v>307.30199999999996</c:v>
                </c:pt>
                <c:pt idx="487">
                  <c:v>307.48699999999997</c:v>
                </c:pt>
                <c:pt idx="488">
                  <c:v>307.62549999999999</c:v>
                </c:pt>
                <c:pt idx="489">
                  <c:v>308.08250000000004</c:v>
                </c:pt>
                <c:pt idx="490">
                  <c:v>308.66750000000002</c:v>
                </c:pt>
                <c:pt idx="491">
                  <c:v>309.14750000000004</c:v>
                </c:pt>
                <c:pt idx="492">
                  <c:v>309.85250000000002</c:v>
                </c:pt>
                <c:pt idx="493">
                  <c:v>310.69799999999998</c:v>
                </c:pt>
                <c:pt idx="494">
                  <c:v>311.28200000000004</c:v>
                </c:pt>
                <c:pt idx="495">
                  <c:v>311.62549999999999</c:v>
                </c:pt>
                <c:pt idx="496">
                  <c:v>311.92250000000001</c:v>
                </c:pt>
                <c:pt idx="497">
                  <c:v>312.06650000000002</c:v>
                </c:pt>
                <c:pt idx="498">
                  <c:v>311.98050000000001</c:v>
                </c:pt>
                <c:pt idx="499">
                  <c:v>311.81600000000003</c:v>
                </c:pt>
                <c:pt idx="500">
                  <c:v>312.03899999999999</c:v>
                </c:pt>
                <c:pt idx="501">
                  <c:v>312.28449999999998</c:v>
                </c:pt>
                <c:pt idx="502">
                  <c:v>312.06200000000001</c:v>
                </c:pt>
                <c:pt idx="503">
                  <c:v>311.62800000000004</c:v>
                </c:pt>
                <c:pt idx="504">
                  <c:v>311.20500000000004</c:v>
                </c:pt>
                <c:pt idx="505">
                  <c:v>310.92349999999999</c:v>
                </c:pt>
                <c:pt idx="506">
                  <c:v>310.82800000000003</c:v>
                </c:pt>
                <c:pt idx="507">
                  <c:v>310.66749999999996</c:v>
                </c:pt>
                <c:pt idx="508">
                  <c:v>310.51949999999994</c:v>
                </c:pt>
                <c:pt idx="509">
                  <c:v>310.15549999999996</c:v>
                </c:pt>
                <c:pt idx="510">
                  <c:v>309.62549999999999</c:v>
                </c:pt>
                <c:pt idx="511">
                  <c:v>309.33149999999995</c:v>
                </c:pt>
                <c:pt idx="512">
                  <c:v>308.76850000000002</c:v>
                </c:pt>
                <c:pt idx="513">
                  <c:v>307.928</c:v>
                </c:pt>
                <c:pt idx="514">
                  <c:v>307.4205</c:v>
                </c:pt>
                <c:pt idx="515">
                  <c:v>306.911</c:v>
                </c:pt>
                <c:pt idx="516">
                  <c:v>306.83149999999995</c:v>
                </c:pt>
                <c:pt idx="517">
                  <c:v>306.8125</c:v>
                </c:pt>
                <c:pt idx="518">
                  <c:v>306.98500000000001</c:v>
                </c:pt>
                <c:pt idx="519">
                  <c:v>307.19849999999997</c:v>
                </c:pt>
                <c:pt idx="520">
                  <c:v>307.57249999999999</c:v>
                </c:pt>
                <c:pt idx="521">
                  <c:v>308.04100000000005</c:v>
                </c:pt>
                <c:pt idx="522">
                  <c:v>308.80450000000002</c:v>
                </c:pt>
                <c:pt idx="523">
                  <c:v>309.78550000000007</c:v>
                </c:pt>
                <c:pt idx="524">
                  <c:v>310.83150000000001</c:v>
                </c:pt>
                <c:pt idx="525">
                  <c:v>311.79750000000001</c:v>
                </c:pt>
                <c:pt idx="526">
                  <c:v>312.7115</c:v>
                </c:pt>
                <c:pt idx="527">
                  <c:v>313.62549999999999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2-48B1-A06F-B45E814B921C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Data!$AB$2:$AB$529</c:f>
              <c:numCache>
                <c:formatCode>General</c:formatCode>
                <c:ptCount val="528"/>
                <c:pt idx="99">
                  <c:v>283.06900000000007</c:v>
                </c:pt>
                <c:pt idx="100">
                  <c:v>282.67970000000003</c:v>
                </c:pt>
                <c:pt idx="101">
                  <c:v>282.27120000000008</c:v>
                </c:pt>
                <c:pt idx="102">
                  <c:v>281.84750000000003</c:v>
                </c:pt>
                <c:pt idx="103">
                  <c:v>281.47830000000005</c:v>
                </c:pt>
                <c:pt idx="104">
                  <c:v>281.14820000000003</c:v>
                </c:pt>
                <c:pt idx="105">
                  <c:v>280.83699999999999</c:v>
                </c:pt>
                <c:pt idx="106">
                  <c:v>280.52330000000001</c:v>
                </c:pt>
                <c:pt idx="107">
                  <c:v>280.18170000000003</c:v>
                </c:pt>
                <c:pt idx="108">
                  <c:v>279.85420000000005</c:v>
                </c:pt>
                <c:pt idx="109">
                  <c:v>279.50540000000007</c:v>
                </c:pt>
                <c:pt idx="110">
                  <c:v>279.13190000000009</c:v>
                </c:pt>
                <c:pt idx="111">
                  <c:v>278.73110000000003</c:v>
                </c:pt>
                <c:pt idx="112">
                  <c:v>278.27060000000006</c:v>
                </c:pt>
                <c:pt idx="113">
                  <c:v>277.82350000000008</c:v>
                </c:pt>
                <c:pt idx="114">
                  <c:v>277.35880000000009</c:v>
                </c:pt>
                <c:pt idx="115">
                  <c:v>276.88950000000006</c:v>
                </c:pt>
                <c:pt idx="116">
                  <c:v>276.42530000000011</c:v>
                </c:pt>
                <c:pt idx="117">
                  <c:v>276.04070000000007</c:v>
                </c:pt>
                <c:pt idx="118">
                  <c:v>275.7115</c:v>
                </c:pt>
                <c:pt idx="119">
                  <c:v>275.36880000000002</c:v>
                </c:pt>
                <c:pt idx="120">
                  <c:v>275.01540000000006</c:v>
                </c:pt>
                <c:pt idx="121">
                  <c:v>274.61290000000002</c:v>
                </c:pt>
                <c:pt idx="122">
                  <c:v>274.22410000000002</c:v>
                </c:pt>
                <c:pt idx="123">
                  <c:v>273.91280000000006</c:v>
                </c:pt>
                <c:pt idx="124">
                  <c:v>273.56620000000004</c:v>
                </c:pt>
                <c:pt idx="125">
                  <c:v>273.1708000000001</c:v>
                </c:pt>
                <c:pt idx="126">
                  <c:v>272.75150000000008</c:v>
                </c:pt>
                <c:pt idx="127">
                  <c:v>272.36770000000007</c:v>
                </c:pt>
                <c:pt idx="128">
                  <c:v>271.95180000000005</c:v>
                </c:pt>
                <c:pt idx="129">
                  <c:v>271.53890000000007</c:v>
                </c:pt>
                <c:pt idx="130">
                  <c:v>271.16210000000001</c:v>
                </c:pt>
                <c:pt idx="131">
                  <c:v>270.79150000000004</c:v>
                </c:pt>
                <c:pt idx="132">
                  <c:v>270.41030000000006</c:v>
                </c:pt>
                <c:pt idx="133">
                  <c:v>269.99910000000006</c:v>
                </c:pt>
                <c:pt idx="134">
                  <c:v>269.63270000000006</c:v>
                </c:pt>
                <c:pt idx="135">
                  <c:v>269.28350000000006</c:v>
                </c:pt>
                <c:pt idx="136">
                  <c:v>268.90120000000007</c:v>
                </c:pt>
                <c:pt idx="137">
                  <c:v>268.50280000000004</c:v>
                </c:pt>
                <c:pt idx="138">
                  <c:v>268.1606000000001</c:v>
                </c:pt>
                <c:pt idx="139">
                  <c:v>267.74920000000009</c:v>
                </c:pt>
                <c:pt idx="140">
                  <c:v>267.36010000000005</c:v>
                </c:pt>
                <c:pt idx="141">
                  <c:v>266.96740000000005</c:v>
                </c:pt>
                <c:pt idx="142">
                  <c:v>266.57800000000009</c:v>
                </c:pt>
                <c:pt idx="143">
                  <c:v>266.2668000000001</c:v>
                </c:pt>
                <c:pt idx="144">
                  <c:v>266.00190000000003</c:v>
                </c:pt>
                <c:pt idx="145">
                  <c:v>265.74480000000005</c:v>
                </c:pt>
                <c:pt idx="146">
                  <c:v>265.50680000000006</c:v>
                </c:pt>
                <c:pt idx="147">
                  <c:v>265.32550000000003</c:v>
                </c:pt>
                <c:pt idx="148">
                  <c:v>265.06690000000003</c:v>
                </c:pt>
                <c:pt idx="149">
                  <c:v>264.93890000000005</c:v>
                </c:pt>
                <c:pt idx="150">
                  <c:v>264.81529999999998</c:v>
                </c:pt>
                <c:pt idx="151">
                  <c:v>264.73580000000004</c:v>
                </c:pt>
                <c:pt idx="152">
                  <c:v>264.62909999999999</c:v>
                </c:pt>
                <c:pt idx="153">
                  <c:v>264.495</c:v>
                </c:pt>
                <c:pt idx="154">
                  <c:v>264.35360000000003</c:v>
                </c:pt>
                <c:pt idx="155">
                  <c:v>264.22980000000001</c:v>
                </c:pt>
                <c:pt idx="156">
                  <c:v>264.15219999999999</c:v>
                </c:pt>
                <c:pt idx="157">
                  <c:v>264.15090000000004</c:v>
                </c:pt>
                <c:pt idx="158">
                  <c:v>264.24020000000002</c:v>
                </c:pt>
                <c:pt idx="159">
                  <c:v>264.27629999999999</c:v>
                </c:pt>
                <c:pt idx="160">
                  <c:v>264.35389999999995</c:v>
                </c:pt>
                <c:pt idx="161">
                  <c:v>264.44379999999995</c:v>
                </c:pt>
                <c:pt idx="162">
                  <c:v>264.56159999999994</c:v>
                </c:pt>
                <c:pt idx="163">
                  <c:v>264.69299999999998</c:v>
                </c:pt>
                <c:pt idx="164">
                  <c:v>264.88849999999996</c:v>
                </c:pt>
                <c:pt idx="165">
                  <c:v>265.09209999999996</c:v>
                </c:pt>
                <c:pt idx="166">
                  <c:v>265.29509999999999</c:v>
                </c:pt>
                <c:pt idx="167">
                  <c:v>265.48729999999995</c:v>
                </c:pt>
                <c:pt idx="168">
                  <c:v>265.65579999999994</c:v>
                </c:pt>
                <c:pt idx="169">
                  <c:v>265.84989999999993</c:v>
                </c:pt>
                <c:pt idx="170">
                  <c:v>266.05569999999989</c:v>
                </c:pt>
                <c:pt idx="171">
                  <c:v>266.28849999999989</c:v>
                </c:pt>
                <c:pt idx="172">
                  <c:v>266.54709999999994</c:v>
                </c:pt>
                <c:pt idx="173">
                  <c:v>266.76029999999992</c:v>
                </c:pt>
                <c:pt idx="174">
                  <c:v>266.95279999999991</c:v>
                </c:pt>
                <c:pt idx="175">
                  <c:v>267.15639999999991</c:v>
                </c:pt>
                <c:pt idx="176">
                  <c:v>267.36589999999995</c:v>
                </c:pt>
                <c:pt idx="177">
                  <c:v>267.56399999999996</c:v>
                </c:pt>
                <c:pt idx="178">
                  <c:v>267.73399999999992</c:v>
                </c:pt>
                <c:pt idx="179">
                  <c:v>267.89829999999995</c:v>
                </c:pt>
                <c:pt idx="180">
                  <c:v>268.10589999999991</c:v>
                </c:pt>
                <c:pt idx="181">
                  <c:v>268.33869999999996</c:v>
                </c:pt>
                <c:pt idx="182">
                  <c:v>268.59889999999996</c:v>
                </c:pt>
                <c:pt idx="183">
                  <c:v>268.85729999999995</c:v>
                </c:pt>
                <c:pt idx="184">
                  <c:v>269.12919999999997</c:v>
                </c:pt>
                <c:pt idx="185">
                  <c:v>269.46249999999998</c:v>
                </c:pt>
                <c:pt idx="186">
                  <c:v>269.8064</c:v>
                </c:pt>
                <c:pt idx="187">
                  <c:v>270.17649999999998</c:v>
                </c:pt>
                <c:pt idx="188">
                  <c:v>270.52140000000003</c:v>
                </c:pt>
                <c:pt idx="189">
                  <c:v>270.87950000000001</c:v>
                </c:pt>
                <c:pt idx="190">
                  <c:v>271.16399999999999</c:v>
                </c:pt>
                <c:pt idx="191">
                  <c:v>271.48839999999996</c:v>
                </c:pt>
                <c:pt idx="192">
                  <c:v>271.79029999999995</c:v>
                </c:pt>
                <c:pt idx="193">
                  <c:v>272.07059999999996</c:v>
                </c:pt>
                <c:pt idx="194">
                  <c:v>272.37379999999996</c:v>
                </c:pt>
                <c:pt idx="195">
                  <c:v>272.69039999999995</c:v>
                </c:pt>
                <c:pt idx="196">
                  <c:v>273.06209999999993</c:v>
                </c:pt>
                <c:pt idx="197">
                  <c:v>273.5018</c:v>
                </c:pt>
                <c:pt idx="198">
                  <c:v>273.97750000000002</c:v>
                </c:pt>
                <c:pt idx="199">
                  <c:v>274.52739999999994</c:v>
                </c:pt>
                <c:pt idx="200">
                  <c:v>275.09329999999994</c:v>
                </c:pt>
                <c:pt idx="201">
                  <c:v>275.7235</c:v>
                </c:pt>
                <c:pt idx="202">
                  <c:v>276.37869999999998</c:v>
                </c:pt>
                <c:pt idx="203">
                  <c:v>277.00489999999991</c:v>
                </c:pt>
                <c:pt idx="204">
                  <c:v>277.40169999999995</c:v>
                </c:pt>
                <c:pt idx="205">
                  <c:v>277.81999999999994</c:v>
                </c:pt>
                <c:pt idx="206">
                  <c:v>278.11889999999994</c:v>
                </c:pt>
                <c:pt idx="207">
                  <c:v>278.48689999999993</c:v>
                </c:pt>
                <c:pt idx="208">
                  <c:v>278.8297</c:v>
                </c:pt>
                <c:pt idx="209">
                  <c:v>279.18279999999993</c:v>
                </c:pt>
                <c:pt idx="210">
                  <c:v>279.56579999999997</c:v>
                </c:pt>
                <c:pt idx="211">
                  <c:v>279.97509999999994</c:v>
                </c:pt>
                <c:pt idx="212">
                  <c:v>280.35879999999997</c:v>
                </c:pt>
                <c:pt idx="213">
                  <c:v>280.79499999999996</c:v>
                </c:pt>
                <c:pt idx="214">
                  <c:v>281.19919999999996</c:v>
                </c:pt>
                <c:pt idx="215">
                  <c:v>281.61070000000001</c:v>
                </c:pt>
                <c:pt idx="216">
                  <c:v>282.09249999999997</c:v>
                </c:pt>
                <c:pt idx="217">
                  <c:v>282.56979999999999</c:v>
                </c:pt>
                <c:pt idx="218">
                  <c:v>282.9624</c:v>
                </c:pt>
                <c:pt idx="219">
                  <c:v>283.33210000000003</c:v>
                </c:pt>
                <c:pt idx="220">
                  <c:v>283.74390000000005</c:v>
                </c:pt>
                <c:pt idx="221">
                  <c:v>284.09190000000001</c:v>
                </c:pt>
                <c:pt idx="222">
                  <c:v>284.4212</c:v>
                </c:pt>
                <c:pt idx="223">
                  <c:v>284.7801</c:v>
                </c:pt>
                <c:pt idx="224">
                  <c:v>285.1893</c:v>
                </c:pt>
                <c:pt idx="225">
                  <c:v>285.59609999999998</c:v>
                </c:pt>
                <c:pt idx="226">
                  <c:v>285.99889999999994</c:v>
                </c:pt>
                <c:pt idx="227">
                  <c:v>286.44989999999996</c:v>
                </c:pt>
                <c:pt idx="228">
                  <c:v>286.93470000000002</c:v>
                </c:pt>
                <c:pt idx="229">
                  <c:v>287.42730000000006</c:v>
                </c:pt>
                <c:pt idx="230">
                  <c:v>287.88250000000005</c:v>
                </c:pt>
                <c:pt idx="231">
                  <c:v>288.25890000000004</c:v>
                </c:pt>
                <c:pt idx="232">
                  <c:v>288.66490000000005</c:v>
                </c:pt>
                <c:pt idx="233">
                  <c:v>289.10050000000007</c:v>
                </c:pt>
                <c:pt idx="234">
                  <c:v>289.52250000000009</c:v>
                </c:pt>
                <c:pt idx="235">
                  <c:v>289.90230000000008</c:v>
                </c:pt>
                <c:pt idx="236">
                  <c:v>290.32080000000008</c:v>
                </c:pt>
                <c:pt idx="237">
                  <c:v>290.75510000000008</c:v>
                </c:pt>
                <c:pt idx="238">
                  <c:v>291.1207</c:v>
                </c:pt>
                <c:pt idx="239">
                  <c:v>291.54650000000004</c:v>
                </c:pt>
                <c:pt idx="240">
                  <c:v>291.97880000000004</c:v>
                </c:pt>
                <c:pt idx="241">
                  <c:v>292.44130000000001</c:v>
                </c:pt>
                <c:pt idx="242">
                  <c:v>292.88210000000004</c:v>
                </c:pt>
                <c:pt idx="243">
                  <c:v>293.17670000000004</c:v>
                </c:pt>
                <c:pt idx="244">
                  <c:v>293.41460000000001</c:v>
                </c:pt>
                <c:pt idx="245">
                  <c:v>293.68740000000003</c:v>
                </c:pt>
                <c:pt idx="246">
                  <c:v>293.91280000000006</c:v>
                </c:pt>
                <c:pt idx="247">
                  <c:v>294.08580000000006</c:v>
                </c:pt>
                <c:pt idx="248">
                  <c:v>294.34930000000003</c:v>
                </c:pt>
                <c:pt idx="249">
                  <c:v>294.5849</c:v>
                </c:pt>
                <c:pt idx="250">
                  <c:v>294.78719999999998</c:v>
                </c:pt>
                <c:pt idx="251">
                  <c:v>294.97419999999994</c:v>
                </c:pt>
                <c:pt idx="252">
                  <c:v>295.22019999999998</c:v>
                </c:pt>
                <c:pt idx="253">
                  <c:v>295.47339999999997</c:v>
                </c:pt>
                <c:pt idx="254">
                  <c:v>295.69209999999998</c:v>
                </c:pt>
                <c:pt idx="255">
                  <c:v>295.87399999999997</c:v>
                </c:pt>
                <c:pt idx="256">
                  <c:v>295.99430000000001</c:v>
                </c:pt>
                <c:pt idx="257">
                  <c:v>296.03250000000003</c:v>
                </c:pt>
                <c:pt idx="258">
                  <c:v>295.99330000000003</c:v>
                </c:pt>
                <c:pt idx="259">
                  <c:v>295.95280000000008</c:v>
                </c:pt>
                <c:pt idx="260">
                  <c:v>295.87870000000004</c:v>
                </c:pt>
                <c:pt idx="261">
                  <c:v>295.78400000000005</c:v>
                </c:pt>
                <c:pt idx="262">
                  <c:v>295.69830000000007</c:v>
                </c:pt>
                <c:pt idx="263">
                  <c:v>295.63760000000008</c:v>
                </c:pt>
                <c:pt idx="264">
                  <c:v>295.55470000000003</c:v>
                </c:pt>
                <c:pt idx="265">
                  <c:v>295.52850000000007</c:v>
                </c:pt>
                <c:pt idx="266">
                  <c:v>295.50450000000001</c:v>
                </c:pt>
                <c:pt idx="267">
                  <c:v>295.54880000000003</c:v>
                </c:pt>
                <c:pt idx="268">
                  <c:v>295.60509999999999</c:v>
                </c:pt>
                <c:pt idx="269">
                  <c:v>295.6259</c:v>
                </c:pt>
                <c:pt idx="270">
                  <c:v>295.64940000000001</c:v>
                </c:pt>
                <c:pt idx="271">
                  <c:v>295.6413</c:v>
                </c:pt>
                <c:pt idx="272">
                  <c:v>295.62890000000004</c:v>
                </c:pt>
                <c:pt idx="273">
                  <c:v>295.61390000000006</c:v>
                </c:pt>
                <c:pt idx="274">
                  <c:v>295.59990000000005</c:v>
                </c:pt>
                <c:pt idx="275">
                  <c:v>295.62000000000006</c:v>
                </c:pt>
                <c:pt idx="276">
                  <c:v>295.59770000000003</c:v>
                </c:pt>
                <c:pt idx="277">
                  <c:v>295.71500000000003</c:v>
                </c:pt>
                <c:pt idx="278">
                  <c:v>295.87960000000004</c:v>
                </c:pt>
                <c:pt idx="279">
                  <c:v>296.03530000000001</c:v>
                </c:pt>
                <c:pt idx="280">
                  <c:v>296.197</c:v>
                </c:pt>
                <c:pt idx="281">
                  <c:v>296.31419999999997</c:v>
                </c:pt>
                <c:pt idx="282">
                  <c:v>296.37190000000004</c:v>
                </c:pt>
                <c:pt idx="283">
                  <c:v>296.3886</c:v>
                </c:pt>
                <c:pt idx="284">
                  <c:v>296.4144</c:v>
                </c:pt>
                <c:pt idx="285">
                  <c:v>296.42600000000004</c:v>
                </c:pt>
                <c:pt idx="286">
                  <c:v>296.46480000000003</c:v>
                </c:pt>
                <c:pt idx="287">
                  <c:v>296.52690000000001</c:v>
                </c:pt>
                <c:pt idx="288">
                  <c:v>296.53980000000001</c:v>
                </c:pt>
                <c:pt idx="289">
                  <c:v>296.60169999999999</c:v>
                </c:pt>
                <c:pt idx="290">
                  <c:v>296.65049999999997</c:v>
                </c:pt>
                <c:pt idx="291">
                  <c:v>296.6558</c:v>
                </c:pt>
                <c:pt idx="292">
                  <c:v>296.70500000000004</c:v>
                </c:pt>
                <c:pt idx="293">
                  <c:v>296.76050000000009</c:v>
                </c:pt>
                <c:pt idx="294">
                  <c:v>296.82590000000005</c:v>
                </c:pt>
                <c:pt idx="295">
                  <c:v>296.99840000000012</c:v>
                </c:pt>
                <c:pt idx="296">
                  <c:v>297.12050000000011</c:v>
                </c:pt>
                <c:pt idx="297">
                  <c:v>297.08970000000011</c:v>
                </c:pt>
                <c:pt idx="298">
                  <c:v>296.95030000000014</c:v>
                </c:pt>
                <c:pt idx="299">
                  <c:v>296.79610000000014</c:v>
                </c:pt>
                <c:pt idx="300">
                  <c:v>296.64740000000012</c:v>
                </c:pt>
                <c:pt idx="301">
                  <c:v>296.52150000000012</c:v>
                </c:pt>
                <c:pt idx="302">
                  <c:v>296.40860000000009</c:v>
                </c:pt>
                <c:pt idx="303">
                  <c:v>296.33090000000004</c:v>
                </c:pt>
                <c:pt idx="304">
                  <c:v>296.41520000000003</c:v>
                </c:pt>
                <c:pt idx="305">
                  <c:v>296.4538</c:v>
                </c:pt>
                <c:pt idx="306">
                  <c:v>296.58439999999996</c:v>
                </c:pt>
                <c:pt idx="307">
                  <c:v>296.68569999999994</c:v>
                </c:pt>
                <c:pt idx="308">
                  <c:v>296.87150000000003</c:v>
                </c:pt>
                <c:pt idx="309">
                  <c:v>297.08319999999998</c:v>
                </c:pt>
                <c:pt idx="310">
                  <c:v>297.233</c:v>
                </c:pt>
                <c:pt idx="311">
                  <c:v>297.40459999999996</c:v>
                </c:pt>
                <c:pt idx="312">
                  <c:v>297.61239999999998</c:v>
                </c:pt>
                <c:pt idx="313">
                  <c:v>297.755</c:v>
                </c:pt>
                <c:pt idx="314">
                  <c:v>297.99770000000001</c:v>
                </c:pt>
                <c:pt idx="315">
                  <c:v>298.05220000000003</c:v>
                </c:pt>
                <c:pt idx="316">
                  <c:v>298.06140000000005</c:v>
                </c:pt>
                <c:pt idx="317">
                  <c:v>298.0444</c:v>
                </c:pt>
                <c:pt idx="318">
                  <c:v>298.09750000000003</c:v>
                </c:pt>
                <c:pt idx="319">
                  <c:v>298.19180000000006</c:v>
                </c:pt>
                <c:pt idx="320">
                  <c:v>298.30520000000001</c:v>
                </c:pt>
                <c:pt idx="321">
                  <c:v>298.53960000000006</c:v>
                </c:pt>
                <c:pt idx="322">
                  <c:v>298.75340000000006</c:v>
                </c:pt>
                <c:pt idx="323">
                  <c:v>298.93710000000004</c:v>
                </c:pt>
                <c:pt idx="324">
                  <c:v>299.14100000000002</c:v>
                </c:pt>
                <c:pt idx="325">
                  <c:v>299.34350000000006</c:v>
                </c:pt>
                <c:pt idx="326">
                  <c:v>299.63150000000002</c:v>
                </c:pt>
                <c:pt idx="327">
                  <c:v>299.8544</c:v>
                </c:pt>
                <c:pt idx="328">
                  <c:v>300.05330000000004</c:v>
                </c:pt>
                <c:pt idx="329">
                  <c:v>300.26990000000006</c:v>
                </c:pt>
                <c:pt idx="330">
                  <c:v>300.47790000000009</c:v>
                </c:pt>
                <c:pt idx="331">
                  <c:v>300.69850000000008</c:v>
                </c:pt>
                <c:pt idx="332">
                  <c:v>300.95000000000005</c:v>
                </c:pt>
                <c:pt idx="333">
                  <c:v>301.13550000000009</c:v>
                </c:pt>
                <c:pt idx="334">
                  <c:v>301.26040000000006</c:v>
                </c:pt>
                <c:pt idx="335">
                  <c:v>301.42780000000005</c:v>
                </c:pt>
                <c:pt idx="336">
                  <c:v>301.58200000000005</c:v>
                </c:pt>
                <c:pt idx="337">
                  <c:v>301.75620000000004</c:v>
                </c:pt>
                <c:pt idx="338">
                  <c:v>301.9301000000001</c:v>
                </c:pt>
                <c:pt idx="339">
                  <c:v>302.1006000000001</c:v>
                </c:pt>
                <c:pt idx="340">
                  <c:v>302.25380000000007</c:v>
                </c:pt>
                <c:pt idx="341">
                  <c:v>302.36360000000008</c:v>
                </c:pt>
                <c:pt idx="342">
                  <c:v>302.47780000000006</c:v>
                </c:pt>
                <c:pt idx="343">
                  <c:v>302.71380000000005</c:v>
                </c:pt>
                <c:pt idx="344">
                  <c:v>302.99760000000003</c:v>
                </c:pt>
                <c:pt idx="345">
                  <c:v>303.28309999999999</c:v>
                </c:pt>
                <c:pt idx="346">
                  <c:v>303.56820000000005</c:v>
                </c:pt>
                <c:pt idx="347">
                  <c:v>303.79270000000002</c:v>
                </c:pt>
                <c:pt idx="348">
                  <c:v>303.98780000000005</c:v>
                </c:pt>
                <c:pt idx="349">
                  <c:v>304.19730000000004</c:v>
                </c:pt>
                <c:pt idx="350">
                  <c:v>304.45080000000007</c:v>
                </c:pt>
                <c:pt idx="351">
                  <c:v>304.68030000000005</c:v>
                </c:pt>
                <c:pt idx="352">
                  <c:v>304.87380000000007</c:v>
                </c:pt>
                <c:pt idx="353">
                  <c:v>305.06450000000012</c:v>
                </c:pt>
                <c:pt idx="354">
                  <c:v>305.26950000000011</c:v>
                </c:pt>
                <c:pt idx="355">
                  <c:v>305.50000000000011</c:v>
                </c:pt>
                <c:pt idx="356">
                  <c:v>305.74670000000015</c:v>
                </c:pt>
                <c:pt idx="357">
                  <c:v>306.0134000000001</c:v>
                </c:pt>
                <c:pt idx="358">
                  <c:v>306.25070000000011</c:v>
                </c:pt>
                <c:pt idx="359">
                  <c:v>306.48270000000008</c:v>
                </c:pt>
                <c:pt idx="360">
                  <c:v>306.6640000000001</c:v>
                </c:pt>
                <c:pt idx="361">
                  <c:v>306.88380000000012</c:v>
                </c:pt>
                <c:pt idx="362">
                  <c:v>307.10590000000013</c:v>
                </c:pt>
                <c:pt idx="363">
                  <c:v>307.29890000000006</c:v>
                </c:pt>
                <c:pt idx="364">
                  <c:v>307.44830000000007</c:v>
                </c:pt>
                <c:pt idx="365">
                  <c:v>307.52710000000008</c:v>
                </c:pt>
                <c:pt idx="366">
                  <c:v>307.56880000000007</c:v>
                </c:pt>
                <c:pt idx="367">
                  <c:v>307.51250000000005</c:v>
                </c:pt>
                <c:pt idx="368">
                  <c:v>307.4962000000001</c:v>
                </c:pt>
                <c:pt idx="369">
                  <c:v>307.5098000000001</c:v>
                </c:pt>
                <c:pt idx="370">
                  <c:v>307.46210000000008</c:v>
                </c:pt>
                <c:pt idx="371">
                  <c:v>307.43140000000011</c:v>
                </c:pt>
                <c:pt idx="372">
                  <c:v>307.44640000000004</c:v>
                </c:pt>
                <c:pt idx="373">
                  <c:v>307.4704000000001</c:v>
                </c:pt>
                <c:pt idx="374">
                  <c:v>307.55700000000007</c:v>
                </c:pt>
                <c:pt idx="375">
                  <c:v>307.55970000000002</c:v>
                </c:pt>
                <c:pt idx="376">
                  <c:v>307.55750000000006</c:v>
                </c:pt>
                <c:pt idx="377">
                  <c:v>307.40860000000004</c:v>
                </c:pt>
                <c:pt idx="378">
                  <c:v>307.22320000000002</c:v>
                </c:pt>
                <c:pt idx="379">
                  <c:v>307.07739999999995</c:v>
                </c:pt>
                <c:pt idx="380">
                  <c:v>306.96109999999999</c:v>
                </c:pt>
                <c:pt idx="381">
                  <c:v>306.87469999999996</c:v>
                </c:pt>
                <c:pt idx="382">
                  <c:v>306.84519999999998</c:v>
                </c:pt>
                <c:pt idx="383">
                  <c:v>306.82199999999995</c:v>
                </c:pt>
                <c:pt idx="384">
                  <c:v>306.78049999999996</c:v>
                </c:pt>
                <c:pt idx="385">
                  <c:v>306.73609999999991</c:v>
                </c:pt>
                <c:pt idx="386">
                  <c:v>306.63109999999995</c:v>
                </c:pt>
                <c:pt idx="387">
                  <c:v>306.48129999999992</c:v>
                </c:pt>
                <c:pt idx="388">
                  <c:v>306.43029999999993</c:v>
                </c:pt>
                <c:pt idx="389">
                  <c:v>306.31199999999995</c:v>
                </c:pt>
                <c:pt idx="390">
                  <c:v>306.17349999999993</c:v>
                </c:pt>
                <c:pt idx="391">
                  <c:v>306.11529999999993</c:v>
                </c:pt>
                <c:pt idx="392">
                  <c:v>306.04979999999995</c:v>
                </c:pt>
                <c:pt idx="393">
                  <c:v>306.00199999999995</c:v>
                </c:pt>
                <c:pt idx="394">
                  <c:v>305.93439999999993</c:v>
                </c:pt>
                <c:pt idx="395">
                  <c:v>305.72219999999993</c:v>
                </c:pt>
                <c:pt idx="396">
                  <c:v>305.57859999999994</c:v>
                </c:pt>
                <c:pt idx="397">
                  <c:v>305.55329999999992</c:v>
                </c:pt>
                <c:pt idx="398">
                  <c:v>305.54699999999991</c:v>
                </c:pt>
                <c:pt idx="399">
                  <c:v>305.64859999999993</c:v>
                </c:pt>
                <c:pt idx="400">
                  <c:v>305.72939999999994</c:v>
                </c:pt>
                <c:pt idx="401">
                  <c:v>305.74419999999998</c:v>
                </c:pt>
                <c:pt idx="402">
                  <c:v>305.75180000000006</c:v>
                </c:pt>
                <c:pt idx="403">
                  <c:v>305.69900000000001</c:v>
                </c:pt>
                <c:pt idx="404">
                  <c:v>305.67970000000003</c:v>
                </c:pt>
                <c:pt idx="405">
                  <c:v>305.71479999999997</c:v>
                </c:pt>
                <c:pt idx="406">
                  <c:v>305.74740000000003</c:v>
                </c:pt>
                <c:pt idx="407">
                  <c:v>305.76520000000005</c:v>
                </c:pt>
                <c:pt idx="408">
                  <c:v>305.73870000000005</c:v>
                </c:pt>
                <c:pt idx="409">
                  <c:v>305.7426000000001</c:v>
                </c:pt>
                <c:pt idx="410">
                  <c:v>305.80390000000011</c:v>
                </c:pt>
                <c:pt idx="411">
                  <c:v>305.82090000000005</c:v>
                </c:pt>
                <c:pt idx="412">
                  <c:v>305.81900000000007</c:v>
                </c:pt>
                <c:pt idx="413">
                  <c:v>305.83260000000001</c:v>
                </c:pt>
                <c:pt idx="414">
                  <c:v>305.76420000000002</c:v>
                </c:pt>
                <c:pt idx="415">
                  <c:v>305.88529999999997</c:v>
                </c:pt>
                <c:pt idx="416">
                  <c:v>306.02180000000004</c:v>
                </c:pt>
                <c:pt idx="417">
                  <c:v>306.18110000000001</c:v>
                </c:pt>
                <c:pt idx="418">
                  <c:v>306.30539999999996</c:v>
                </c:pt>
                <c:pt idx="419">
                  <c:v>306.40750000000003</c:v>
                </c:pt>
                <c:pt idx="420">
                  <c:v>306.45229999999998</c:v>
                </c:pt>
                <c:pt idx="421">
                  <c:v>306.4196</c:v>
                </c:pt>
                <c:pt idx="422">
                  <c:v>306.42</c:v>
                </c:pt>
                <c:pt idx="423">
                  <c:v>306.38839999999999</c:v>
                </c:pt>
                <c:pt idx="424">
                  <c:v>306.35969999999998</c:v>
                </c:pt>
                <c:pt idx="425">
                  <c:v>306.32649999999995</c:v>
                </c:pt>
                <c:pt idx="426">
                  <c:v>306.15640000000002</c:v>
                </c:pt>
                <c:pt idx="427">
                  <c:v>306.00449999999995</c:v>
                </c:pt>
                <c:pt idx="428">
                  <c:v>305.892</c:v>
                </c:pt>
                <c:pt idx="429">
                  <c:v>305.73600000000005</c:v>
                </c:pt>
                <c:pt idx="430">
                  <c:v>305.5917</c:v>
                </c:pt>
                <c:pt idx="431">
                  <c:v>305.47660000000002</c:v>
                </c:pt>
                <c:pt idx="432">
                  <c:v>305.31200000000001</c:v>
                </c:pt>
                <c:pt idx="433">
                  <c:v>305.21890000000002</c:v>
                </c:pt>
                <c:pt idx="434">
                  <c:v>305.12230000000005</c:v>
                </c:pt>
                <c:pt idx="435">
                  <c:v>305.0175000000001</c:v>
                </c:pt>
                <c:pt idx="436">
                  <c:v>304.87950000000006</c:v>
                </c:pt>
                <c:pt idx="437">
                  <c:v>304.73710000000005</c:v>
                </c:pt>
                <c:pt idx="438">
                  <c:v>304.60740000000004</c:v>
                </c:pt>
                <c:pt idx="439">
                  <c:v>304.46940000000012</c:v>
                </c:pt>
                <c:pt idx="440">
                  <c:v>304.36000000000007</c:v>
                </c:pt>
                <c:pt idx="441">
                  <c:v>304.23350000000011</c:v>
                </c:pt>
                <c:pt idx="442">
                  <c:v>304.12170000000009</c:v>
                </c:pt>
                <c:pt idx="443">
                  <c:v>303.92090000000013</c:v>
                </c:pt>
                <c:pt idx="444">
                  <c:v>303.67290000000014</c:v>
                </c:pt>
                <c:pt idx="445">
                  <c:v>303.43070000000012</c:v>
                </c:pt>
                <c:pt idx="446">
                  <c:v>303.23380000000014</c:v>
                </c:pt>
                <c:pt idx="447">
                  <c:v>303.11500000000012</c:v>
                </c:pt>
                <c:pt idx="448">
                  <c:v>303.02440000000018</c:v>
                </c:pt>
                <c:pt idx="449">
                  <c:v>302.93200000000019</c:v>
                </c:pt>
                <c:pt idx="450">
                  <c:v>302.86340000000013</c:v>
                </c:pt>
                <c:pt idx="451">
                  <c:v>302.81270000000018</c:v>
                </c:pt>
                <c:pt idx="452">
                  <c:v>302.76890000000014</c:v>
                </c:pt>
                <c:pt idx="453">
                  <c:v>302.73150000000015</c:v>
                </c:pt>
                <c:pt idx="454">
                  <c:v>302.67440000000022</c:v>
                </c:pt>
                <c:pt idx="455">
                  <c:v>302.60840000000019</c:v>
                </c:pt>
                <c:pt idx="456">
                  <c:v>302.59270000000021</c:v>
                </c:pt>
                <c:pt idx="457">
                  <c:v>302.56690000000015</c:v>
                </c:pt>
                <c:pt idx="458">
                  <c:v>302.51680000000016</c:v>
                </c:pt>
                <c:pt idx="459">
                  <c:v>302.4933000000002</c:v>
                </c:pt>
                <c:pt idx="460">
                  <c:v>302.47330000000022</c:v>
                </c:pt>
                <c:pt idx="461">
                  <c:v>302.41980000000012</c:v>
                </c:pt>
                <c:pt idx="462">
                  <c:v>302.38030000000015</c:v>
                </c:pt>
                <c:pt idx="463">
                  <c:v>302.41790000000015</c:v>
                </c:pt>
                <c:pt idx="464">
                  <c:v>302.43910000000017</c:v>
                </c:pt>
                <c:pt idx="465">
                  <c:v>302.51260000000013</c:v>
                </c:pt>
                <c:pt idx="466">
                  <c:v>302.60730000000012</c:v>
                </c:pt>
                <c:pt idx="467">
                  <c:v>302.80100000000016</c:v>
                </c:pt>
                <c:pt idx="468">
                  <c:v>302.97520000000009</c:v>
                </c:pt>
                <c:pt idx="469">
                  <c:v>303.13630000000018</c:v>
                </c:pt>
                <c:pt idx="470">
                  <c:v>303.35110000000009</c:v>
                </c:pt>
                <c:pt idx="471">
                  <c:v>303.54380000000015</c:v>
                </c:pt>
                <c:pt idx="472">
                  <c:v>303.67420000000016</c:v>
                </c:pt>
                <c:pt idx="473">
                  <c:v>303.77990000000017</c:v>
                </c:pt>
                <c:pt idx="474">
                  <c:v>303.84660000000014</c:v>
                </c:pt>
                <c:pt idx="475">
                  <c:v>303.99380000000014</c:v>
                </c:pt>
                <c:pt idx="476">
                  <c:v>304.10200000000015</c:v>
                </c:pt>
                <c:pt idx="477">
                  <c:v>304.27120000000008</c:v>
                </c:pt>
                <c:pt idx="478">
                  <c:v>304.47850000000011</c:v>
                </c:pt>
                <c:pt idx="479">
                  <c:v>304.6665000000001</c:v>
                </c:pt>
                <c:pt idx="480">
                  <c:v>304.71830000000011</c:v>
                </c:pt>
                <c:pt idx="481">
                  <c:v>304.72640000000013</c:v>
                </c:pt>
                <c:pt idx="482">
                  <c:v>304.7847000000001</c:v>
                </c:pt>
                <c:pt idx="483">
                  <c:v>304.87390000000011</c:v>
                </c:pt>
                <c:pt idx="484">
                  <c:v>304.99720000000008</c:v>
                </c:pt>
                <c:pt idx="485">
                  <c:v>305.09140000000008</c:v>
                </c:pt>
                <c:pt idx="486">
                  <c:v>305.22860000000009</c:v>
                </c:pt>
                <c:pt idx="487">
                  <c:v>305.37650000000008</c:v>
                </c:pt>
                <c:pt idx="488">
                  <c:v>305.48190000000005</c:v>
                </c:pt>
                <c:pt idx="489">
                  <c:v>305.66790000000003</c:v>
                </c:pt>
                <c:pt idx="490">
                  <c:v>305.91039999999998</c:v>
                </c:pt>
                <c:pt idx="491">
                  <c:v>306.07070000000004</c:v>
                </c:pt>
                <c:pt idx="492">
                  <c:v>306.2654</c:v>
                </c:pt>
                <c:pt idx="493">
                  <c:v>306.43520000000007</c:v>
                </c:pt>
                <c:pt idx="494">
                  <c:v>306.55750000000006</c:v>
                </c:pt>
                <c:pt idx="495">
                  <c:v>306.71900000000005</c:v>
                </c:pt>
                <c:pt idx="496">
                  <c:v>306.79850000000005</c:v>
                </c:pt>
                <c:pt idx="497">
                  <c:v>306.8895</c:v>
                </c:pt>
                <c:pt idx="498">
                  <c:v>307.00860000000006</c:v>
                </c:pt>
                <c:pt idx="499">
                  <c:v>307.01730000000003</c:v>
                </c:pt>
                <c:pt idx="500">
                  <c:v>307.01850000000002</c:v>
                </c:pt>
                <c:pt idx="501">
                  <c:v>307.02029999999996</c:v>
                </c:pt>
                <c:pt idx="502">
                  <c:v>307.00930000000005</c:v>
                </c:pt>
                <c:pt idx="503">
                  <c:v>306.99150000000003</c:v>
                </c:pt>
                <c:pt idx="504">
                  <c:v>306.96850000000001</c:v>
                </c:pt>
                <c:pt idx="505">
                  <c:v>306.92060000000004</c:v>
                </c:pt>
                <c:pt idx="506">
                  <c:v>306.92010000000005</c:v>
                </c:pt>
                <c:pt idx="507">
                  <c:v>306.90630000000004</c:v>
                </c:pt>
                <c:pt idx="508">
                  <c:v>306.86450000000008</c:v>
                </c:pt>
                <c:pt idx="509">
                  <c:v>306.82810000000006</c:v>
                </c:pt>
                <c:pt idx="510">
                  <c:v>306.77720000000011</c:v>
                </c:pt>
                <c:pt idx="511">
                  <c:v>306.72270000000009</c:v>
                </c:pt>
                <c:pt idx="512">
                  <c:v>306.66260000000011</c:v>
                </c:pt>
                <c:pt idx="513">
                  <c:v>306.56160000000011</c:v>
                </c:pt>
                <c:pt idx="514">
                  <c:v>306.50420000000008</c:v>
                </c:pt>
                <c:pt idx="515">
                  <c:v>306.44230000000005</c:v>
                </c:pt>
                <c:pt idx="516">
                  <c:v>306.39940000000007</c:v>
                </c:pt>
                <c:pt idx="517">
                  <c:v>306.37130000000008</c:v>
                </c:pt>
                <c:pt idx="518">
                  <c:v>306.34870000000006</c:v>
                </c:pt>
                <c:pt idx="519">
                  <c:v>306.30680000000007</c:v>
                </c:pt>
                <c:pt idx="520">
                  <c:v>306.31810000000007</c:v>
                </c:pt>
                <c:pt idx="521">
                  <c:v>306.34010000000006</c:v>
                </c:pt>
                <c:pt idx="522">
                  <c:v>306.40019999999998</c:v>
                </c:pt>
                <c:pt idx="523">
                  <c:v>306.53559999999999</c:v>
                </c:pt>
                <c:pt idx="524">
                  <c:v>306.68819999999999</c:v>
                </c:pt>
                <c:pt idx="525">
                  <c:v>306.86899999999997</c:v>
                </c:pt>
                <c:pt idx="526">
                  <c:v>307.11989999999997</c:v>
                </c:pt>
                <c:pt idx="527">
                  <c:v>307.34299999999996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2-48B1-A06F-B45E814B9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133215"/>
        <c:axId val="1485125535"/>
      </c:lineChart>
      <c:dateAx>
        <c:axId val="1485133215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25535"/>
        <c:crosses val="autoZero"/>
        <c:auto val="1"/>
        <c:lblOffset val="100"/>
        <c:baseTimeUnit val="days"/>
      </c:dateAx>
      <c:valAx>
        <c:axId val="1485125535"/>
        <c:scaling>
          <c:orientation val="minMax"/>
          <c:min val="2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3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Data!$C$2:$C$529</c:f>
              <c:numCache>
                <c:formatCode>_([$$-409]* #,##0.00_);_([$$-409]* \(#,##0.00\);_([$$-409]* "-"??_);_(@_)</c:formatCode>
                <c:ptCount val="528"/>
                <c:pt idx="0">
                  <c:v>297.04000000000002</c:v>
                </c:pt>
                <c:pt idx="1">
                  <c:v>294.39</c:v>
                </c:pt>
                <c:pt idx="2">
                  <c:v>291.74</c:v>
                </c:pt>
                <c:pt idx="3">
                  <c:v>288.99</c:v>
                </c:pt>
                <c:pt idx="4">
                  <c:v>291.89999999999998</c:v>
                </c:pt>
                <c:pt idx="5">
                  <c:v>290.87</c:v>
                </c:pt>
                <c:pt idx="6">
                  <c:v>294.08999999999997</c:v>
                </c:pt>
                <c:pt idx="7">
                  <c:v>294.14999999999998</c:v>
                </c:pt>
                <c:pt idx="8">
                  <c:v>293.47000000000003</c:v>
                </c:pt>
                <c:pt idx="9">
                  <c:v>291.08999999999997</c:v>
                </c:pt>
                <c:pt idx="10">
                  <c:v>291.16000000000003</c:v>
                </c:pt>
                <c:pt idx="11">
                  <c:v>294.36</c:v>
                </c:pt>
                <c:pt idx="12">
                  <c:v>300.52999999999997</c:v>
                </c:pt>
                <c:pt idx="13">
                  <c:v>298.41000000000003</c:v>
                </c:pt>
                <c:pt idx="14">
                  <c:v>300.05</c:v>
                </c:pt>
                <c:pt idx="15">
                  <c:v>300.44</c:v>
                </c:pt>
                <c:pt idx="16">
                  <c:v>297.20999999999998</c:v>
                </c:pt>
                <c:pt idx="17">
                  <c:v>292.26</c:v>
                </c:pt>
                <c:pt idx="18">
                  <c:v>292.31</c:v>
                </c:pt>
                <c:pt idx="19">
                  <c:v>294.64999999999998</c:v>
                </c:pt>
                <c:pt idx="20">
                  <c:v>292.72000000000003</c:v>
                </c:pt>
                <c:pt idx="21">
                  <c:v>298.08</c:v>
                </c:pt>
                <c:pt idx="22">
                  <c:v>297.05</c:v>
                </c:pt>
                <c:pt idx="23">
                  <c:v>285.97000000000003</c:v>
                </c:pt>
                <c:pt idx="24">
                  <c:v>284.64999999999998</c:v>
                </c:pt>
                <c:pt idx="25">
                  <c:v>287.33</c:v>
                </c:pt>
                <c:pt idx="26">
                  <c:v>291.93</c:v>
                </c:pt>
                <c:pt idx="27">
                  <c:v>289.47000000000003</c:v>
                </c:pt>
                <c:pt idx="28">
                  <c:v>289.44</c:v>
                </c:pt>
                <c:pt idx="29">
                  <c:v>287.11</c:v>
                </c:pt>
                <c:pt idx="30">
                  <c:v>288.17</c:v>
                </c:pt>
                <c:pt idx="31">
                  <c:v>291.86</c:v>
                </c:pt>
                <c:pt idx="32">
                  <c:v>292.02</c:v>
                </c:pt>
                <c:pt idx="33">
                  <c:v>292.64999999999998</c:v>
                </c:pt>
                <c:pt idx="34">
                  <c:v>293.91000000000003</c:v>
                </c:pt>
                <c:pt idx="35">
                  <c:v>295.92</c:v>
                </c:pt>
                <c:pt idx="36">
                  <c:v>297.75</c:v>
                </c:pt>
                <c:pt idx="37">
                  <c:v>297.12</c:v>
                </c:pt>
                <c:pt idx="38">
                  <c:v>293.76</c:v>
                </c:pt>
                <c:pt idx="39">
                  <c:v>295.19</c:v>
                </c:pt>
                <c:pt idx="40">
                  <c:v>292.27999999999997</c:v>
                </c:pt>
                <c:pt idx="41">
                  <c:v>290.73</c:v>
                </c:pt>
                <c:pt idx="42">
                  <c:v>290.94</c:v>
                </c:pt>
                <c:pt idx="43">
                  <c:v>292.54000000000002</c:v>
                </c:pt>
                <c:pt idx="44">
                  <c:v>292.93</c:v>
                </c:pt>
                <c:pt idx="45">
                  <c:v>291.11</c:v>
                </c:pt>
                <c:pt idx="46">
                  <c:v>292.55</c:v>
                </c:pt>
                <c:pt idx="47">
                  <c:v>294.82</c:v>
                </c:pt>
                <c:pt idx="48">
                  <c:v>294.31</c:v>
                </c:pt>
                <c:pt idx="49">
                  <c:v>282.86</c:v>
                </c:pt>
                <c:pt idx="50">
                  <c:v>281.73</c:v>
                </c:pt>
                <c:pt idx="51">
                  <c:v>279.14</c:v>
                </c:pt>
                <c:pt idx="52">
                  <c:v>278.58</c:v>
                </c:pt>
                <c:pt idx="53">
                  <c:v>282.87</c:v>
                </c:pt>
                <c:pt idx="54">
                  <c:v>284.45</c:v>
                </c:pt>
                <c:pt idx="55">
                  <c:v>283.52999999999997</c:v>
                </c:pt>
                <c:pt idx="56">
                  <c:v>282.63</c:v>
                </c:pt>
                <c:pt idx="57">
                  <c:v>278.62</c:v>
                </c:pt>
                <c:pt idx="58">
                  <c:v>278.62</c:v>
                </c:pt>
                <c:pt idx="59">
                  <c:v>282.02</c:v>
                </c:pt>
                <c:pt idx="60">
                  <c:v>281.95</c:v>
                </c:pt>
                <c:pt idx="61">
                  <c:v>280.22000000000003</c:v>
                </c:pt>
                <c:pt idx="62">
                  <c:v>277.74</c:v>
                </c:pt>
                <c:pt idx="63">
                  <c:v>275.54000000000002</c:v>
                </c:pt>
                <c:pt idx="64">
                  <c:v>270.08999999999997</c:v>
                </c:pt>
                <c:pt idx="65">
                  <c:v>266.69</c:v>
                </c:pt>
                <c:pt idx="66">
                  <c:v>267.56</c:v>
                </c:pt>
                <c:pt idx="67">
                  <c:v>269.44</c:v>
                </c:pt>
                <c:pt idx="68">
                  <c:v>268.67</c:v>
                </c:pt>
                <c:pt idx="69">
                  <c:v>268.62</c:v>
                </c:pt>
                <c:pt idx="70">
                  <c:v>267.39</c:v>
                </c:pt>
                <c:pt idx="71">
                  <c:v>266.23</c:v>
                </c:pt>
                <c:pt idx="72">
                  <c:v>265.43</c:v>
                </c:pt>
                <c:pt idx="73">
                  <c:v>269.95</c:v>
                </c:pt>
                <c:pt idx="74">
                  <c:v>270.98</c:v>
                </c:pt>
                <c:pt idx="75">
                  <c:v>271.99</c:v>
                </c:pt>
                <c:pt idx="76">
                  <c:v>275.58</c:v>
                </c:pt>
                <c:pt idx="77">
                  <c:v>276.88</c:v>
                </c:pt>
                <c:pt idx="78">
                  <c:v>276.75</c:v>
                </c:pt>
                <c:pt idx="79">
                  <c:v>275.60000000000002</c:v>
                </c:pt>
                <c:pt idx="80">
                  <c:v>273.08999999999997</c:v>
                </c:pt>
                <c:pt idx="81">
                  <c:v>273.55</c:v>
                </c:pt>
                <c:pt idx="82">
                  <c:v>273.04000000000002</c:v>
                </c:pt>
                <c:pt idx="83">
                  <c:v>274.43</c:v>
                </c:pt>
                <c:pt idx="84">
                  <c:v>273.27999999999997</c:v>
                </c:pt>
                <c:pt idx="85">
                  <c:v>270.32</c:v>
                </c:pt>
                <c:pt idx="86">
                  <c:v>269.3</c:v>
                </c:pt>
                <c:pt idx="87">
                  <c:v>267.5</c:v>
                </c:pt>
                <c:pt idx="88">
                  <c:v>268.49</c:v>
                </c:pt>
                <c:pt idx="89">
                  <c:v>267.95</c:v>
                </c:pt>
                <c:pt idx="90">
                  <c:v>275</c:v>
                </c:pt>
                <c:pt idx="91">
                  <c:v>271.32</c:v>
                </c:pt>
                <c:pt idx="92">
                  <c:v>270.66000000000003</c:v>
                </c:pt>
                <c:pt idx="93">
                  <c:v>273.87</c:v>
                </c:pt>
                <c:pt idx="94">
                  <c:v>273.51</c:v>
                </c:pt>
                <c:pt idx="95">
                  <c:v>272.38</c:v>
                </c:pt>
                <c:pt idx="96">
                  <c:v>267.87</c:v>
                </c:pt>
                <c:pt idx="97">
                  <c:v>265.87</c:v>
                </c:pt>
                <c:pt idx="98">
                  <c:v>265.77</c:v>
                </c:pt>
                <c:pt idx="99">
                  <c:v>257.93</c:v>
                </c:pt>
                <c:pt idx="100">
                  <c:v>258.11</c:v>
                </c:pt>
                <c:pt idx="101">
                  <c:v>253.54</c:v>
                </c:pt>
                <c:pt idx="102">
                  <c:v>249.37</c:v>
                </c:pt>
                <c:pt idx="103">
                  <c:v>252.07</c:v>
                </c:pt>
                <c:pt idx="104">
                  <c:v>258.89</c:v>
                </c:pt>
                <c:pt idx="105">
                  <c:v>259.75</c:v>
                </c:pt>
                <c:pt idx="106">
                  <c:v>262.72000000000003</c:v>
                </c:pt>
                <c:pt idx="107">
                  <c:v>259.99</c:v>
                </c:pt>
                <c:pt idx="108">
                  <c:v>260.72000000000003</c:v>
                </c:pt>
                <c:pt idx="109">
                  <c:v>256.20999999999998</c:v>
                </c:pt>
                <c:pt idx="110">
                  <c:v>253.81</c:v>
                </c:pt>
                <c:pt idx="111">
                  <c:v>254.28</c:v>
                </c:pt>
                <c:pt idx="112">
                  <c:v>254.48</c:v>
                </c:pt>
                <c:pt idx="113">
                  <c:v>253.7</c:v>
                </c:pt>
                <c:pt idx="114">
                  <c:v>253.58</c:v>
                </c:pt>
                <c:pt idx="115">
                  <c:v>253.51</c:v>
                </c:pt>
                <c:pt idx="116">
                  <c:v>250.79</c:v>
                </c:pt>
                <c:pt idx="117">
                  <c:v>253.8</c:v>
                </c:pt>
                <c:pt idx="118">
                  <c:v>259.39</c:v>
                </c:pt>
                <c:pt idx="119">
                  <c:v>260.38</c:v>
                </c:pt>
                <c:pt idx="120">
                  <c:v>257.38</c:v>
                </c:pt>
                <c:pt idx="121">
                  <c:v>257.83</c:v>
                </c:pt>
                <c:pt idx="122">
                  <c:v>258.17</c:v>
                </c:pt>
                <c:pt idx="123">
                  <c:v>254.84</c:v>
                </c:pt>
                <c:pt idx="124">
                  <c:v>249.99</c:v>
                </c:pt>
                <c:pt idx="125">
                  <c:v>247.79</c:v>
                </c:pt>
                <c:pt idx="126">
                  <c:v>250</c:v>
                </c:pt>
                <c:pt idx="127">
                  <c:v>251.09</c:v>
                </c:pt>
                <c:pt idx="128">
                  <c:v>247.85</c:v>
                </c:pt>
                <c:pt idx="129">
                  <c:v>245.82</c:v>
                </c:pt>
                <c:pt idx="130">
                  <c:v>250.49</c:v>
                </c:pt>
                <c:pt idx="131">
                  <c:v>254.8</c:v>
                </c:pt>
                <c:pt idx="132">
                  <c:v>253.9</c:v>
                </c:pt>
                <c:pt idx="133">
                  <c:v>251.53</c:v>
                </c:pt>
                <c:pt idx="134">
                  <c:v>257.27</c:v>
                </c:pt>
                <c:pt idx="135">
                  <c:v>261</c:v>
                </c:pt>
                <c:pt idx="136">
                  <c:v>259.52</c:v>
                </c:pt>
                <c:pt idx="137">
                  <c:v>257.27999999999997</c:v>
                </c:pt>
                <c:pt idx="138">
                  <c:v>259.54000000000002</c:v>
                </c:pt>
                <c:pt idx="139">
                  <c:v>254.05</c:v>
                </c:pt>
                <c:pt idx="140">
                  <c:v>253.37</c:v>
                </c:pt>
                <c:pt idx="141">
                  <c:v>251.46</c:v>
                </c:pt>
                <c:pt idx="142">
                  <c:v>252</c:v>
                </c:pt>
                <c:pt idx="143">
                  <c:v>261.42</c:v>
                </c:pt>
                <c:pt idx="144">
                  <c:v>266.44</c:v>
                </c:pt>
                <c:pt idx="145">
                  <c:v>265.39999999999998</c:v>
                </c:pt>
                <c:pt idx="146">
                  <c:v>268.75</c:v>
                </c:pt>
                <c:pt idx="147">
                  <c:v>276.69</c:v>
                </c:pt>
                <c:pt idx="148">
                  <c:v>268.45</c:v>
                </c:pt>
                <c:pt idx="149">
                  <c:v>270.06</c:v>
                </c:pt>
                <c:pt idx="150">
                  <c:v>269.37</c:v>
                </c:pt>
                <c:pt idx="151">
                  <c:v>271.19</c:v>
                </c:pt>
                <c:pt idx="152">
                  <c:v>267.91000000000003</c:v>
                </c:pt>
                <c:pt idx="153">
                  <c:v>269.45999999999998</c:v>
                </c:pt>
                <c:pt idx="154">
                  <c:v>270.31</c:v>
                </c:pt>
                <c:pt idx="155">
                  <c:v>271.14999999999998</c:v>
                </c:pt>
                <c:pt idx="156">
                  <c:v>274.87</c:v>
                </c:pt>
                <c:pt idx="157">
                  <c:v>278.49</c:v>
                </c:pt>
                <c:pt idx="158">
                  <c:v>287.55</c:v>
                </c:pt>
                <c:pt idx="159">
                  <c:v>285.63</c:v>
                </c:pt>
                <c:pt idx="160">
                  <c:v>289.70999999999998</c:v>
                </c:pt>
                <c:pt idx="161">
                  <c:v>289.20999999999998</c:v>
                </c:pt>
                <c:pt idx="162">
                  <c:v>289.52</c:v>
                </c:pt>
                <c:pt idx="163">
                  <c:v>288.68</c:v>
                </c:pt>
                <c:pt idx="164">
                  <c:v>289.64</c:v>
                </c:pt>
                <c:pt idx="165">
                  <c:v>287.05</c:v>
                </c:pt>
                <c:pt idx="166">
                  <c:v>287.86</c:v>
                </c:pt>
                <c:pt idx="167">
                  <c:v>288.66000000000003</c:v>
                </c:pt>
                <c:pt idx="168">
                  <c:v>285.52</c:v>
                </c:pt>
                <c:pt idx="169">
                  <c:v>288.02999999999997</c:v>
                </c:pt>
                <c:pt idx="170">
                  <c:v>287.97000000000003</c:v>
                </c:pt>
                <c:pt idx="171">
                  <c:v>289.51</c:v>
                </c:pt>
                <c:pt idx="172">
                  <c:v>291.29000000000002</c:v>
                </c:pt>
                <c:pt idx="173">
                  <c:v>291.27</c:v>
                </c:pt>
                <c:pt idx="174">
                  <c:v>290.23</c:v>
                </c:pt>
                <c:pt idx="175">
                  <c:v>292.35000000000002</c:v>
                </c:pt>
                <c:pt idx="176">
                  <c:v>296.52999999999997</c:v>
                </c:pt>
                <c:pt idx="177">
                  <c:v>296.69</c:v>
                </c:pt>
                <c:pt idx="178">
                  <c:v>293.75</c:v>
                </c:pt>
                <c:pt idx="179">
                  <c:v>292.02999999999997</c:v>
                </c:pt>
                <c:pt idx="180">
                  <c:v>293.85000000000002</c:v>
                </c:pt>
                <c:pt idx="181">
                  <c:v>296.83</c:v>
                </c:pt>
                <c:pt idx="182">
                  <c:v>299.06</c:v>
                </c:pt>
                <c:pt idx="183">
                  <c:v>300.27</c:v>
                </c:pt>
                <c:pt idx="184">
                  <c:v>300.47000000000003</c:v>
                </c:pt>
                <c:pt idx="185">
                  <c:v>303.64999999999998</c:v>
                </c:pt>
                <c:pt idx="186">
                  <c:v>303.69</c:v>
                </c:pt>
                <c:pt idx="187">
                  <c:v>304.51</c:v>
                </c:pt>
                <c:pt idx="188">
                  <c:v>302.98</c:v>
                </c:pt>
                <c:pt idx="189">
                  <c:v>303.76</c:v>
                </c:pt>
                <c:pt idx="190">
                  <c:v>303.45</c:v>
                </c:pt>
                <c:pt idx="191">
                  <c:v>303.76</c:v>
                </c:pt>
                <c:pt idx="192">
                  <c:v>300.85000000000002</c:v>
                </c:pt>
                <c:pt idx="193">
                  <c:v>301.89999999999998</c:v>
                </c:pt>
                <c:pt idx="194">
                  <c:v>303.83</c:v>
                </c:pt>
                <c:pt idx="195">
                  <c:v>304.04000000000002</c:v>
                </c:pt>
                <c:pt idx="196">
                  <c:v>305.04000000000002</c:v>
                </c:pt>
                <c:pt idx="197">
                  <c:v>309.83999999999997</c:v>
                </c:pt>
                <c:pt idx="198">
                  <c:v>313.33999999999997</c:v>
                </c:pt>
                <c:pt idx="199">
                  <c:v>312.92</c:v>
                </c:pt>
                <c:pt idx="200">
                  <c:v>314.7</c:v>
                </c:pt>
                <c:pt idx="201">
                  <c:v>316.56</c:v>
                </c:pt>
                <c:pt idx="202">
                  <c:v>314.89</c:v>
                </c:pt>
                <c:pt idx="203">
                  <c:v>314.69</c:v>
                </c:pt>
                <c:pt idx="204">
                  <c:v>298.57</c:v>
                </c:pt>
                <c:pt idx="205">
                  <c:v>301.58</c:v>
                </c:pt>
                <c:pt idx="206">
                  <c:v>292.61</c:v>
                </c:pt>
                <c:pt idx="207">
                  <c:v>296.79000000000002</c:v>
                </c:pt>
                <c:pt idx="208">
                  <c:v>295</c:v>
                </c:pt>
                <c:pt idx="209">
                  <c:v>291.52</c:v>
                </c:pt>
                <c:pt idx="210">
                  <c:v>292.11</c:v>
                </c:pt>
                <c:pt idx="211">
                  <c:v>295.20999999999998</c:v>
                </c:pt>
                <c:pt idx="212">
                  <c:v>292.85000000000002</c:v>
                </c:pt>
                <c:pt idx="213">
                  <c:v>297.32</c:v>
                </c:pt>
                <c:pt idx="214">
                  <c:v>294</c:v>
                </c:pt>
                <c:pt idx="215">
                  <c:v>294.66000000000003</c:v>
                </c:pt>
                <c:pt idx="216">
                  <c:v>298.97000000000003</c:v>
                </c:pt>
                <c:pt idx="217">
                  <c:v>301.52999999999997</c:v>
                </c:pt>
                <c:pt idx="218">
                  <c:v>298.64999999999998</c:v>
                </c:pt>
                <c:pt idx="219">
                  <c:v>297.35000000000002</c:v>
                </c:pt>
                <c:pt idx="220">
                  <c:v>298.56</c:v>
                </c:pt>
                <c:pt idx="221">
                  <c:v>292.63</c:v>
                </c:pt>
                <c:pt idx="222">
                  <c:v>291.10000000000002</c:v>
                </c:pt>
                <c:pt idx="223">
                  <c:v>290.73</c:v>
                </c:pt>
                <c:pt idx="224">
                  <c:v>290.91000000000003</c:v>
                </c:pt>
                <c:pt idx="225">
                  <c:v>288.47000000000003</c:v>
                </c:pt>
                <c:pt idx="226">
                  <c:v>290.27999999999997</c:v>
                </c:pt>
                <c:pt idx="227">
                  <c:v>296.19</c:v>
                </c:pt>
                <c:pt idx="228">
                  <c:v>296.33</c:v>
                </c:pt>
                <c:pt idx="229">
                  <c:v>295.08</c:v>
                </c:pt>
                <c:pt idx="230">
                  <c:v>296.01</c:v>
                </c:pt>
                <c:pt idx="231">
                  <c:v>292.44</c:v>
                </c:pt>
                <c:pt idx="232">
                  <c:v>294.5</c:v>
                </c:pt>
                <c:pt idx="233">
                  <c:v>295.08999999999997</c:v>
                </c:pt>
                <c:pt idx="234">
                  <c:v>299.47000000000003</c:v>
                </c:pt>
                <c:pt idx="235">
                  <c:v>298.98</c:v>
                </c:pt>
                <c:pt idx="236">
                  <c:v>301.37</c:v>
                </c:pt>
                <c:pt idx="237">
                  <c:v>300.70999999999998</c:v>
                </c:pt>
                <c:pt idx="238">
                  <c:v>296.10000000000002</c:v>
                </c:pt>
                <c:pt idx="239">
                  <c:v>296.63</c:v>
                </c:pt>
                <c:pt idx="240">
                  <c:v>296.60000000000002</c:v>
                </c:pt>
                <c:pt idx="241">
                  <c:v>297.70999999999998</c:v>
                </c:pt>
                <c:pt idx="242">
                  <c:v>296.08</c:v>
                </c:pt>
                <c:pt idx="243">
                  <c:v>290.88</c:v>
                </c:pt>
                <c:pt idx="244">
                  <c:v>290.23</c:v>
                </c:pt>
                <c:pt idx="245">
                  <c:v>292.68</c:v>
                </c:pt>
                <c:pt idx="246">
                  <c:v>291.29000000000002</c:v>
                </c:pt>
                <c:pt idx="247">
                  <c:v>293.99</c:v>
                </c:pt>
                <c:pt idx="248">
                  <c:v>294.8</c:v>
                </c:pt>
                <c:pt idx="249">
                  <c:v>293.62</c:v>
                </c:pt>
                <c:pt idx="250">
                  <c:v>289.60000000000002</c:v>
                </c:pt>
                <c:pt idx="251">
                  <c:v>289.89</c:v>
                </c:pt>
                <c:pt idx="252">
                  <c:v>292.51</c:v>
                </c:pt>
                <c:pt idx="253">
                  <c:v>294.77999999999997</c:v>
                </c:pt>
                <c:pt idx="254">
                  <c:v>292.18</c:v>
                </c:pt>
                <c:pt idx="255">
                  <c:v>289.33999999999997</c:v>
                </c:pt>
                <c:pt idx="256">
                  <c:v>286.89999999999998</c:v>
                </c:pt>
                <c:pt idx="257">
                  <c:v>282.31</c:v>
                </c:pt>
                <c:pt idx="258">
                  <c:v>283.63</c:v>
                </c:pt>
                <c:pt idx="259">
                  <c:v>281.58</c:v>
                </c:pt>
                <c:pt idx="260">
                  <c:v>282.3</c:v>
                </c:pt>
                <c:pt idx="261">
                  <c:v>279.74</c:v>
                </c:pt>
                <c:pt idx="262">
                  <c:v>280.95</c:v>
                </c:pt>
                <c:pt idx="263">
                  <c:v>282.61</c:v>
                </c:pt>
                <c:pt idx="264">
                  <c:v>281.35000000000002</c:v>
                </c:pt>
                <c:pt idx="265">
                  <c:v>284.43</c:v>
                </c:pt>
                <c:pt idx="266">
                  <c:v>285.45999999999998</c:v>
                </c:pt>
                <c:pt idx="267">
                  <c:v>293.08999999999997</c:v>
                </c:pt>
                <c:pt idx="268">
                  <c:v>291.14999999999998</c:v>
                </c:pt>
                <c:pt idx="269">
                  <c:v>290.11</c:v>
                </c:pt>
                <c:pt idx="270">
                  <c:v>290.32</c:v>
                </c:pt>
                <c:pt idx="271">
                  <c:v>288.7</c:v>
                </c:pt>
                <c:pt idx="272">
                  <c:v>290.05</c:v>
                </c:pt>
                <c:pt idx="273">
                  <c:v>289.77</c:v>
                </c:pt>
                <c:pt idx="274">
                  <c:v>288.83</c:v>
                </c:pt>
                <c:pt idx="275">
                  <c:v>294.36</c:v>
                </c:pt>
                <c:pt idx="276">
                  <c:v>294.3</c:v>
                </c:pt>
                <c:pt idx="277">
                  <c:v>308.42</c:v>
                </c:pt>
                <c:pt idx="278">
                  <c:v>310.20999999999998</c:v>
                </c:pt>
                <c:pt idx="279">
                  <c:v>307.60000000000002</c:v>
                </c:pt>
                <c:pt idx="280">
                  <c:v>310.02</c:v>
                </c:pt>
                <c:pt idx="281">
                  <c:v>308.55</c:v>
                </c:pt>
                <c:pt idx="282">
                  <c:v>304.83</c:v>
                </c:pt>
                <c:pt idx="283">
                  <c:v>301.94</c:v>
                </c:pt>
                <c:pt idx="284">
                  <c:v>303.05</c:v>
                </c:pt>
                <c:pt idx="285">
                  <c:v>304.81</c:v>
                </c:pt>
                <c:pt idx="286">
                  <c:v>307.57</c:v>
                </c:pt>
                <c:pt idx="287">
                  <c:v>310.72000000000003</c:v>
                </c:pt>
                <c:pt idx="288">
                  <c:v>304.27</c:v>
                </c:pt>
                <c:pt idx="289">
                  <c:v>309.95</c:v>
                </c:pt>
                <c:pt idx="290">
                  <c:v>308.33</c:v>
                </c:pt>
                <c:pt idx="291">
                  <c:v>304.29000000000002</c:v>
                </c:pt>
                <c:pt idx="292">
                  <c:v>305.77</c:v>
                </c:pt>
                <c:pt idx="293">
                  <c:v>307.45</c:v>
                </c:pt>
                <c:pt idx="294">
                  <c:v>310.37</c:v>
                </c:pt>
                <c:pt idx="295">
                  <c:v>321.29000000000002</c:v>
                </c:pt>
                <c:pt idx="296">
                  <c:v>317.25</c:v>
                </c:pt>
                <c:pt idx="297">
                  <c:v>306.76</c:v>
                </c:pt>
                <c:pt idx="298">
                  <c:v>299.39999999999998</c:v>
                </c:pt>
                <c:pt idx="299">
                  <c:v>297.5</c:v>
                </c:pt>
                <c:pt idx="300">
                  <c:v>299.83</c:v>
                </c:pt>
                <c:pt idx="301">
                  <c:v>303.97000000000003</c:v>
                </c:pt>
                <c:pt idx="302">
                  <c:v>303.60000000000002</c:v>
                </c:pt>
                <c:pt idx="303">
                  <c:v>306.92</c:v>
                </c:pt>
                <c:pt idx="304">
                  <c:v>307</c:v>
                </c:pt>
                <c:pt idx="305">
                  <c:v>305.44</c:v>
                </c:pt>
                <c:pt idx="306">
                  <c:v>305.67</c:v>
                </c:pt>
                <c:pt idx="307">
                  <c:v>306.92</c:v>
                </c:pt>
                <c:pt idx="308">
                  <c:v>313.58</c:v>
                </c:pt>
                <c:pt idx="309">
                  <c:v>312.69</c:v>
                </c:pt>
                <c:pt idx="310">
                  <c:v>307.08999999999997</c:v>
                </c:pt>
                <c:pt idx="311">
                  <c:v>312.37</c:v>
                </c:pt>
                <c:pt idx="312">
                  <c:v>313.63</c:v>
                </c:pt>
                <c:pt idx="313">
                  <c:v>311.58</c:v>
                </c:pt>
                <c:pt idx="314">
                  <c:v>318.27</c:v>
                </c:pt>
                <c:pt idx="315">
                  <c:v>300.11</c:v>
                </c:pt>
                <c:pt idx="316">
                  <c:v>299.89</c:v>
                </c:pt>
                <c:pt idx="317">
                  <c:v>299.83</c:v>
                </c:pt>
                <c:pt idx="318">
                  <c:v>303.95999999999998</c:v>
                </c:pt>
                <c:pt idx="319">
                  <c:v>306.77999999999997</c:v>
                </c:pt>
                <c:pt idx="320">
                  <c:v>309.89999999999998</c:v>
                </c:pt>
                <c:pt idx="321">
                  <c:v>316.07</c:v>
                </c:pt>
                <c:pt idx="322">
                  <c:v>312.48</c:v>
                </c:pt>
                <c:pt idx="323">
                  <c:v>309.10000000000002</c:v>
                </c:pt>
                <c:pt idx="324">
                  <c:v>311.3</c:v>
                </c:pt>
                <c:pt idx="325">
                  <c:v>308.72000000000003</c:v>
                </c:pt>
                <c:pt idx="326">
                  <c:v>319.08</c:v>
                </c:pt>
                <c:pt idx="327">
                  <c:v>318.48</c:v>
                </c:pt>
                <c:pt idx="328">
                  <c:v>316.22000000000003</c:v>
                </c:pt>
                <c:pt idx="329">
                  <c:v>316.74</c:v>
                </c:pt>
                <c:pt idx="330">
                  <c:v>316.81</c:v>
                </c:pt>
                <c:pt idx="331">
                  <c:v>314.5</c:v>
                </c:pt>
                <c:pt idx="332">
                  <c:v>319.64999999999998</c:v>
                </c:pt>
                <c:pt idx="333">
                  <c:v>313.64</c:v>
                </c:pt>
                <c:pt idx="334">
                  <c:v>311.95999999999998</c:v>
                </c:pt>
                <c:pt idx="335">
                  <c:v>315.72000000000003</c:v>
                </c:pt>
                <c:pt idx="336">
                  <c:v>316.79000000000002</c:v>
                </c:pt>
                <c:pt idx="337">
                  <c:v>318.13</c:v>
                </c:pt>
                <c:pt idx="338">
                  <c:v>313.49</c:v>
                </c:pt>
                <c:pt idx="339">
                  <c:v>313.68</c:v>
                </c:pt>
                <c:pt idx="340">
                  <c:v>311.92</c:v>
                </c:pt>
                <c:pt idx="341">
                  <c:v>308.69</c:v>
                </c:pt>
                <c:pt idx="342">
                  <c:v>307.5</c:v>
                </c:pt>
                <c:pt idx="343">
                  <c:v>314.48</c:v>
                </c:pt>
                <c:pt idx="344">
                  <c:v>318.61</c:v>
                </c:pt>
                <c:pt idx="345">
                  <c:v>321.23</c:v>
                </c:pt>
                <c:pt idx="346">
                  <c:v>319.8</c:v>
                </c:pt>
                <c:pt idx="347">
                  <c:v>316.44</c:v>
                </c:pt>
                <c:pt idx="348">
                  <c:v>314.31</c:v>
                </c:pt>
                <c:pt idx="349">
                  <c:v>314.57</c:v>
                </c:pt>
                <c:pt idx="350">
                  <c:v>314.95</c:v>
                </c:pt>
                <c:pt idx="351">
                  <c:v>312.83999999999997</c:v>
                </c:pt>
                <c:pt idx="352">
                  <c:v>311.86</c:v>
                </c:pt>
                <c:pt idx="353">
                  <c:v>313.85000000000002</c:v>
                </c:pt>
                <c:pt idx="354">
                  <c:v>312.68</c:v>
                </c:pt>
                <c:pt idx="355">
                  <c:v>312.39</c:v>
                </c:pt>
                <c:pt idx="356">
                  <c:v>311.57</c:v>
                </c:pt>
                <c:pt idx="357">
                  <c:v>308.98</c:v>
                </c:pt>
                <c:pt idx="358">
                  <c:v>307.36</c:v>
                </c:pt>
                <c:pt idx="359">
                  <c:v>304.77999999999997</c:v>
                </c:pt>
                <c:pt idx="360">
                  <c:v>300.43</c:v>
                </c:pt>
                <c:pt idx="361">
                  <c:v>301.72000000000003</c:v>
                </c:pt>
                <c:pt idx="362">
                  <c:v>303.16000000000003</c:v>
                </c:pt>
                <c:pt idx="363">
                  <c:v>301.91000000000003</c:v>
                </c:pt>
                <c:pt idx="364">
                  <c:v>296.29000000000002</c:v>
                </c:pt>
                <c:pt idx="365">
                  <c:v>292.31</c:v>
                </c:pt>
                <c:pt idx="366">
                  <c:v>289.63</c:v>
                </c:pt>
                <c:pt idx="367">
                  <c:v>287.45999999999998</c:v>
                </c:pt>
                <c:pt idx="368">
                  <c:v>289.52</c:v>
                </c:pt>
                <c:pt idx="369">
                  <c:v>291.47000000000003</c:v>
                </c:pt>
                <c:pt idx="370">
                  <c:v>285.55</c:v>
                </c:pt>
                <c:pt idx="371">
                  <c:v>285.63</c:v>
                </c:pt>
                <c:pt idx="372">
                  <c:v>291.55</c:v>
                </c:pt>
                <c:pt idx="373">
                  <c:v>292.17</c:v>
                </c:pt>
                <c:pt idx="374">
                  <c:v>297.49</c:v>
                </c:pt>
                <c:pt idx="375">
                  <c:v>294.63</c:v>
                </c:pt>
                <c:pt idx="376">
                  <c:v>294.08</c:v>
                </c:pt>
                <c:pt idx="377">
                  <c:v>293.52999999999997</c:v>
                </c:pt>
                <c:pt idx="378">
                  <c:v>291.67</c:v>
                </c:pt>
                <c:pt idx="379">
                  <c:v>293.02</c:v>
                </c:pt>
                <c:pt idx="380">
                  <c:v>298.39</c:v>
                </c:pt>
                <c:pt idx="381">
                  <c:v>299.91000000000003</c:v>
                </c:pt>
                <c:pt idx="382">
                  <c:v>301.88</c:v>
                </c:pt>
                <c:pt idx="383">
                  <c:v>299.62</c:v>
                </c:pt>
                <c:pt idx="384">
                  <c:v>298.89999999999998</c:v>
                </c:pt>
                <c:pt idx="385">
                  <c:v>300.37</c:v>
                </c:pt>
                <c:pt idx="386">
                  <c:v>297.07</c:v>
                </c:pt>
                <c:pt idx="387">
                  <c:v>295.74</c:v>
                </c:pt>
                <c:pt idx="388">
                  <c:v>299.17</c:v>
                </c:pt>
                <c:pt idx="389">
                  <c:v>298.12</c:v>
                </c:pt>
                <c:pt idx="390">
                  <c:v>294.48</c:v>
                </c:pt>
                <c:pt idx="391">
                  <c:v>298.47000000000003</c:v>
                </c:pt>
                <c:pt idx="392">
                  <c:v>299.22000000000003</c:v>
                </c:pt>
                <c:pt idx="393">
                  <c:v>302.67</c:v>
                </c:pt>
                <c:pt idx="394">
                  <c:v>303.61</c:v>
                </c:pt>
                <c:pt idx="395">
                  <c:v>300.07</c:v>
                </c:pt>
                <c:pt idx="396">
                  <c:v>302.89</c:v>
                </c:pt>
                <c:pt idx="397">
                  <c:v>304.23</c:v>
                </c:pt>
                <c:pt idx="398">
                  <c:v>298.77</c:v>
                </c:pt>
                <c:pt idx="399">
                  <c:v>307.66000000000003</c:v>
                </c:pt>
                <c:pt idx="400">
                  <c:v>307.91000000000003</c:v>
                </c:pt>
                <c:pt idx="401">
                  <c:v>305.45</c:v>
                </c:pt>
                <c:pt idx="402">
                  <c:v>304.36</c:v>
                </c:pt>
                <c:pt idx="403">
                  <c:v>301.64</c:v>
                </c:pt>
                <c:pt idx="404">
                  <c:v>305.07</c:v>
                </c:pt>
                <c:pt idx="405">
                  <c:v>308.95</c:v>
                </c:pt>
                <c:pt idx="406">
                  <c:v>308.93</c:v>
                </c:pt>
                <c:pt idx="407">
                  <c:v>308.7</c:v>
                </c:pt>
                <c:pt idx="408">
                  <c:v>310.93</c:v>
                </c:pt>
                <c:pt idx="409">
                  <c:v>313.08</c:v>
                </c:pt>
                <c:pt idx="410">
                  <c:v>313.22000000000003</c:v>
                </c:pt>
                <c:pt idx="411">
                  <c:v>314.07</c:v>
                </c:pt>
                <c:pt idx="412">
                  <c:v>313.44</c:v>
                </c:pt>
                <c:pt idx="413">
                  <c:v>312.94</c:v>
                </c:pt>
                <c:pt idx="414">
                  <c:v>311.43</c:v>
                </c:pt>
                <c:pt idx="415">
                  <c:v>312.22000000000003</c:v>
                </c:pt>
                <c:pt idx="416">
                  <c:v>313.54000000000002</c:v>
                </c:pt>
                <c:pt idx="417">
                  <c:v>315.76</c:v>
                </c:pt>
                <c:pt idx="418">
                  <c:v>316.39</c:v>
                </c:pt>
                <c:pt idx="419">
                  <c:v>316.99</c:v>
                </c:pt>
                <c:pt idx="420">
                  <c:v>314.38</c:v>
                </c:pt>
                <c:pt idx="421">
                  <c:v>312.8</c:v>
                </c:pt>
                <c:pt idx="422">
                  <c:v>312.52</c:v>
                </c:pt>
                <c:pt idx="423">
                  <c:v>305.94</c:v>
                </c:pt>
                <c:pt idx="424">
                  <c:v>308.43</c:v>
                </c:pt>
                <c:pt idx="425">
                  <c:v>305.39999999999998</c:v>
                </c:pt>
                <c:pt idx="426">
                  <c:v>302.07</c:v>
                </c:pt>
                <c:pt idx="427">
                  <c:v>303.29000000000002</c:v>
                </c:pt>
                <c:pt idx="428">
                  <c:v>304.97000000000003</c:v>
                </c:pt>
                <c:pt idx="429">
                  <c:v>301.14</c:v>
                </c:pt>
                <c:pt idx="430">
                  <c:v>302.38</c:v>
                </c:pt>
                <c:pt idx="431">
                  <c:v>302.99</c:v>
                </c:pt>
                <c:pt idx="432">
                  <c:v>303.19</c:v>
                </c:pt>
                <c:pt idx="433">
                  <c:v>304.33</c:v>
                </c:pt>
                <c:pt idx="434">
                  <c:v>302.3</c:v>
                </c:pt>
                <c:pt idx="435">
                  <c:v>305.24</c:v>
                </c:pt>
                <c:pt idx="436">
                  <c:v>302.99</c:v>
                </c:pt>
                <c:pt idx="437">
                  <c:v>303.89</c:v>
                </c:pt>
                <c:pt idx="438">
                  <c:v>300.52</c:v>
                </c:pt>
                <c:pt idx="439">
                  <c:v>299.88</c:v>
                </c:pt>
                <c:pt idx="440">
                  <c:v>300.98</c:v>
                </c:pt>
                <c:pt idx="441">
                  <c:v>296.04000000000002</c:v>
                </c:pt>
                <c:pt idx="442">
                  <c:v>296.32</c:v>
                </c:pt>
                <c:pt idx="443">
                  <c:v>294.39999999999998</c:v>
                </c:pt>
                <c:pt idx="444">
                  <c:v>293.81</c:v>
                </c:pt>
                <c:pt idx="445">
                  <c:v>297.01</c:v>
                </c:pt>
                <c:pt idx="446">
                  <c:v>300.11</c:v>
                </c:pt>
                <c:pt idx="447">
                  <c:v>304.56</c:v>
                </c:pt>
                <c:pt idx="448">
                  <c:v>305.25</c:v>
                </c:pt>
                <c:pt idx="449">
                  <c:v>305.33</c:v>
                </c:pt>
                <c:pt idx="450">
                  <c:v>308.08999999999997</c:v>
                </c:pt>
                <c:pt idx="451">
                  <c:v>307.77</c:v>
                </c:pt>
                <c:pt idx="452">
                  <c:v>307.48</c:v>
                </c:pt>
                <c:pt idx="453">
                  <c:v>310.11</c:v>
                </c:pt>
                <c:pt idx="454">
                  <c:v>306.97000000000003</c:v>
                </c:pt>
                <c:pt idx="455">
                  <c:v>305.79000000000002</c:v>
                </c:pt>
                <c:pt idx="456">
                  <c:v>310</c:v>
                </c:pt>
                <c:pt idx="457">
                  <c:v>306.39999999999998</c:v>
                </c:pt>
                <c:pt idx="458">
                  <c:v>302.35000000000002</c:v>
                </c:pt>
                <c:pt idx="459">
                  <c:v>302.43</c:v>
                </c:pt>
                <c:pt idx="460">
                  <c:v>298.43</c:v>
                </c:pt>
                <c:pt idx="461">
                  <c:v>296.37</c:v>
                </c:pt>
                <c:pt idx="462">
                  <c:v>299.20999999999998</c:v>
                </c:pt>
                <c:pt idx="463">
                  <c:v>305.67</c:v>
                </c:pt>
                <c:pt idx="464">
                  <c:v>298.41000000000003</c:v>
                </c:pt>
                <c:pt idx="465">
                  <c:v>299.66000000000003</c:v>
                </c:pt>
                <c:pt idx="466">
                  <c:v>299.10000000000002</c:v>
                </c:pt>
                <c:pt idx="467">
                  <c:v>306.83</c:v>
                </c:pt>
                <c:pt idx="468">
                  <c:v>306.94</c:v>
                </c:pt>
                <c:pt idx="469">
                  <c:v>307.58</c:v>
                </c:pt>
                <c:pt idx="470">
                  <c:v>307.02999999999997</c:v>
                </c:pt>
                <c:pt idx="471">
                  <c:v>304.89999999999998</c:v>
                </c:pt>
                <c:pt idx="472">
                  <c:v>304.58999999999997</c:v>
                </c:pt>
                <c:pt idx="473">
                  <c:v>302.74</c:v>
                </c:pt>
                <c:pt idx="474">
                  <c:v>304.16000000000003</c:v>
                </c:pt>
                <c:pt idx="475">
                  <c:v>309.35000000000002</c:v>
                </c:pt>
                <c:pt idx="476">
                  <c:v>304.89999999999998</c:v>
                </c:pt>
                <c:pt idx="477">
                  <c:v>310.45</c:v>
                </c:pt>
                <c:pt idx="478">
                  <c:v>312.39999999999998</c:v>
                </c:pt>
                <c:pt idx="479">
                  <c:v>311.82</c:v>
                </c:pt>
                <c:pt idx="480">
                  <c:v>303.57</c:v>
                </c:pt>
                <c:pt idx="481">
                  <c:v>300.72000000000003</c:v>
                </c:pt>
                <c:pt idx="482">
                  <c:v>307.70999999999998</c:v>
                </c:pt>
                <c:pt idx="483">
                  <c:v>308.54000000000002</c:v>
                </c:pt>
                <c:pt idx="484">
                  <c:v>311.23</c:v>
                </c:pt>
                <c:pt idx="485">
                  <c:v>309.79000000000002</c:v>
                </c:pt>
                <c:pt idx="486">
                  <c:v>310.79000000000002</c:v>
                </c:pt>
                <c:pt idx="487">
                  <c:v>310.52999999999997</c:v>
                </c:pt>
                <c:pt idx="488">
                  <c:v>309.70999999999998</c:v>
                </c:pt>
                <c:pt idx="489">
                  <c:v>316.72000000000003</c:v>
                </c:pt>
                <c:pt idx="490">
                  <c:v>318.73</c:v>
                </c:pt>
                <c:pt idx="491">
                  <c:v>314.5</c:v>
                </c:pt>
                <c:pt idx="492">
                  <c:v>318.69</c:v>
                </c:pt>
                <c:pt idx="493">
                  <c:v>319.64999999999998</c:v>
                </c:pt>
                <c:pt idx="494">
                  <c:v>315.83999999999997</c:v>
                </c:pt>
                <c:pt idx="495">
                  <c:v>316.22000000000003</c:v>
                </c:pt>
                <c:pt idx="496">
                  <c:v>310.83999999999997</c:v>
                </c:pt>
                <c:pt idx="497">
                  <c:v>313.33</c:v>
                </c:pt>
                <c:pt idx="498">
                  <c:v>310.68</c:v>
                </c:pt>
                <c:pt idx="499">
                  <c:v>308.52999999999997</c:v>
                </c:pt>
                <c:pt idx="500">
                  <c:v>308.02999999999997</c:v>
                </c:pt>
                <c:pt idx="501">
                  <c:v>305.63</c:v>
                </c:pt>
                <c:pt idx="502">
                  <c:v>303.26</c:v>
                </c:pt>
                <c:pt idx="503">
                  <c:v>299.86</c:v>
                </c:pt>
                <c:pt idx="504">
                  <c:v>302.77</c:v>
                </c:pt>
                <c:pt idx="505">
                  <c:v>304.16000000000003</c:v>
                </c:pt>
                <c:pt idx="506">
                  <c:v>308.88</c:v>
                </c:pt>
                <c:pt idx="507">
                  <c:v>307.32</c:v>
                </c:pt>
                <c:pt idx="508">
                  <c:v>306.75</c:v>
                </c:pt>
                <c:pt idx="509">
                  <c:v>309.44</c:v>
                </c:pt>
                <c:pt idx="510">
                  <c:v>308.13</c:v>
                </c:pt>
                <c:pt idx="511">
                  <c:v>308.62</c:v>
                </c:pt>
                <c:pt idx="512">
                  <c:v>307.43</c:v>
                </c:pt>
                <c:pt idx="513">
                  <c:v>302.83999999999997</c:v>
                </c:pt>
                <c:pt idx="514">
                  <c:v>305.69</c:v>
                </c:pt>
                <c:pt idx="515">
                  <c:v>306.02999999999997</c:v>
                </c:pt>
                <c:pt idx="516">
                  <c:v>309.25</c:v>
                </c:pt>
                <c:pt idx="517">
                  <c:v>312.95</c:v>
                </c:pt>
                <c:pt idx="518">
                  <c:v>314.13</c:v>
                </c:pt>
                <c:pt idx="519">
                  <c:v>312.8</c:v>
                </c:pt>
                <c:pt idx="520">
                  <c:v>315.51</c:v>
                </c:pt>
                <c:pt idx="521">
                  <c:v>315</c:v>
                </c:pt>
                <c:pt idx="522">
                  <c:v>318.52999999999997</c:v>
                </c:pt>
                <c:pt idx="523">
                  <c:v>319.48</c:v>
                </c:pt>
                <c:pt idx="524">
                  <c:v>323.69</c:v>
                </c:pt>
                <c:pt idx="525">
                  <c:v>323.48</c:v>
                </c:pt>
                <c:pt idx="526">
                  <c:v>327.16000000000003</c:v>
                </c:pt>
                <c:pt idx="527">
                  <c:v>325.60000000000002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D-4DA4-AE3D-3357A097D20D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Data!$F$2:$F$529</c:f>
              <c:numCache>
                <c:formatCode>General</c:formatCode>
                <c:ptCount val="528"/>
                <c:pt idx="0">
                  <c:v>297.04000000000002</c:v>
                </c:pt>
                <c:pt idx="1">
                  <c:v>295.95009459936063</c:v>
                </c:pt>
                <c:pt idx="2">
                  <c:v>294.35589825540541</c:v>
                </c:pt>
                <c:pt idx="3">
                  <c:v>293.18359163674603</c:v>
                </c:pt>
                <c:pt idx="4">
                  <c:v>292.97091739912975</c:v>
                </c:pt>
                <c:pt idx="5">
                  <c:v>292.75181729636557</c:v>
                </c:pt>
                <c:pt idx="6">
                  <c:v>292.87941458069139</c:v>
                </c:pt>
                <c:pt idx="7">
                  <c:v>292.9829845524672</c:v>
                </c:pt>
                <c:pt idx="8">
                  <c:v>293.01410999788868</c:v>
                </c:pt>
                <c:pt idx="9">
                  <c:v>292.82883012559324</c:v>
                </c:pt>
                <c:pt idx="10">
                  <c:v>292.7231008462208</c:v>
                </c:pt>
                <c:pt idx="11">
                  <c:v>292.83028867533915</c:v>
                </c:pt>
                <c:pt idx="12">
                  <c:v>293.68776446267555</c:v>
                </c:pt>
                <c:pt idx="13">
                  <c:v>294.05830820913104</c:v>
                </c:pt>
                <c:pt idx="14">
                  <c:v>294.31765158167349</c:v>
                </c:pt>
                <c:pt idx="15">
                  <c:v>294.74020530834554</c:v>
                </c:pt>
                <c:pt idx="16">
                  <c:v>294.90012316136637</c:v>
                </c:pt>
                <c:pt idx="17">
                  <c:v>294.69401731643785</c:v>
                </c:pt>
                <c:pt idx="18">
                  <c:v>294.53326633201794</c:v>
                </c:pt>
                <c:pt idx="19">
                  <c:v>294.53814813470996</c:v>
                </c:pt>
                <c:pt idx="20">
                  <c:v>294.43913728702825</c:v>
                </c:pt>
                <c:pt idx="21">
                  <c:v>294.62225221523272</c:v>
                </c:pt>
                <c:pt idx="22">
                  <c:v>294.75769870045508</c:v>
                </c:pt>
                <c:pt idx="23">
                  <c:v>293.91184178839103</c:v>
                </c:pt>
                <c:pt idx="24">
                  <c:v>293.26358068237272</c:v>
                </c:pt>
                <c:pt idx="25">
                  <c:v>292.99889071936758</c:v>
                </c:pt>
                <c:pt idx="26">
                  <c:v>292.94610656401608</c:v>
                </c:pt>
                <c:pt idx="27">
                  <c:v>292.82650544908154</c:v>
                </c:pt>
                <c:pt idx="28">
                  <c:v>292.74464855416704</c:v>
                </c:pt>
                <c:pt idx="29">
                  <c:v>292.59198604907311</c:v>
                </c:pt>
                <c:pt idx="30">
                  <c:v>292.50090828612923</c:v>
                </c:pt>
                <c:pt idx="31">
                  <c:v>292.48642422624295</c:v>
                </c:pt>
                <c:pt idx="32">
                  <c:v>292.47429384168913</c:v>
                </c:pt>
                <c:pt idx="33">
                  <c:v>292.47786565884803</c:v>
                </c:pt>
                <c:pt idx="34">
                  <c:v>292.50408270231458</c:v>
                </c:pt>
                <c:pt idx="35">
                  <c:v>292.59626977170575</c:v>
                </c:pt>
                <c:pt idx="36">
                  <c:v>292.69167681907788</c:v>
                </c:pt>
                <c:pt idx="37">
                  <c:v>292.78635599155723</c:v>
                </c:pt>
                <c:pt idx="38">
                  <c:v>292.80839412409767</c:v>
                </c:pt>
                <c:pt idx="39">
                  <c:v>292.8555212479713</c:v>
                </c:pt>
                <c:pt idx="40">
                  <c:v>292.83961342771505</c:v>
                </c:pt>
                <c:pt idx="41">
                  <c:v>292.79169216615418</c:v>
                </c:pt>
                <c:pt idx="42">
                  <c:v>292.75318149519404</c:v>
                </c:pt>
                <c:pt idx="43">
                  <c:v>292.74863164791458</c:v>
                </c:pt>
                <c:pt idx="44">
                  <c:v>292.75164142040614</c:v>
                </c:pt>
                <c:pt idx="45">
                  <c:v>292.72608196415501</c:v>
                </c:pt>
                <c:pt idx="46">
                  <c:v>292.72309242495231</c:v>
                </c:pt>
                <c:pt idx="47">
                  <c:v>292.7637832574195</c:v>
                </c:pt>
                <c:pt idx="48">
                  <c:v>292.78659908010746</c:v>
                </c:pt>
                <c:pt idx="49">
                  <c:v>292.44207356075367</c:v>
                </c:pt>
                <c:pt idx="50">
                  <c:v>292.13290361404211</c:v>
                </c:pt>
                <c:pt idx="51">
                  <c:v>291.73714900040574</c:v>
                </c:pt>
                <c:pt idx="52">
                  <c:v>291.47997829120607</c:v>
                </c:pt>
                <c:pt idx="53">
                  <c:v>291.27917063788192</c:v>
                </c:pt>
                <c:pt idx="54">
                  <c:v>291.1683846205205</c:v>
                </c:pt>
                <c:pt idx="55">
                  <c:v>291.01369932913701</c:v>
                </c:pt>
                <c:pt idx="56">
                  <c:v>290.8965611532887</c:v>
                </c:pt>
                <c:pt idx="57">
                  <c:v>290.69945188417296</c:v>
                </c:pt>
                <c:pt idx="58">
                  <c:v>290.53464310469479</c:v>
                </c:pt>
                <c:pt idx="59">
                  <c:v>290.41858797173694</c:v>
                </c:pt>
                <c:pt idx="60">
                  <c:v>290.26825460003124</c:v>
                </c:pt>
                <c:pt idx="61">
                  <c:v>290.14538042736029</c:v>
                </c:pt>
                <c:pt idx="62">
                  <c:v>289.96491476828601</c:v>
                </c:pt>
                <c:pt idx="63">
                  <c:v>289.76929979001346</c:v>
                </c:pt>
                <c:pt idx="64">
                  <c:v>289.37947889566328</c:v>
                </c:pt>
                <c:pt idx="65">
                  <c:v>288.65528485666675</c:v>
                </c:pt>
                <c:pt idx="66">
                  <c:v>288.29093392730647</c:v>
                </c:pt>
                <c:pt idx="67">
                  <c:v>287.95563580310449</c:v>
                </c:pt>
                <c:pt idx="68">
                  <c:v>287.62850888058665</c:v>
                </c:pt>
                <c:pt idx="69">
                  <c:v>287.41809244432676</c:v>
                </c:pt>
                <c:pt idx="70">
                  <c:v>287.18251995780224</c:v>
                </c:pt>
                <c:pt idx="71">
                  <c:v>286.85235373091353</c:v>
                </c:pt>
                <c:pt idx="72">
                  <c:v>286.58893321304333</c:v>
                </c:pt>
                <c:pt idx="73">
                  <c:v>286.35464768681078</c:v>
                </c:pt>
                <c:pt idx="74">
                  <c:v>286.13995193987887</c:v>
                </c:pt>
                <c:pt idx="75">
                  <c:v>285.96689150409293</c:v>
                </c:pt>
                <c:pt idx="76">
                  <c:v>285.836775611549</c:v>
                </c:pt>
                <c:pt idx="77">
                  <c:v>285.72085141093396</c:v>
                </c:pt>
                <c:pt idx="78">
                  <c:v>285.57881952193372</c:v>
                </c:pt>
                <c:pt idx="79">
                  <c:v>285.41922491143862</c:v>
                </c:pt>
                <c:pt idx="80">
                  <c:v>285.25002456211791</c:v>
                </c:pt>
                <c:pt idx="81">
                  <c:v>285.11094191091456</c:v>
                </c:pt>
                <c:pt idx="82">
                  <c:v>284.80838667206081</c:v>
                </c:pt>
                <c:pt idx="83">
                  <c:v>284.62879668881232</c:v>
                </c:pt>
                <c:pt idx="84">
                  <c:v>284.50512013450066</c:v>
                </c:pt>
                <c:pt idx="85">
                  <c:v>284.37389547218595</c:v>
                </c:pt>
                <c:pt idx="86">
                  <c:v>284.24407366063593</c:v>
                </c:pt>
                <c:pt idx="87">
                  <c:v>284.06241715159047</c:v>
                </c:pt>
                <c:pt idx="88">
                  <c:v>283.89006438084942</c:v>
                </c:pt>
                <c:pt idx="89">
                  <c:v>283.72192305990512</c:v>
                </c:pt>
                <c:pt idx="90">
                  <c:v>283.57830914824154</c:v>
                </c:pt>
                <c:pt idx="91">
                  <c:v>283.42470221679025</c:v>
                </c:pt>
                <c:pt idx="92">
                  <c:v>283.29512470536685</c:v>
                </c:pt>
                <c:pt idx="93">
                  <c:v>283.205203123361</c:v>
                </c:pt>
                <c:pt idx="94">
                  <c:v>283.13317736026255</c:v>
                </c:pt>
                <c:pt idx="95">
                  <c:v>283.05002374266144</c:v>
                </c:pt>
                <c:pt idx="96">
                  <c:v>282.92428820658932</c:v>
                </c:pt>
                <c:pt idx="97">
                  <c:v>282.79932511590238</c:v>
                </c:pt>
                <c:pt idx="98">
                  <c:v>282.69924744536866</c:v>
                </c:pt>
                <c:pt idx="99">
                  <c:v>282.27617209074737</c:v>
                </c:pt>
                <c:pt idx="100">
                  <c:v>282.03093539630498</c:v>
                </c:pt>
                <c:pt idx="101">
                  <c:v>281.6660481867176</c:v>
                </c:pt>
                <c:pt idx="102">
                  <c:v>281.28522578158731</c:v>
                </c:pt>
                <c:pt idx="103">
                  <c:v>280.98066480148026</c:v>
                </c:pt>
                <c:pt idx="104">
                  <c:v>280.5956323552881</c:v>
                </c:pt>
                <c:pt idx="105">
                  <c:v>280.34118240278309</c:v>
                </c:pt>
                <c:pt idx="106">
                  <c:v>280.11661038605445</c:v>
                </c:pt>
                <c:pt idx="107">
                  <c:v>279.88819200819887</c:v>
                </c:pt>
                <c:pt idx="108">
                  <c:v>279.71341112639851</c:v>
                </c:pt>
                <c:pt idx="109">
                  <c:v>279.56799854431284</c:v>
                </c:pt>
                <c:pt idx="110">
                  <c:v>279.37001571164592</c:v>
                </c:pt>
                <c:pt idx="111">
                  <c:v>279.18776191366169</c:v>
                </c:pt>
                <c:pt idx="112">
                  <c:v>278.98108716591395</c:v>
                </c:pt>
                <c:pt idx="113">
                  <c:v>278.77245895081472</c:v>
                </c:pt>
                <c:pt idx="114">
                  <c:v>278.58875361492761</c:v>
                </c:pt>
                <c:pt idx="115">
                  <c:v>278.4247878623766</c:v>
                </c:pt>
                <c:pt idx="116">
                  <c:v>278.2155051665207</c:v>
                </c:pt>
                <c:pt idx="117">
                  <c:v>277.96501188538599</c:v>
                </c:pt>
                <c:pt idx="118">
                  <c:v>277.57645835589341</c:v>
                </c:pt>
                <c:pt idx="119">
                  <c:v>277.41151986049107</c:v>
                </c:pt>
                <c:pt idx="120">
                  <c:v>277.20426853754498</c:v>
                </c:pt>
                <c:pt idx="121">
                  <c:v>277.07335150036681</c:v>
                </c:pt>
                <c:pt idx="122">
                  <c:v>276.95301582098347</c:v>
                </c:pt>
                <c:pt idx="123">
                  <c:v>276.4873263995014</c:v>
                </c:pt>
                <c:pt idx="124">
                  <c:v>276.25165192183454</c:v>
                </c:pt>
                <c:pt idx="125">
                  <c:v>275.99244684567401</c:v>
                </c:pt>
                <c:pt idx="126">
                  <c:v>275.8714359508167</c:v>
                </c:pt>
                <c:pt idx="127">
                  <c:v>275.71220698211522</c:v>
                </c:pt>
                <c:pt idx="128">
                  <c:v>275.51239138250133</c:v>
                </c:pt>
                <c:pt idx="129">
                  <c:v>275.18420923229104</c:v>
                </c:pt>
                <c:pt idx="130">
                  <c:v>274.95971065305724</c:v>
                </c:pt>
                <c:pt idx="131">
                  <c:v>274.71428183048135</c:v>
                </c:pt>
                <c:pt idx="132">
                  <c:v>274.50884339108643</c:v>
                </c:pt>
                <c:pt idx="133">
                  <c:v>274.34066234519202</c:v>
                </c:pt>
                <c:pt idx="134">
                  <c:v>274.18840029544577</c:v>
                </c:pt>
                <c:pt idx="135">
                  <c:v>274.08459779773386</c:v>
                </c:pt>
                <c:pt idx="136">
                  <c:v>273.97967209310906</c:v>
                </c:pt>
                <c:pt idx="137">
                  <c:v>273.8585362420265</c:v>
                </c:pt>
                <c:pt idx="138">
                  <c:v>273.7764259330109</c:v>
                </c:pt>
                <c:pt idx="139">
                  <c:v>273.66826130486703</c:v>
                </c:pt>
                <c:pt idx="140">
                  <c:v>273.42032656982377</c:v>
                </c:pt>
                <c:pt idx="141">
                  <c:v>273.27235357568316</c:v>
                </c:pt>
                <c:pt idx="142">
                  <c:v>273.10108519378622</c:v>
                </c:pt>
                <c:pt idx="143">
                  <c:v>272.88476133503036</c:v>
                </c:pt>
                <c:pt idx="144">
                  <c:v>272.82256046343514</c:v>
                </c:pt>
                <c:pt idx="145">
                  <c:v>272.75566011927259</c:v>
                </c:pt>
                <c:pt idx="146">
                  <c:v>272.71771626103106</c:v>
                </c:pt>
                <c:pt idx="147">
                  <c:v>272.78947137010056</c:v>
                </c:pt>
                <c:pt idx="148">
                  <c:v>272.73460926963998</c:v>
                </c:pt>
                <c:pt idx="149">
                  <c:v>272.71794659288565</c:v>
                </c:pt>
                <c:pt idx="150">
                  <c:v>272.69617521558217</c:v>
                </c:pt>
                <c:pt idx="151">
                  <c:v>272.68729863988636</c:v>
                </c:pt>
                <c:pt idx="152">
                  <c:v>272.66416251077192</c:v>
                </c:pt>
                <c:pt idx="153">
                  <c:v>272.64674162382215</c:v>
                </c:pt>
                <c:pt idx="154">
                  <c:v>272.63579681555342</c:v>
                </c:pt>
                <c:pt idx="155">
                  <c:v>272.62982786371708</c:v>
                </c:pt>
                <c:pt idx="156">
                  <c:v>272.63959971184829</c:v>
                </c:pt>
                <c:pt idx="157">
                  <c:v>272.67369709013639</c:v>
                </c:pt>
                <c:pt idx="158">
                  <c:v>272.8114199237923</c:v>
                </c:pt>
                <c:pt idx="159">
                  <c:v>272.89416663428551</c:v>
                </c:pt>
                <c:pt idx="160">
                  <c:v>272.97266307118002</c:v>
                </c:pt>
                <c:pt idx="161">
                  <c:v>273.02178638597059</c:v>
                </c:pt>
                <c:pt idx="162">
                  <c:v>273.08289233939354</c:v>
                </c:pt>
                <c:pt idx="163">
                  <c:v>273.1370423861037</c:v>
                </c:pt>
                <c:pt idx="164">
                  <c:v>273.21888055449807</c:v>
                </c:pt>
                <c:pt idx="165">
                  <c:v>273.28024137582725</c:v>
                </c:pt>
                <c:pt idx="166">
                  <c:v>273.32475093292919</c:v>
                </c:pt>
                <c:pt idx="167">
                  <c:v>273.39033530963923</c:v>
                </c:pt>
                <c:pt idx="168">
                  <c:v>273.44959704673352</c:v>
                </c:pt>
                <c:pt idx="169">
                  <c:v>273.51211435811956</c:v>
                </c:pt>
                <c:pt idx="170">
                  <c:v>273.57033319304782</c:v>
                </c:pt>
                <c:pt idx="171">
                  <c:v>273.67246658508202</c:v>
                </c:pt>
                <c:pt idx="172">
                  <c:v>273.76571930025642</c:v>
                </c:pt>
                <c:pt idx="173">
                  <c:v>273.8375305488704</c:v>
                </c:pt>
                <c:pt idx="174">
                  <c:v>273.91119481088856</c:v>
                </c:pt>
                <c:pt idx="175">
                  <c:v>273.97953893140925</c:v>
                </c:pt>
                <c:pt idx="176">
                  <c:v>274.06029094634437</c:v>
                </c:pt>
                <c:pt idx="177">
                  <c:v>274.16693326072607</c:v>
                </c:pt>
                <c:pt idx="178">
                  <c:v>274.26133344535367</c:v>
                </c:pt>
                <c:pt idx="179">
                  <c:v>274.31229026566194</c:v>
                </c:pt>
                <c:pt idx="180">
                  <c:v>274.3831945898205</c:v>
                </c:pt>
                <c:pt idx="181">
                  <c:v>274.58990671718789</c:v>
                </c:pt>
                <c:pt idx="182">
                  <c:v>274.67915399188092</c:v>
                </c:pt>
                <c:pt idx="183">
                  <c:v>274.77598828253468</c:v>
                </c:pt>
                <c:pt idx="184">
                  <c:v>274.85592881616878</c:v>
                </c:pt>
                <c:pt idx="185">
                  <c:v>274.9445593876053</c:v>
                </c:pt>
                <c:pt idx="186">
                  <c:v>275.09650681896153</c:v>
                </c:pt>
                <c:pt idx="187">
                  <c:v>275.20062608540911</c:v>
                </c:pt>
                <c:pt idx="188">
                  <c:v>275.33056531408482</c:v>
                </c:pt>
                <c:pt idx="189">
                  <c:v>275.4332253131102</c:v>
                </c:pt>
                <c:pt idx="190">
                  <c:v>275.51053311064464</c:v>
                </c:pt>
                <c:pt idx="191">
                  <c:v>275.61533955283551</c:v>
                </c:pt>
                <c:pt idx="192">
                  <c:v>275.69558683184886</c:v>
                </c:pt>
                <c:pt idx="193">
                  <c:v>275.7765386720933</c:v>
                </c:pt>
                <c:pt idx="194">
                  <c:v>275.85515047410308</c:v>
                </c:pt>
                <c:pt idx="195">
                  <c:v>275.92905052254389</c:v>
                </c:pt>
                <c:pt idx="196">
                  <c:v>276.00676153678739</c:v>
                </c:pt>
                <c:pt idx="197">
                  <c:v>276.12719637474561</c:v>
                </c:pt>
                <c:pt idx="198">
                  <c:v>276.2973862072912</c:v>
                </c:pt>
                <c:pt idx="199">
                  <c:v>276.39658625943628</c:v>
                </c:pt>
                <c:pt idx="200">
                  <c:v>276.57208233415469</c:v>
                </c:pt>
                <c:pt idx="201">
                  <c:v>276.72135244829923</c:v>
                </c:pt>
                <c:pt idx="202">
                  <c:v>276.85619670836257</c:v>
                </c:pt>
                <c:pt idx="203">
                  <c:v>277.18081187879505</c:v>
                </c:pt>
                <c:pt idx="204">
                  <c:v>277.75081137259224</c:v>
                </c:pt>
                <c:pt idx="205">
                  <c:v>277.9359821435778</c:v>
                </c:pt>
                <c:pt idx="206">
                  <c:v>278.11673236020431</c:v>
                </c:pt>
                <c:pt idx="207">
                  <c:v>278.28787983128495</c:v>
                </c:pt>
                <c:pt idx="208">
                  <c:v>278.4935573926698</c:v>
                </c:pt>
                <c:pt idx="209">
                  <c:v>278.58021504702464</c:v>
                </c:pt>
                <c:pt idx="210">
                  <c:v>278.65795298073346</c:v>
                </c:pt>
                <c:pt idx="211">
                  <c:v>278.74931109148736</c:v>
                </c:pt>
                <c:pt idx="212">
                  <c:v>278.79779898951875</c:v>
                </c:pt>
                <c:pt idx="213">
                  <c:v>278.87226352195404</c:v>
                </c:pt>
                <c:pt idx="214">
                  <c:v>278.96489006615388</c:v>
                </c:pt>
                <c:pt idx="215">
                  <c:v>279.03402381834991</c:v>
                </c:pt>
                <c:pt idx="216">
                  <c:v>279.11942772112104</c:v>
                </c:pt>
                <c:pt idx="217">
                  <c:v>279.20320736037536</c:v>
                </c:pt>
                <c:pt idx="218">
                  <c:v>279.26509872531642</c:v>
                </c:pt>
                <c:pt idx="219">
                  <c:v>279.31953299389335</c:v>
                </c:pt>
                <c:pt idx="220">
                  <c:v>279.36750686045747</c:v>
                </c:pt>
                <c:pt idx="221">
                  <c:v>279.43626826713194</c:v>
                </c:pt>
                <c:pt idx="222">
                  <c:v>279.47901847958281</c:v>
                </c:pt>
                <c:pt idx="223">
                  <c:v>279.51277504467669</c:v>
                </c:pt>
                <c:pt idx="224">
                  <c:v>279.54934852320486</c:v>
                </c:pt>
                <c:pt idx="225">
                  <c:v>279.59980236941618</c:v>
                </c:pt>
                <c:pt idx="226">
                  <c:v>279.63851865475004</c:v>
                </c:pt>
                <c:pt idx="227">
                  <c:v>279.74251685070027</c:v>
                </c:pt>
                <c:pt idx="228">
                  <c:v>279.78917202011883</c:v>
                </c:pt>
                <c:pt idx="229">
                  <c:v>279.83179302023854</c:v>
                </c:pt>
                <c:pt idx="230">
                  <c:v>279.86505612730224</c:v>
                </c:pt>
                <c:pt idx="231">
                  <c:v>279.91404963596699</c:v>
                </c:pt>
                <c:pt idx="232">
                  <c:v>279.96852443308813</c:v>
                </c:pt>
                <c:pt idx="233">
                  <c:v>280.03794442305491</c:v>
                </c:pt>
                <c:pt idx="234">
                  <c:v>280.09959299975588</c:v>
                </c:pt>
                <c:pt idx="235">
                  <c:v>280.19510612096411</c:v>
                </c:pt>
                <c:pt idx="236">
                  <c:v>280.25653848580271</c:v>
                </c:pt>
                <c:pt idx="237">
                  <c:v>280.34356623726546</c:v>
                </c:pt>
                <c:pt idx="238">
                  <c:v>280.40116085737128</c:v>
                </c:pt>
                <c:pt idx="239">
                  <c:v>280.44091501753155</c:v>
                </c:pt>
                <c:pt idx="240">
                  <c:v>280.49018306704068</c:v>
                </c:pt>
                <c:pt idx="241">
                  <c:v>280.5554683794835</c:v>
                </c:pt>
                <c:pt idx="242">
                  <c:v>280.61623107265081</c:v>
                </c:pt>
                <c:pt idx="243">
                  <c:v>280.66235109896286</c:v>
                </c:pt>
                <c:pt idx="244">
                  <c:v>280.70108646620832</c:v>
                </c:pt>
                <c:pt idx="245">
                  <c:v>280.80840720056221</c:v>
                </c:pt>
                <c:pt idx="246">
                  <c:v>280.83880025747879</c:v>
                </c:pt>
                <c:pt idx="247">
                  <c:v>280.86111712360406</c:v>
                </c:pt>
                <c:pt idx="248">
                  <c:v>280.88430058709969</c:v>
                </c:pt>
                <c:pt idx="249">
                  <c:v>280.90814163624816</c:v>
                </c:pt>
                <c:pt idx="250">
                  <c:v>280.92758104543896</c:v>
                </c:pt>
                <c:pt idx="251">
                  <c:v>280.94736619201859</c:v>
                </c:pt>
                <c:pt idx="252">
                  <c:v>280.98876281624285</c:v>
                </c:pt>
                <c:pt idx="253">
                  <c:v>281.02414465628272</c:v>
                </c:pt>
                <c:pt idx="254">
                  <c:v>281.06029631954556</c:v>
                </c:pt>
                <c:pt idx="255">
                  <c:v>281.09248843057856</c:v>
                </c:pt>
                <c:pt idx="256">
                  <c:v>281.11042201130971</c:v>
                </c:pt>
                <c:pt idx="257">
                  <c:v>281.11576375173041</c:v>
                </c:pt>
                <c:pt idx="258">
                  <c:v>281.1253575768024</c:v>
                </c:pt>
                <c:pt idx="259">
                  <c:v>281.12649900198329</c:v>
                </c:pt>
                <c:pt idx="260">
                  <c:v>281.13026066602663</c:v>
                </c:pt>
                <c:pt idx="261">
                  <c:v>281.12499144397964</c:v>
                </c:pt>
                <c:pt idx="262">
                  <c:v>281.12434829229431</c:v>
                </c:pt>
                <c:pt idx="263">
                  <c:v>281.13068104826266</c:v>
                </c:pt>
                <c:pt idx="264">
                  <c:v>281.13156437799938</c:v>
                </c:pt>
                <c:pt idx="265">
                  <c:v>281.13981594964775</c:v>
                </c:pt>
                <c:pt idx="266">
                  <c:v>281.15174740267128</c:v>
                </c:pt>
                <c:pt idx="267">
                  <c:v>281.20822530348687</c:v>
                </c:pt>
                <c:pt idx="268">
                  <c:v>281.24254833694141</c:v>
                </c:pt>
                <c:pt idx="269">
                  <c:v>281.26519094530551</c:v>
                </c:pt>
                <c:pt idx="270">
                  <c:v>281.2859785494158</c:v>
                </c:pt>
                <c:pt idx="271">
                  <c:v>281.30640193430355</c:v>
                </c:pt>
                <c:pt idx="272">
                  <c:v>281.33502929269548</c:v>
                </c:pt>
                <c:pt idx="273">
                  <c:v>281.36190775869454</c:v>
                </c:pt>
                <c:pt idx="274">
                  <c:v>281.38075007665947</c:v>
                </c:pt>
                <c:pt idx="275">
                  <c:v>281.43030778795065</c:v>
                </c:pt>
                <c:pt idx="276">
                  <c:v>281.46930946978955</c:v>
                </c:pt>
                <c:pt idx="277">
                  <c:v>281.69746540516047</c:v>
                </c:pt>
                <c:pt idx="278">
                  <c:v>281.82224534095843</c:v>
                </c:pt>
                <c:pt idx="279">
                  <c:v>281.90589788633679</c:v>
                </c:pt>
                <c:pt idx="280">
                  <c:v>281.99645668224855</c:v>
                </c:pt>
                <c:pt idx="281">
                  <c:v>282.07010719804776</c:v>
                </c:pt>
                <c:pt idx="282">
                  <c:v>282.14933432408617</c:v>
                </c:pt>
                <c:pt idx="283">
                  <c:v>282.21032097708604</c:v>
                </c:pt>
                <c:pt idx="284">
                  <c:v>282.27496550488519</c:v>
                </c:pt>
                <c:pt idx="285">
                  <c:v>282.34503538865317</c:v>
                </c:pt>
                <c:pt idx="286">
                  <c:v>282.43248671737962</c:v>
                </c:pt>
                <c:pt idx="287">
                  <c:v>282.54437031177702</c:v>
                </c:pt>
                <c:pt idx="288">
                  <c:v>282.6354229340584</c:v>
                </c:pt>
                <c:pt idx="289">
                  <c:v>282.72774110471795</c:v>
                </c:pt>
                <c:pt idx="290">
                  <c:v>282.85552224320077</c:v>
                </c:pt>
                <c:pt idx="291">
                  <c:v>282.94915688547218</c:v>
                </c:pt>
                <c:pt idx="292">
                  <c:v>283.03898478452896</c:v>
                </c:pt>
                <c:pt idx="293">
                  <c:v>283.09540469385195</c:v>
                </c:pt>
                <c:pt idx="294">
                  <c:v>283.17520299145815</c:v>
                </c:pt>
                <c:pt idx="295">
                  <c:v>283.46015565510129</c:v>
                </c:pt>
                <c:pt idx="296">
                  <c:v>283.61575616332675</c:v>
                </c:pt>
                <c:pt idx="297">
                  <c:v>283.71748269806398</c:v>
                </c:pt>
                <c:pt idx="298">
                  <c:v>283.78661204271521</c:v>
                </c:pt>
                <c:pt idx="299">
                  <c:v>283.84195253668008</c:v>
                </c:pt>
                <c:pt idx="300">
                  <c:v>283.88348441063596</c:v>
                </c:pt>
                <c:pt idx="301">
                  <c:v>283.93671409154496</c:v>
                </c:pt>
                <c:pt idx="302">
                  <c:v>283.98260967143511</c:v>
                </c:pt>
                <c:pt idx="303">
                  <c:v>284.04426411559393</c:v>
                </c:pt>
                <c:pt idx="304">
                  <c:v>284.10386597241325</c:v>
                </c:pt>
                <c:pt idx="305">
                  <c:v>284.22553864925055</c:v>
                </c:pt>
                <c:pt idx="306">
                  <c:v>284.295307391645</c:v>
                </c:pt>
                <c:pt idx="307">
                  <c:v>284.35196488643692</c:v>
                </c:pt>
                <c:pt idx="308">
                  <c:v>284.42409404356579</c:v>
                </c:pt>
                <c:pt idx="309">
                  <c:v>284.50674580675741</c:v>
                </c:pt>
                <c:pt idx="310">
                  <c:v>284.57453310462046</c:v>
                </c:pt>
                <c:pt idx="311">
                  <c:v>284.68884612966707</c:v>
                </c:pt>
                <c:pt idx="312">
                  <c:v>284.75365528149376</c:v>
                </c:pt>
                <c:pt idx="313">
                  <c:v>284.82265100281745</c:v>
                </c:pt>
                <c:pt idx="314">
                  <c:v>285.0388450944053</c:v>
                </c:pt>
                <c:pt idx="315">
                  <c:v>285.16033844256282</c:v>
                </c:pt>
                <c:pt idx="316">
                  <c:v>285.26349076521609</c:v>
                </c:pt>
                <c:pt idx="317">
                  <c:v>285.33656729124021</c:v>
                </c:pt>
                <c:pt idx="318">
                  <c:v>285.47437363480418</c:v>
                </c:pt>
                <c:pt idx="319">
                  <c:v>285.58913640117584</c:v>
                </c:pt>
                <c:pt idx="320">
                  <c:v>285.6848689668571</c:v>
                </c:pt>
                <c:pt idx="321">
                  <c:v>285.79411971169748</c:v>
                </c:pt>
                <c:pt idx="322">
                  <c:v>285.86236589281765</c:v>
                </c:pt>
                <c:pt idx="323">
                  <c:v>285.92567028489043</c:v>
                </c:pt>
                <c:pt idx="324">
                  <c:v>285.98638321857021</c:v>
                </c:pt>
                <c:pt idx="325">
                  <c:v>286.039486058629</c:v>
                </c:pt>
                <c:pt idx="326">
                  <c:v>286.16047049861902</c:v>
                </c:pt>
                <c:pt idx="327">
                  <c:v>286.25065561357195</c:v>
                </c:pt>
                <c:pt idx="328">
                  <c:v>286.31510968722864</c:v>
                </c:pt>
                <c:pt idx="329">
                  <c:v>286.37524302731873</c:v>
                </c:pt>
                <c:pt idx="330">
                  <c:v>286.4430196738503</c:v>
                </c:pt>
                <c:pt idx="331">
                  <c:v>286.51949987629621</c:v>
                </c:pt>
                <c:pt idx="332">
                  <c:v>286.67754587409291</c:v>
                </c:pt>
                <c:pt idx="333">
                  <c:v>286.79690591522456</c:v>
                </c:pt>
                <c:pt idx="334">
                  <c:v>286.88240313736105</c:v>
                </c:pt>
                <c:pt idx="335">
                  <c:v>286.96883542967947</c:v>
                </c:pt>
                <c:pt idx="336">
                  <c:v>287.03675079355645</c:v>
                </c:pt>
                <c:pt idx="337">
                  <c:v>287.10830803582735</c:v>
                </c:pt>
                <c:pt idx="338">
                  <c:v>287.15569174370211</c:v>
                </c:pt>
                <c:pt idx="339">
                  <c:v>287.19848691596053</c:v>
                </c:pt>
                <c:pt idx="340">
                  <c:v>287.28424643825178</c:v>
                </c:pt>
                <c:pt idx="341">
                  <c:v>287.33828077497202</c:v>
                </c:pt>
                <c:pt idx="342">
                  <c:v>287.38297958642369</c:v>
                </c:pt>
                <c:pt idx="343">
                  <c:v>287.44903507899818</c:v>
                </c:pt>
                <c:pt idx="344">
                  <c:v>287.51728872075194</c:v>
                </c:pt>
                <c:pt idx="345">
                  <c:v>287.59408423434127</c:v>
                </c:pt>
                <c:pt idx="346">
                  <c:v>287.64830035250839</c:v>
                </c:pt>
                <c:pt idx="347">
                  <c:v>287.70503536752767</c:v>
                </c:pt>
                <c:pt idx="348">
                  <c:v>287.76294197687793</c:v>
                </c:pt>
                <c:pt idx="349">
                  <c:v>287.82247248293709</c:v>
                </c:pt>
                <c:pt idx="350">
                  <c:v>287.87870454266829</c:v>
                </c:pt>
                <c:pt idx="351">
                  <c:v>287.91827486601613</c:v>
                </c:pt>
                <c:pt idx="352">
                  <c:v>287.96229084129408</c:v>
                </c:pt>
                <c:pt idx="353">
                  <c:v>288.04798853084174</c:v>
                </c:pt>
                <c:pt idx="354">
                  <c:v>288.09960032898471</c:v>
                </c:pt>
                <c:pt idx="355">
                  <c:v>288.15925921312083</c:v>
                </c:pt>
                <c:pt idx="356">
                  <c:v>288.1984894113383</c:v>
                </c:pt>
                <c:pt idx="357">
                  <c:v>288.26252421953194</c:v>
                </c:pt>
                <c:pt idx="358">
                  <c:v>288.3028708413251</c:v>
                </c:pt>
                <c:pt idx="359">
                  <c:v>288.35657855601511</c:v>
                </c:pt>
                <c:pt idx="360">
                  <c:v>288.40195458214521</c:v>
                </c:pt>
                <c:pt idx="361">
                  <c:v>288.43714843438295</c:v>
                </c:pt>
                <c:pt idx="362">
                  <c:v>288.46744344337736</c:v>
                </c:pt>
                <c:pt idx="363">
                  <c:v>288.4934585786271</c:v>
                </c:pt>
                <c:pt idx="364">
                  <c:v>288.5184408223916</c:v>
                </c:pt>
                <c:pt idx="365">
                  <c:v>288.52856084588592</c:v>
                </c:pt>
                <c:pt idx="366">
                  <c:v>288.53203754447122</c:v>
                </c:pt>
                <c:pt idx="367">
                  <c:v>288.52609000511325</c:v>
                </c:pt>
                <c:pt idx="368">
                  <c:v>288.53009942123788</c:v>
                </c:pt>
                <c:pt idx="369">
                  <c:v>288.54029265898049</c:v>
                </c:pt>
                <c:pt idx="370">
                  <c:v>288.53042556212642</c:v>
                </c:pt>
                <c:pt idx="371">
                  <c:v>288.51844420723836</c:v>
                </c:pt>
                <c:pt idx="372">
                  <c:v>288.53570298070207</c:v>
                </c:pt>
                <c:pt idx="373">
                  <c:v>288.549739282519</c:v>
                </c:pt>
                <c:pt idx="374">
                  <c:v>288.58459047739427</c:v>
                </c:pt>
                <c:pt idx="375">
                  <c:v>288.60303716554102</c:v>
                </c:pt>
                <c:pt idx="376">
                  <c:v>288.61000430930545</c:v>
                </c:pt>
                <c:pt idx="377">
                  <c:v>288.62266411520932</c:v>
                </c:pt>
                <c:pt idx="378">
                  <c:v>288.62984188850493</c:v>
                </c:pt>
                <c:pt idx="379">
                  <c:v>288.64062757351456</c:v>
                </c:pt>
                <c:pt idx="380">
                  <c:v>288.67983691949007</c:v>
                </c:pt>
                <c:pt idx="381">
                  <c:v>288.71777203654477</c:v>
                </c:pt>
                <c:pt idx="382">
                  <c:v>288.77362668549489</c:v>
                </c:pt>
                <c:pt idx="383">
                  <c:v>288.79726449239536</c:v>
                </c:pt>
                <c:pt idx="384">
                  <c:v>288.81824305108114</c:v>
                </c:pt>
                <c:pt idx="385">
                  <c:v>288.84498799126965</c:v>
                </c:pt>
                <c:pt idx="386">
                  <c:v>288.86608298444133</c:v>
                </c:pt>
                <c:pt idx="387">
                  <c:v>288.88143115656067</c:v>
                </c:pt>
                <c:pt idx="388">
                  <c:v>288.90159985547473</c:v>
                </c:pt>
                <c:pt idx="389">
                  <c:v>288.91825810796843</c:v>
                </c:pt>
                <c:pt idx="390">
                  <c:v>288.93622683232383</c:v>
                </c:pt>
                <c:pt idx="391">
                  <c:v>288.95983656053346</c:v>
                </c:pt>
                <c:pt idx="392">
                  <c:v>288.98272438853172</c:v>
                </c:pt>
                <c:pt idx="393">
                  <c:v>289.01395759789375</c:v>
                </c:pt>
                <c:pt idx="394">
                  <c:v>289.04358415068725</c:v>
                </c:pt>
                <c:pt idx="395">
                  <c:v>289.07253861576442</c:v>
                </c:pt>
                <c:pt idx="396">
                  <c:v>289.1058030139431</c:v>
                </c:pt>
                <c:pt idx="397">
                  <c:v>289.15716573219061</c:v>
                </c:pt>
                <c:pt idx="398">
                  <c:v>289.18619621074401</c:v>
                </c:pt>
                <c:pt idx="399">
                  <c:v>289.27133637414812</c:v>
                </c:pt>
                <c:pt idx="400">
                  <c:v>289.31902433591898</c:v>
                </c:pt>
                <c:pt idx="401">
                  <c:v>289.34900346661357</c:v>
                </c:pt>
                <c:pt idx="402">
                  <c:v>289.37713117294089</c:v>
                </c:pt>
                <c:pt idx="403">
                  <c:v>289.40689946203736</c:v>
                </c:pt>
                <c:pt idx="404">
                  <c:v>289.43998047985002</c:v>
                </c:pt>
                <c:pt idx="405">
                  <c:v>289.50432993244692</c:v>
                </c:pt>
                <c:pt idx="406">
                  <c:v>289.5507998603631</c:v>
                </c:pt>
                <c:pt idx="407">
                  <c:v>289.59458158757468</c:v>
                </c:pt>
                <c:pt idx="408">
                  <c:v>289.63762097114437</c:v>
                </c:pt>
                <c:pt idx="409">
                  <c:v>289.70086432051772</c:v>
                </c:pt>
                <c:pt idx="410">
                  <c:v>289.73812835673101</c:v>
                </c:pt>
                <c:pt idx="411">
                  <c:v>289.7852785122077</c:v>
                </c:pt>
                <c:pt idx="412">
                  <c:v>289.83343517197579</c:v>
                </c:pt>
                <c:pt idx="413">
                  <c:v>289.87820541091583</c:v>
                </c:pt>
                <c:pt idx="414">
                  <c:v>289.92620814784829</c:v>
                </c:pt>
                <c:pt idx="415">
                  <c:v>289.97937211729112</c:v>
                </c:pt>
                <c:pt idx="416">
                  <c:v>290.01964080332152</c:v>
                </c:pt>
                <c:pt idx="417">
                  <c:v>290.07650327565949</c:v>
                </c:pt>
                <c:pt idx="418">
                  <c:v>290.13434387274287</c:v>
                </c:pt>
                <c:pt idx="419">
                  <c:v>290.18707164636623</c:v>
                </c:pt>
                <c:pt idx="420">
                  <c:v>290.22875857284203</c:v>
                </c:pt>
                <c:pt idx="421">
                  <c:v>290.27279329636156</c:v>
                </c:pt>
                <c:pt idx="422">
                  <c:v>290.30763895814238</c:v>
                </c:pt>
                <c:pt idx="423">
                  <c:v>290.34442427659025</c:v>
                </c:pt>
                <c:pt idx="424">
                  <c:v>290.37813331357722</c:v>
                </c:pt>
                <c:pt idx="425">
                  <c:v>290.39912047817944</c:v>
                </c:pt>
                <c:pt idx="426">
                  <c:v>290.42724933239782</c:v>
                </c:pt>
                <c:pt idx="427">
                  <c:v>290.45812436347552</c:v>
                </c:pt>
                <c:pt idx="428">
                  <c:v>290.48418042376551</c:v>
                </c:pt>
                <c:pt idx="429">
                  <c:v>290.51728267698945</c:v>
                </c:pt>
                <c:pt idx="430">
                  <c:v>290.56222028007522</c:v>
                </c:pt>
                <c:pt idx="431">
                  <c:v>290.59237520804129</c:v>
                </c:pt>
                <c:pt idx="432">
                  <c:v>290.61720268232523</c:v>
                </c:pt>
                <c:pt idx="433">
                  <c:v>290.63920597637815</c:v>
                </c:pt>
                <c:pt idx="434">
                  <c:v>290.65889101624879</c:v>
                </c:pt>
                <c:pt idx="435">
                  <c:v>290.68084085023565</c:v>
                </c:pt>
                <c:pt idx="436">
                  <c:v>290.70571932356773</c:v>
                </c:pt>
                <c:pt idx="437">
                  <c:v>290.72856970854582</c:v>
                </c:pt>
                <c:pt idx="438">
                  <c:v>290.74816708833612</c:v>
                </c:pt>
                <c:pt idx="439">
                  <c:v>290.76423286523033</c:v>
                </c:pt>
                <c:pt idx="440">
                  <c:v>290.78156592468162</c:v>
                </c:pt>
                <c:pt idx="441">
                  <c:v>290.79462653295121</c:v>
                </c:pt>
                <c:pt idx="442">
                  <c:v>290.80366469699521</c:v>
                </c:pt>
                <c:pt idx="443">
                  <c:v>290.80941781696538</c:v>
                </c:pt>
                <c:pt idx="444">
                  <c:v>290.81486662646546</c:v>
                </c:pt>
                <c:pt idx="445">
                  <c:v>290.83094542582427</c:v>
                </c:pt>
                <c:pt idx="446">
                  <c:v>290.85110680203928</c:v>
                </c:pt>
                <c:pt idx="447">
                  <c:v>290.87751203709115</c:v>
                </c:pt>
                <c:pt idx="448">
                  <c:v>290.90080331120015</c:v>
                </c:pt>
                <c:pt idx="449">
                  <c:v>290.91952193045165</c:v>
                </c:pt>
                <c:pt idx="450">
                  <c:v>290.94366426559827</c:v>
                </c:pt>
                <c:pt idx="451">
                  <c:v>290.9687470398041</c:v>
                </c:pt>
                <c:pt idx="452">
                  <c:v>290.99471009438707</c:v>
                </c:pt>
                <c:pt idx="453">
                  <c:v>291.0280594145363</c:v>
                </c:pt>
                <c:pt idx="454">
                  <c:v>291.04919338470222</c:v>
                </c:pt>
                <c:pt idx="455">
                  <c:v>291.06789467684825</c:v>
                </c:pt>
                <c:pt idx="456">
                  <c:v>291.09362601550288</c:v>
                </c:pt>
                <c:pt idx="457">
                  <c:v>291.11630945727887</c:v>
                </c:pt>
                <c:pt idx="458">
                  <c:v>291.13411019967668</c:v>
                </c:pt>
                <c:pt idx="459">
                  <c:v>291.15644417189731</c:v>
                </c:pt>
                <c:pt idx="460">
                  <c:v>291.17287656372758</c:v>
                </c:pt>
                <c:pt idx="461">
                  <c:v>291.18562408778911</c:v>
                </c:pt>
                <c:pt idx="462">
                  <c:v>291.20652345888016</c:v>
                </c:pt>
                <c:pt idx="463">
                  <c:v>291.26139871153856</c:v>
                </c:pt>
                <c:pt idx="464">
                  <c:v>291.27720214153186</c:v>
                </c:pt>
                <c:pt idx="465">
                  <c:v>291.29415915536822</c:v>
                </c:pt>
                <c:pt idx="466">
                  <c:v>291.31269420440475</c:v>
                </c:pt>
                <c:pt idx="467">
                  <c:v>291.33919992525654</c:v>
                </c:pt>
                <c:pt idx="468">
                  <c:v>291.36640841668282</c:v>
                </c:pt>
                <c:pt idx="469">
                  <c:v>291.38939258262798</c:v>
                </c:pt>
                <c:pt idx="470">
                  <c:v>291.41941464063171</c:v>
                </c:pt>
                <c:pt idx="471">
                  <c:v>291.43963319815191</c:v>
                </c:pt>
                <c:pt idx="472">
                  <c:v>291.46205906374814</c:v>
                </c:pt>
                <c:pt idx="473">
                  <c:v>291.4759664130961</c:v>
                </c:pt>
                <c:pt idx="474">
                  <c:v>291.50862936914996</c:v>
                </c:pt>
                <c:pt idx="475">
                  <c:v>291.54514342399636</c:v>
                </c:pt>
                <c:pt idx="476">
                  <c:v>291.5751697588164</c:v>
                </c:pt>
                <c:pt idx="477">
                  <c:v>291.62326822593479</c:v>
                </c:pt>
                <c:pt idx="478">
                  <c:v>291.65842404519054</c:v>
                </c:pt>
                <c:pt idx="479">
                  <c:v>291.68105366230787</c:v>
                </c:pt>
                <c:pt idx="480">
                  <c:v>291.70518904141295</c:v>
                </c:pt>
                <c:pt idx="481">
                  <c:v>291.72667794515041</c:v>
                </c:pt>
                <c:pt idx="482">
                  <c:v>291.77466150063225</c:v>
                </c:pt>
                <c:pt idx="483">
                  <c:v>291.82128458792926</c:v>
                </c:pt>
                <c:pt idx="484">
                  <c:v>291.85788957301082</c:v>
                </c:pt>
                <c:pt idx="485">
                  <c:v>291.89622019787652</c:v>
                </c:pt>
                <c:pt idx="486">
                  <c:v>291.92278962521999</c:v>
                </c:pt>
                <c:pt idx="487">
                  <c:v>291.96827504222966</c:v>
                </c:pt>
                <c:pt idx="488">
                  <c:v>292.0193170127481</c:v>
                </c:pt>
                <c:pt idx="489">
                  <c:v>292.07452633531824</c:v>
                </c:pt>
                <c:pt idx="490">
                  <c:v>292.13464697879959</c:v>
                </c:pt>
                <c:pt idx="491">
                  <c:v>292.1738840886357</c:v>
                </c:pt>
                <c:pt idx="492">
                  <c:v>292.22587980253411</c:v>
                </c:pt>
                <c:pt idx="493">
                  <c:v>292.27965085470072</c:v>
                </c:pt>
                <c:pt idx="494">
                  <c:v>292.37797661668117</c:v>
                </c:pt>
                <c:pt idx="495">
                  <c:v>292.41302310358094</c:v>
                </c:pt>
                <c:pt idx="496">
                  <c:v>292.44445344362225</c:v>
                </c:pt>
                <c:pt idx="497">
                  <c:v>292.45677435565472</c:v>
                </c:pt>
                <c:pt idx="498">
                  <c:v>292.4706746336085</c:v>
                </c:pt>
                <c:pt idx="499">
                  <c:v>292.49075754360848</c:v>
                </c:pt>
                <c:pt idx="500">
                  <c:v>292.50592641367757</c:v>
                </c:pt>
                <c:pt idx="501">
                  <c:v>292.5204383825947</c:v>
                </c:pt>
                <c:pt idx="502">
                  <c:v>292.53989363015376</c:v>
                </c:pt>
                <c:pt idx="503">
                  <c:v>292.55925198896261</c:v>
                </c:pt>
                <c:pt idx="504">
                  <c:v>292.581458042419</c:v>
                </c:pt>
                <c:pt idx="505">
                  <c:v>292.60878832382298</c:v>
                </c:pt>
                <c:pt idx="506">
                  <c:v>292.63934263243914</c:v>
                </c:pt>
                <c:pt idx="507">
                  <c:v>292.66436812976235</c:v>
                </c:pt>
                <c:pt idx="508">
                  <c:v>292.69022741533655</c:v>
                </c:pt>
                <c:pt idx="509">
                  <c:v>292.71864016539388</c:v>
                </c:pt>
                <c:pt idx="510">
                  <c:v>292.74457358934609</c:v>
                </c:pt>
                <c:pt idx="511">
                  <c:v>292.77341391972027</c:v>
                </c:pt>
                <c:pt idx="512">
                  <c:v>292.79500764508646</c:v>
                </c:pt>
                <c:pt idx="513">
                  <c:v>292.81221916976426</c:v>
                </c:pt>
                <c:pt idx="514">
                  <c:v>292.83871062379365</c:v>
                </c:pt>
                <c:pt idx="515">
                  <c:v>292.85967392925795</c:v>
                </c:pt>
                <c:pt idx="516">
                  <c:v>292.88143732940568</c:v>
                </c:pt>
                <c:pt idx="517">
                  <c:v>292.91974440635892</c:v>
                </c:pt>
                <c:pt idx="518">
                  <c:v>292.94968195755803</c:v>
                </c:pt>
                <c:pt idx="519">
                  <c:v>292.97407230153874</c:v>
                </c:pt>
                <c:pt idx="520">
                  <c:v>293.01469593257059</c:v>
                </c:pt>
                <c:pt idx="521">
                  <c:v>293.05145185629016</c:v>
                </c:pt>
                <c:pt idx="522">
                  <c:v>293.09862310492525</c:v>
                </c:pt>
                <c:pt idx="523">
                  <c:v>293.1581590152299</c:v>
                </c:pt>
                <c:pt idx="524">
                  <c:v>293.23983266396294</c:v>
                </c:pt>
                <c:pt idx="525">
                  <c:v>293.30595164517081</c:v>
                </c:pt>
                <c:pt idx="526">
                  <c:v>293.35911374857176</c:v>
                </c:pt>
                <c:pt idx="527">
                  <c:v>293.40685183136969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AD-4DA4-AE3D-3357A097D20D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Data!$H$2:$H$529</c:f>
              <c:numCache>
                <c:formatCode>General</c:formatCode>
                <c:ptCount val="528"/>
                <c:pt idx="0">
                  <c:v>297.04000000000002</c:v>
                </c:pt>
                <c:pt idx="1">
                  <c:v>297.27509459936061</c:v>
                </c:pt>
                <c:pt idx="2">
                  <c:v>296.51961419486389</c:v>
                </c:pt>
                <c:pt idx="3">
                  <c:v>296.18004787704058</c:v>
                </c:pt>
                <c:pt idx="4">
                  <c:v>295.68954499407539</c:v>
                </c:pt>
                <c:pt idx="5">
                  <c:v>295.33695054029886</c:v>
                </c:pt>
                <c:pt idx="6">
                  <c:v>295.33753066702207</c:v>
                </c:pt>
                <c:pt idx="7">
                  <c:v>295.33066392527348</c:v>
                </c:pt>
                <c:pt idx="8">
                  <c:v>295.23485561842045</c:v>
                </c:pt>
                <c:pt idx="9">
                  <c:v>295.00902759371394</c:v>
                </c:pt>
                <c:pt idx="10">
                  <c:v>294.85292914799567</c:v>
                </c:pt>
                <c:pt idx="11">
                  <c:v>294.92498220237889</c:v>
                </c:pt>
                <c:pt idx="12">
                  <c:v>296.57309114420946</c:v>
                </c:pt>
                <c:pt idx="13">
                  <c:v>297.12698912297992</c:v>
                </c:pt>
                <c:pt idx="14">
                  <c:v>297.67562808877153</c:v>
                </c:pt>
                <c:pt idx="15">
                  <c:v>298.33046382967797</c:v>
                </c:pt>
                <c:pt idx="16">
                  <c:v>298.43928469481767</c:v>
                </c:pt>
                <c:pt idx="17">
                  <c:v>298.17855799856972</c:v>
                </c:pt>
                <c:pt idx="18">
                  <c:v>297.96200765151275</c:v>
                </c:pt>
                <c:pt idx="19">
                  <c:v>297.88036966387284</c:v>
                </c:pt>
                <c:pt idx="20">
                  <c:v>297.72168441483291</c:v>
                </c:pt>
                <c:pt idx="21">
                  <c:v>297.92098240543754</c:v>
                </c:pt>
                <c:pt idx="22">
                  <c:v>298.024230538008</c:v>
                </c:pt>
                <c:pt idx="23">
                  <c:v>297.54975363506441</c:v>
                </c:pt>
                <c:pt idx="24">
                  <c:v>297.29751148991022</c:v>
                </c:pt>
                <c:pt idx="25">
                  <c:v>297.15155481399893</c:v>
                </c:pt>
                <c:pt idx="26">
                  <c:v>297.0340753614617</c:v>
                </c:pt>
                <c:pt idx="27">
                  <c:v>296.91285859281572</c:v>
                </c:pt>
                <c:pt idx="28">
                  <c:v>296.82571253727792</c:v>
                </c:pt>
                <c:pt idx="29">
                  <c:v>296.7555460108793</c:v>
                </c:pt>
                <c:pt idx="30">
                  <c:v>296.68819052766003</c:v>
                </c:pt>
                <c:pt idx="31">
                  <c:v>296.61201451307994</c:v>
                </c:pt>
                <c:pt idx="32">
                  <c:v>296.53971188601309</c:v>
                </c:pt>
                <c:pt idx="33">
                  <c:v>296.48323407193658</c:v>
                </c:pt>
                <c:pt idx="34">
                  <c:v>296.4556215500682</c:v>
                </c:pt>
                <c:pt idx="35">
                  <c:v>296.52403830658409</c:v>
                </c:pt>
                <c:pt idx="36">
                  <c:v>296.64236874467969</c:v>
                </c:pt>
                <c:pt idx="37">
                  <c:v>296.73716182821926</c:v>
                </c:pt>
                <c:pt idx="38">
                  <c:v>296.709162739671</c:v>
                </c:pt>
                <c:pt idx="39">
                  <c:v>296.7193422114089</c:v>
                </c:pt>
                <c:pt idx="40">
                  <c:v>296.65914154031935</c:v>
                </c:pt>
                <c:pt idx="41">
                  <c:v>296.58507182705034</c:v>
                </c:pt>
                <c:pt idx="42">
                  <c:v>296.51757571183504</c:v>
                </c:pt>
                <c:pt idx="43">
                  <c:v>296.47108865331097</c:v>
                </c:pt>
                <c:pt idx="44">
                  <c:v>296.43262294544189</c:v>
                </c:pt>
                <c:pt idx="45">
                  <c:v>296.37867342579335</c:v>
                </c:pt>
                <c:pt idx="46">
                  <c:v>296.33743089183548</c:v>
                </c:pt>
                <c:pt idx="47">
                  <c:v>296.348997389555</c:v>
                </c:pt>
                <c:pt idx="48">
                  <c:v>296.33911887849717</c:v>
                </c:pt>
                <c:pt idx="49">
                  <c:v>296.2415036022204</c:v>
                </c:pt>
                <c:pt idx="50">
                  <c:v>296.20255989785261</c:v>
                </c:pt>
                <c:pt idx="51">
                  <c:v>296.17727741607496</c:v>
                </c:pt>
                <c:pt idx="52">
                  <c:v>296.26553600375632</c:v>
                </c:pt>
                <c:pt idx="53">
                  <c:v>296.18366467176503</c:v>
                </c:pt>
                <c:pt idx="54">
                  <c:v>296.13197985844539</c:v>
                </c:pt>
                <c:pt idx="55">
                  <c:v>296.05535331096172</c:v>
                </c:pt>
                <c:pt idx="56">
                  <c:v>296.03445754950673</c:v>
                </c:pt>
                <c:pt idx="57">
                  <c:v>296.06436164556868</c:v>
                </c:pt>
                <c:pt idx="58">
                  <c:v>296.10160737444676</c:v>
                </c:pt>
                <c:pt idx="59">
                  <c:v>296.06071594647602</c:v>
                </c:pt>
                <c:pt idx="60">
                  <c:v>295.98008152640705</c:v>
                </c:pt>
                <c:pt idx="61">
                  <c:v>295.96637626207831</c:v>
                </c:pt>
                <c:pt idx="62">
                  <c:v>295.96090481152652</c:v>
                </c:pt>
                <c:pt idx="63">
                  <c:v>295.99903945150817</c:v>
                </c:pt>
                <c:pt idx="64">
                  <c:v>296.03900266988381</c:v>
                </c:pt>
                <c:pt idx="65">
                  <c:v>295.84703347001101</c:v>
                </c:pt>
                <c:pt idx="66">
                  <c:v>295.91082910049846</c:v>
                </c:pt>
                <c:pt idx="67">
                  <c:v>295.88547992314659</c:v>
                </c:pt>
                <c:pt idx="68">
                  <c:v>295.86486700084015</c:v>
                </c:pt>
                <c:pt idx="69">
                  <c:v>295.93361513611063</c:v>
                </c:pt>
                <c:pt idx="70">
                  <c:v>295.99145603941292</c:v>
                </c:pt>
                <c:pt idx="71">
                  <c:v>295.96539012874041</c:v>
                </c:pt>
                <c:pt idx="72">
                  <c:v>296.00412510865681</c:v>
                </c:pt>
                <c:pt idx="73">
                  <c:v>295.92186900918352</c:v>
                </c:pt>
                <c:pt idx="74">
                  <c:v>295.8239201953686</c:v>
                </c:pt>
                <c:pt idx="75">
                  <c:v>295.73779814680006</c:v>
                </c:pt>
                <c:pt idx="76">
                  <c:v>295.62682289120494</c:v>
                </c:pt>
                <c:pt idx="77">
                  <c:v>295.5099210073484</c:v>
                </c:pt>
                <c:pt idx="78">
                  <c:v>295.36700433144188</c:v>
                </c:pt>
                <c:pt idx="79">
                  <c:v>295.21987051437594</c:v>
                </c:pt>
                <c:pt idx="80">
                  <c:v>295.09815245912205</c:v>
                </c:pt>
                <c:pt idx="81">
                  <c:v>294.99542712275206</c:v>
                </c:pt>
                <c:pt idx="82">
                  <c:v>294.73369123773739</c:v>
                </c:pt>
                <c:pt idx="83">
                  <c:v>294.57162139000002</c:v>
                </c:pt>
                <c:pt idx="84">
                  <c:v>294.47909189702955</c:v>
                </c:pt>
                <c:pt idx="85">
                  <c:v>294.42270017388739</c:v>
                </c:pt>
                <c:pt idx="86">
                  <c:v>294.38025091660938</c:v>
                </c:pt>
                <c:pt idx="87">
                  <c:v>294.313158336242</c:v>
                </c:pt>
                <c:pt idx="88">
                  <c:v>294.22978606054585</c:v>
                </c:pt>
                <c:pt idx="89">
                  <c:v>294.15415665240079</c:v>
                </c:pt>
                <c:pt idx="90">
                  <c:v>294.00108228243124</c:v>
                </c:pt>
                <c:pt idx="91">
                  <c:v>293.88010791968378</c:v>
                </c:pt>
                <c:pt idx="92">
                  <c:v>293.78940696338697</c:v>
                </c:pt>
                <c:pt idx="93">
                  <c:v>293.6970754961684</c:v>
                </c:pt>
                <c:pt idx="94">
                  <c:v>293.62529081371997</c:v>
                </c:pt>
                <c:pt idx="95">
                  <c:v>293.55346276074488</c:v>
                </c:pt>
                <c:pt idx="96">
                  <c:v>293.49736034869949</c:v>
                </c:pt>
                <c:pt idx="97">
                  <c:v>293.46957260831579</c:v>
                </c:pt>
                <c:pt idx="98">
                  <c:v>293.46252163202871</c:v>
                </c:pt>
                <c:pt idx="99">
                  <c:v>293.27949517970552</c:v>
                </c:pt>
                <c:pt idx="100">
                  <c:v>293.25506769978756</c:v>
                </c:pt>
                <c:pt idx="101">
                  <c:v>293.20163598040489</c:v>
                </c:pt>
                <c:pt idx="102">
                  <c:v>293.21639719499302</c:v>
                </c:pt>
                <c:pt idx="103">
                  <c:v>293.21326491503305</c:v>
                </c:pt>
                <c:pt idx="104">
                  <c:v>292.97367059694892</c:v>
                </c:pt>
                <c:pt idx="105">
                  <c:v>292.84215474552758</c:v>
                </c:pt>
                <c:pt idx="106">
                  <c:v>292.68951523443047</c:v>
                </c:pt>
                <c:pt idx="107">
                  <c:v>292.56842555514953</c:v>
                </c:pt>
                <c:pt idx="108">
                  <c:v>292.48437271617769</c:v>
                </c:pt>
                <c:pt idx="109">
                  <c:v>292.49557879925356</c:v>
                </c:pt>
                <c:pt idx="110">
                  <c:v>292.48785647106331</c:v>
                </c:pt>
                <c:pt idx="111">
                  <c:v>292.47725144544228</c:v>
                </c:pt>
                <c:pt idx="112">
                  <c:v>292.42972684964923</c:v>
                </c:pt>
                <c:pt idx="113">
                  <c:v>292.38484299679305</c:v>
                </c:pt>
                <c:pt idx="114">
                  <c:v>292.35833437740149</c:v>
                </c:pt>
                <c:pt idx="115">
                  <c:v>292.3446116876089</c:v>
                </c:pt>
                <c:pt idx="116">
                  <c:v>292.3224187195778</c:v>
                </c:pt>
                <c:pt idx="117">
                  <c:v>292.20189236381123</c:v>
                </c:pt>
                <c:pt idx="118">
                  <c:v>291.86443646421372</c:v>
                </c:pt>
                <c:pt idx="119">
                  <c:v>291.73700184748623</c:v>
                </c:pt>
                <c:pt idx="120">
                  <c:v>291.59859525077536</c:v>
                </c:pt>
                <c:pt idx="121">
                  <c:v>291.52775384583725</c:v>
                </c:pt>
                <c:pt idx="122">
                  <c:v>291.46054928692854</c:v>
                </c:pt>
                <c:pt idx="123">
                  <c:v>291.08452470803434</c:v>
                </c:pt>
                <c:pt idx="124">
                  <c:v>291.00076115053037</c:v>
                </c:pt>
                <c:pt idx="125">
                  <c:v>290.91967767942452</c:v>
                </c:pt>
                <c:pt idx="126">
                  <c:v>290.93567408640592</c:v>
                </c:pt>
                <c:pt idx="127">
                  <c:v>290.89229637463342</c:v>
                </c:pt>
                <c:pt idx="128">
                  <c:v>290.84779171895678</c:v>
                </c:pt>
                <c:pt idx="129">
                  <c:v>290.69770274905488</c:v>
                </c:pt>
                <c:pt idx="130">
                  <c:v>290.57897686091661</c:v>
                </c:pt>
                <c:pt idx="131">
                  <c:v>290.38570287655455</c:v>
                </c:pt>
                <c:pt idx="132">
                  <c:v>290.23912506698963</c:v>
                </c:pt>
                <c:pt idx="133">
                  <c:v>290.15283283163421</c:v>
                </c:pt>
                <c:pt idx="134">
                  <c:v>290.02184033389932</c:v>
                </c:pt>
                <c:pt idx="135">
                  <c:v>289.90939207735136</c:v>
                </c:pt>
                <c:pt idx="136">
                  <c:v>289.80559206777031</c:v>
                </c:pt>
                <c:pt idx="137">
                  <c:v>289.70205898532618</c:v>
                </c:pt>
                <c:pt idx="138">
                  <c:v>289.61900236001134</c:v>
                </c:pt>
                <c:pt idx="139">
                  <c:v>289.55426918547232</c:v>
                </c:pt>
                <c:pt idx="140">
                  <c:v>289.35404475398514</c:v>
                </c:pt>
                <c:pt idx="141">
                  <c:v>289.27029757855377</c:v>
                </c:pt>
                <c:pt idx="142">
                  <c:v>289.15507530508921</c:v>
                </c:pt>
                <c:pt idx="143">
                  <c:v>288.92011654305043</c:v>
                </c:pt>
                <c:pt idx="144">
                  <c:v>288.81635463834539</c:v>
                </c:pt>
                <c:pt idx="145">
                  <c:v>288.71193680933158</c:v>
                </c:pt>
                <c:pt idx="146">
                  <c:v>288.62630630503583</c:v>
                </c:pt>
                <c:pt idx="147">
                  <c:v>288.64541429567794</c:v>
                </c:pt>
                <c:pt idx="148">
                  <c:v>288.54455944631616</c:v>
                </c:pt>
                <c:pt idx="149">
                  <c:v>288.47887900481271</c:v>
                </c:pt>
                <c:pt idx="150">
                  <c:v>288.40985469814052</c:v>
                </c:pt>
                <c:pt idx="151">
                  <c:v>288.35113802764431</c:v>
                </c:pt>
                <c:pt idx="152">
                  <c:v>288.28499423314116</c:v>
                </c:pt>
                <c:pt idx="153">
                  <c:v>288.22137703605523</c:v>
                </c:pt>
                <c:pt idx="154">
                  <c:v>288.16314381847093</c:v>
                </c:pt>
                <c:pt idx="155">
                  <c:v>288.10914106274959</c:v>
                </c:pt>
                <c:pt idx="156">
                  <c:v>288.06965866004396</c:v>
                </c:pt>
                <c:pt idx="157">
                  <c:v>288.05878038164172</c:v>
                </c:pt>
                <c:pt idx="158">
                  <c:v>288.18468432225694</c:v>
                </c:pt>
                <c:pt idx="159">
                  <c:v>288.2456875763412</c:v>
                </c:pt>
                <c:pt idx="160">
                  <c:v>288.3243231539459</c:v>
                </c:pt>
                <c:pt idx="161">
                  <c:v>288.36998453890322</c:v>
                </c:pt>
                <c:pt idx="162">
                  <c:v>288.42896848704731</c:v>
                </c:pt>
                <c:pt idx="163">
                  <c:v>288.47565468224468</c:v>
                </c:pt>
                <c:pt idx="164">
                  <c:v>288.55511257946432</c:v>
                </c:pt>
                <c:pt idx="165">
                  <c:v>288.59983129026722</c:v>
                </c:pt>
                <c:pt idx="166">
                  <c:v>288.63150824038155</c:v>
                </c:pt>
                <c:pt idx="167">
                  <c:v>288.68814604576914</c:v>
                </c:pt>
                <c:pt idx="168">
                  <c:v>288.72349222392938</c:v>
                </c:pt>
                <c:pt idx="169">
                  <c:v>288.77337734693674</c:v>
                </c:pt>
                <c:pt idx="170">
                  <c:v>288.81843060337843</c:v>
                </c:pt>
                <c:pt idx="171">
                  <c:v>288.91508941971432</c:v>
                </c:pt>
                <c:pt idx="172">
                  <c:v>289.01263253078412</c:v>
                </c:pt>
                <c:pt idx="173">
                  <c:v>289.08801224424025</c:v>
                </c:pt>
                <c:pt idx="174">
                  <c:v>289.15874095270885</c:v>
                </c:pt>
                <c:pt idx="175">
                  <c:v>289.23608901335416</c:v>
                </c:pt>
                <c:pt idx="176">
                  <c:v>289.35404441451146</c:v>
                </c:pt>
                <c:pt idx="177">
                  <c:v>289.4977057264536</c:v>
                </c:pt>
                <c:pt idx="178">
                  <c:v>289.60716370966475</c:v>
                </c:pt>
                <c:pt idx="179">
                  <c:v>289.6618902684931</c:v>
                </c:pt>
                <c:pt idx="180">
                  <c:v>289.74699972203882</c:v>
                </c:pt>
                <c:pt idx="181">
                  <c:v>289.98742472385402</c:v>
                </c:pt>
                <c:pt idx="182">
                  <c:v>290.12613189018481</c:v>
                </c:pt>
                <c:pt idx="183">
                  <c:v>290.28056580716503</c:v>
                </c:pt>
                <c:pt idx="184">
                  <c:v>290.41785678639388</c:v>
                </c:pt>
                <c:pt idx="185">
                  <c:v>290.58959120920684</c:v>
                </c:pt>
                <c:pt idx="186">
                  <c:v>290.82236750158097</c:v>
                </c:pt>
                <c:pt idx="187">
                  <c:v>291.0122136545657</c:v>
                </c:pt>
                <c:pt idx="188">
                  <c:v>291.21168011370236</c:v>
                </c:pt>
                <c:pt idx="189">
                  <c:v>291.38837085822041</c:v>
                </c:pt>
                <c:pt idx="190">
                  <c:v>291.53475748515456</c:v>
                </c:pt>
                <c:pt idx="191">
                  <c:v>291.70909552235975</c:v>
                </c:pt>
                <c:pt idx="192">
                  <c:v>291.83381692073687</c:v>
                </c:pt>
                <c:pt idx="193">
                  <c:v>291.96563887686085</c:v>
                </c:pt>
                <c:pt idx="194">
                  <c:v>292.10864117480867</c:v>
                </c:pt>
                <c:pt idx="195">
                  <c:v>292.24664926460116</c:v>
                </c:pt>
                <c:pt idx="196">
                  <c:v>292.39464412327584</c:v>
                </c:pt>
                <c:pt idx="197">
                  <c:v>292.62591006872066</c:v>
                </c:pt>
                <c:pt idx="198">
                  <c:v>292.93846759744099</c:v>
                </c:pt>
                <c:pt idx="199">
                  <c:v>293.1713202889224</c:v>
                </c:pt>
                <c:pt idx="200">
                  <c:v>293.49462565508321</c:v>
                </c:pt>
                <c:pt idx="201">
                  <c:v>293.8068060108734</c:v>
                </c:pt>
                <c:pt idx="202">
                  <c:v>294.08209513337403</c:v>
                </c:pt>
                <c:pt idx="203">
                  <c:v>294.54090904958633</c:v>
                </c:pt>
                <c:pt idx="204">
                  <c:v>295.1193442201822</c:v>
                </c:pt>
                <c:pt idx="205">
                  <c:v>295.3294955304417</c:v>
                </c:pt>
                <c:pt idx="206">
                  <c:v>295.49121353755004</c:v>
                </c:pt>
                <c:pt idx="207">
                  <c:v>295.66046212384418</c:v>
                </c:pt>
                <c:pt idx="208">
                  <c:v>295.85600684377135</c:v>
                </c:pt>
                <c:pt idx="209">
                  <c:v>295.91964822574141</c:v>
                </c:pt>
                <c:pt idx="210">
                  <c:v>295.97628578287043</c:v>
                </c:pt>
                <c:pt idx="211">
                  <c:v>296.05798397385036</c:v>
                </c:pt>
                <c:pt idx="212">
                  <c:v>296.08773107567822</c:v>
                </c:pt>
                <c:pt idx="213">
                  <c:v>296.16134757165116</c:v>
                </c:pt>
                <c:pt idx="214">
                  <c:v>296.23906402930618</c:v>
                </c:pt>
                <c:pt idx="215">
                  <c:v>296.29564872850108</c:v>
                </c:pt>
                <c:pt idx="216">
                  <c:v>296.38718186893266</c:v>
                </c:pt>
                <c:pt idx="217">
                  <c:v>296.4899947853562</c:v>
                </c:pt>
                <c:pt idx="218">
                  <c:v>296.55541684626218</c:v>
                </c:pt>
                <c:pt idx="219">
                  <c:v>296.60705677825996</c:v>
                </c:pt>
                <c:pt idx="220">
                  <c:v>296.65736495401376</c:v>
                </c:pt>
                <c:pt idx="221">
                  <c:v>296.70530761435845</c:v>
                </c:pt>
                <c:pt idx="222">
                  <c:v>296.72287927070528</c:v>
                </c:pt>
                <c:pt idx="223">
                  <c:v>296.73056875006512</c:v>
                </c:pt>
                <c:pt idx="224">
                  <c:v>296.74161476361041</c:v>
                </c:pt>
                <c:pt idx="225">
                  <c:v>296.76116974677825</c:v>
                </c:pt>
                <c:pt idx="226">
                  <c:v>296.77301044288726</c:v>
                </c:pt>
                <c:pt idx="227">
                  <c:v>296.86857928272451</c:v>
                </c:pt>
                <c:pt idx="228">
                  <c:v>296.90715884484462</c:v>
                </c:pt>
                <c:pt idx="229">
                  <c:v>296.93692806854477</c:v>
                </c:pt>
                <c:pt idx="230">
                  <c:v>296.96058095796946</c:v>
                </c:pt>
                <c:pt idx="231">
                  <c:v>296.98823193388722</c:v>
                </c:pt>
                <c:pt idx="232">
                  <c:v>297.02763317526404</c:v>
                </c:pt>
                <c:pt idx="233">
                  <c:v>297.08388040588</c:v>
                </c:pt>
                <c:pt idx="234">
                  <c:v>297.14946223900813</c:v>
                </c:pt>
                <c:pt idx="235">
                  <c:v>297.24639374180117</c:v>
                </c:pt>
                <c:pt idx="236">
                  <c:v>297.31983109056796</c:v>
                </c:pt>
                <c:pt idx="237">
                  <c:v>297.41522858749943</c:v>
                </c:pt>
                <c:pt idx="238">
                  <c:v>297.46206459220798</c:v>
                </c:pt>
                <c:pt idx="239">
                  <c:v>297.49280667680858</c:v>
                </c:pt>
                <c:pt idx="240">
                  <c:v>297.53280632785538</c:v>
                </c:pt>
                <c:pt idx="241">
                  <c:v>297.59274851451772</c:v>
                </c:pt>
                <c:pt idx="242">
                  <c:v>297.64214025478049</c:v>
                </c:pt>
                <c:pt idx="243">
                  <c:v>297.66258430016109</c:v>
                </c:pt>
                <c:pt idx="244">
                  <c:v>297.6744296578733</c:v>
                </c:pt>
                <c:pt idx="245">
                  <c:v>297.76040544357841</c:v>
                </c:pt>
                <c:pt idx="246">
                  <c:v>297.76625886801912</c:v>
                </c:pt>
                <c:pt idx="247">
                  <c:v>297.77078243771894</c:v>
                </c:pt>
                <c:pt idx="248">
                  <c:v>297.77848582893853</c:v>
                </c:pt>
                <c:pt idx="249">
                  <c:v>297.7835053381184</c:v>
                </c:pt>
                <c:pt idx="250">
                  <c:v>297.7754101097031</c:v>
                </c:pt>
                <c:pt idx="251">
                  <c:v>297.76828512533905</c:v>
                </c:pt>
                <c:pt idx="252">
                  <c:v>297.78826156396246</c:v>
                </c:pt>
                <c:pt idx="253">
                  <c:v>297.80818770755621</c:v>
                </c:pt>
                <c:pt idx="254">
                  <c:v>297.82222630488809</c:v>
                </c:pt>
                <c:pt idx="255">
                  <c:v>297.82696346237577</c:v>
                </c:pt>
                <c:pt idx="256">
                  <c:v>297.81444796512108</c:v>
                </c:pt>
                <c:pt idx="257">
                  <c:v>297.78739740645437</c:v>
                </c:pt>
                <c:pt idx="258">
                  <c:v>297.76489318869574</c:v>
                </c:pt>
                <c:pt idx="259">
                  <c:v>297.73413057435948</c:v>
                </c:pt>
                <c:pt idx="260">
                  <c:v>297.70605815958709</c:v>
                </c:pt>
                <c:pt idx="261">
                  <c:v>297.67007823449768</c:v>
                </c:pt>
                <c:pt idx="262">
                  <c:v>297.63826603864476</c:v>
                </c:pt>
                <c:pt idx="263">
                  <c:v>297.61329276827593</c:v>
                </c:pt>
                <c:pt idx="264">
                  <c:v>297.58322658753752</c:v>
                </c:pt>
                <c:pt idx="265">
                  <c:v>297.5609078264427</c:v>
                </c:pt>
                <c:pt idx="266">
                  <c:v>297.54298751248808</c:v>
                </c:pt>
                <c:pt idx="267">
                  <c:v>297.5813170690933</c:v>
                </c:pt>
                <c:pt idx="268">
                  <c:v>297.59335532493208</c:v>
                </c:pt>
                <c:pt idx="269">
                  <c:v>297.59192055099459</c:v>
                </c:pt>
                <c:pt idx="270">
                  <c:v>297.58908268958055</c:v>
                </c:pt>
                <c:pt idx="271">
                  <c:v>297.58350513685372</c:v>
                </c:pt>
                <c:pt idx="272">
                  <c:v>297.58825608944591</c:v>
                </c:pt>
                <c:pt idx="273">
                  <c:v>297.59090757648306</c:v>
                </c:pt>
                <c:pt idx="274">
                  <c:v>297.5842607512169</c:v>
                </c:pt>
                <c:pt idx="275">
                  <c:v>297.61924842564542</c:v>
                </c:pt>
                <c:pt idx="276">
                  <c:v>297.64351288976582</c:v>
                </c:pt>
                <c:pt idx="277">
                  <c:v>297.91456770545659</c:v>
                </c:pt>
                <c:pt idx="278">
                  <c:v>298.09165372397871</c:v>
                </c:pt>
                <c:pt idx="279">
                  <c:v>298.21180985066803</c:v>
                </c:pt>
                <c:pt idx="280">
                  <c:v>298.35151323703917</c:v>
                </c:pt>
                <c:pt idx="281">
                  <c:v>298.46503155164368</c:v>
                </c:pt>
                <c:pt idx="282">
                  <c:v>298.56467817689327</c:v>
                </c:pt>
                <c:pt idx="283">
                  <c:v>298.6332702780208</c:v>
                </c:pt>
                <c:pt idx="284">
                  <c:v>298.7096892515853</c:v>
                </c:pt>
                <c:pt idx="285">
                  <c:v>298.79874246361447</c:v>
                </c:pt>
                <c:pt idx="286">
                  <c:v>298.91779163732974</c:v>
                </c:pt>
                <c:pt idx="287">
                  <c:v>299.07732936527441</c:v>
                </c:pt>
                <c:pt idx="288">
                  <c:v>299.18328759702672</c:v>
                </c:pt>
                <c:pt idx="289">
                  <c:v>299.31741167230376</c:v>
                </c:pt>
                <c:pt idx="290">
                  <c:v>299.47773995728784</c:v>
                </c:pt>
                <c:pt idx="291">
                  <c:v>299.58481107412052</c:v>
                </c:pt>
                <c:pt idx="292">
                  <c:v>299.69399882038516</c:v>
                </c:pt>
                <c:pt idx="293">
                  <c:v>299.77694374667897</c:v>
                </c:pt>
                <c:pt idx="294">
                  <c:v>299.89719539572627</c:v>
                </c:pt>
                <c:pt idx="295">
                  <c:v>300.29057928236494</c:v>
                </c:pt>
                <c:pt idx="296">
                  <c:v>300.52444823047648</c:v>
                </c:pt>
                <c:pt idx="297">
                  <c:v>300.64621912037921</c:v>
                </c:pt>
                <c:pt idx="298">
                  <c:v>300.70829531593159</c:v>
                </c:pt>
                <c:pt idx="299">
                  <c:v>300.75137389727075</c:v>
                </c:pt>
                <c:pt idx="300">
                  <c:v>300.7869414210947</c:v>
                </c:pt>
                <c:pt idx="301">
                  <c:v>300.84788109112048</c:v>
                </c:pt>
                <c:pt idx="302">
                  <c:v>300.89983981953048</c:v>
                </c:pt>
                <c:pt idx="303">
                  <c:v>300.98033698809758</c:v>
                </c:pt>
                <c:pt idx="304">
                  <c:v>301.05867079666075</c:v>
                </c:pt>
                <c:pt idx="305">
                  <c:v>301.19231114338578</c:v>
                </c:pt>
                <c:pt idx="306">
                  <c:v>301.2745999422209</c:v>
                </c:pt>
                <c:pt idx="307">
                  <c:v>301.34843715169399</c:v>
                </c:pt>
                <c:pt idx="308">
                  <c:v>301.46878089644014</c:v>
                </c:pt>
                <c:pt idx="309">
                  <c:v>301.59407450618278</c:v>
                </c:pt>
                <c:pt idx="310">
                  <c:v>301.6781003592252</c:v>
                </c:pt>
                <c:pt idx="311">
                  <c:v>301.83204460127405</c:v>
                </c:pt>
                <c:pt idx="312">
                  <c:v>301.94210084544687</c:v>
                </c:pt>
                <c:pt idx="313">
                  <c:v>302.04533189791886</c:v>
                </c:pt>
                <c:pt idx="314">
                  <c:v>302.33075041579019</c:v>
                </c:pt>
                <c:pt idx="315">
                  <c:v>302.44322265500978</c:v>
                </c:pt>
                <c:pt idx="316">
                  <c:v>302.53672890633334</c:v>
                </c:pt>
                <c:pt idx="317">
                  <c:v>302.59995331191578</c:v>
                </c:pt>
                <c:pt idx="318">
                  <c:v>302.73969509826333</c:v>
                </c:pt>
                <c:pt idx="319">
                  <c:v>302.86599251516816</c:v>
                </c:pt>
                <c:pt idx="320">
                  <c:v>302.98535539711946</c:v>
                </c:pt>
                <c:pt idx="321">
                  <c:v>303.1471930356787</c:v>
                </c:pt>
                <c:pt idx="322">
                  <c:v>303.24926776238141</c:v>
                </c:pt>
                <c:pt idx="323">
                  <c:v>303.33120529612745</c:v>
                </c:pt>
                <c:pt idx="324">
                  <c:v>303.41931549649934</c:v>
                </c:pt>
                <c:pt idx="325">
                  <c:v>303.48868181732882</c:v>
                </c:pt>
                <c:pt idx="326">
                  <c:v>303.67477575078868</c:v>
                </c:pt>
                <c:pt idx="327">
                  <c:v>303.82555573642725</c:v>
                </c:pt>
                <c:pt idx="328">
                  <c:v>303.9376512088316</c:v>
                </c:pt>
                <c:pt idx="329">
                  <c:v>304.0471898639388</c:v>
                </c:pt>
                <c:pt idx="330">
                  <c:v>304.16383449974029</c:v>
                </c:pt>
                <c:pt idx="331">
                  <c:v>304.27715586341674</c:v>
                </c:pt>
                <c:pt idx="332">
                  <c:v>304.49724293736676</c:v>
                </c:pt>
                <c:pt idx="333">
                  <c:v>304.64805523675489</c:v>
                </c:pt>
                <c:pt idx="334">
                  <c:v>304.75730488765771</c:v>
                </c:pt>
                <c:pt idx="335">
                  <c:v>304.88346680649857</c:v>
                </c:pt>
                <c:pt idx="336">
                  <c:v>304.99546274733007</c:v>
                </c:pt>
                <c:pt idx="337">
                  <c:v>305.11687004557541</c:v>
                </c:pt>
                <c:pt idx="338">
                  <c:v>305.19197168447801</c:v>
                </c:pt>
                <c:pt idx="339">
                  <c:v>305.26275805789351</c:v>
                </c:pt>
                <c:pt idx="340">
                  <c:v>305.36888691303949</c:v>
                </c:pt>
                <c:pt idx="341">
                  <c:v>305.43123222848948</c:v>
                </c:pt>
                <c:pt idx="342">
                  <c:v>305.48014461811562</c:v>
                </c:pt>
                <c:pt idx="343">
                  <c:v>305.57584007609813</c:v>
                </c:pt>
                <c:pt idx="344">
                  <c:v>305.69186910685386</c:v>
                </c:pt>
                <c:pt idx="345">
                  <c:v>305.82875004296233</c:v>
                </c:pt>
                <c:pt idx="346">
                  <c:v>305.93477938729541</c:v>
                </c:pt>
                <c:pt idx="347">
                  <c:v>306.02682658063071</c:v>
                </c:pt>
                <c:pt idx="348">
                  <c:v>306.11050486021742</c:v>
                </c:pt>
                <c:pt idx="349">
                  <c:v>306.19637202858252</c:v>
                </c:pt>
                <c:pt idx="350">
                  <c:v>306.27998885858295</c:v>
                </c:pt>
                <c:pt idx="351">
                  <c:v>306.3382710487457</c:v>
                </c:pt>
                <c:pt idx="352">
                  <c:v>306.39708009671278</c:v>
                </c:pt>
                <c:pt idx="353">
                  <c:v>306.50454289149263</c:v>
                </c:pt>
                <c:pt idx="354">
                  <c:v>306.57317032366478</c:v>
                </c:pt>
                <c:pt idx="355">
                  <c:v>306.64845789697989</c:v>
                </c:pt>
                <c:pt idx="356">
                  <c:v>306.70014405905061</c:v>
                </c:pt>
                <c:pt idx="357">
                  <c:v>306.76809008533672</c:v>
                </c:pt>
                <c:pt idx="358">
                  <c:v>306.80753662082486</c:v>
                </c:pt>
                <c:pt idx="359">
                  <c:v>306.85369667687399</c:v>
                </c:pt>
                <c:pt idx="360">
                  <c:v>306.8827812266058</c:v>
                </c:pt>
                <c:pt idx="361">
                  <c:v>306.90397776076702</c:v>
                </c:pt>
                <c:pt idx="362">
                  <c:v>306.92309229968293</c:v>
                </c:pt>
                <c:pt idx="363">
                  <c:v>306.9354556544003</c:v>
                </c:pt>
                <c:pt idx="364">
                  <c:v>306.93869188916881</c:v>
                </c:pt>
                <c:pt idx="365">
                  <c:v>306.9242550341126</c:v>
                </c:pt>
                <c:pt idx="366">
                  <c:v>306.90265583873662</c:v>
                </c:pt>
                <c:pt idx="367">
                  <c:v>306.87201337067762</c:v>
                </c:pt>
                <c:pt idx="368">
                  <c:v>306.85114785371792</c:v>
                </c:pt>
                <c:pt idx="369">
                  <c:v>306.83687891936756</c:v>
                </c:pt>
                <c:pt idx="370">
                  <c:v>306.80343553008362</c:v>
                </c:pt>
                <c:pt idx="371">
                  <c:v>306.76792369469342</c:v>
                </c:pt>
                <c:pt idx="372">
                  <c:v>306.76104377693923</c:v>
                </c:pt>
                <c:pt idx="373">
                  <c:v>306.75126032888483</c:v>
                </c:pt>
                <c:pt idx="374">
                  <c:v>306.76660491978458</c:v>
                </c:pt>
                <c:pt idx="375">
                  <c:v>306.76283282705816</c:v>
                </c:pt>
                <c:pt idx="376">
                  <c:v>306.74726754677175</c:v>
                </c:pt>
                <c:pt idx="377">
                  <c:v>306.73712960007413</c:v>
                </c:pt>
                <c:pt idx="378">
                  <c:v>306.72074715560217</c:v>
                </c:pt>
                <c:pt idx="379">
                  <c:v>306.70862773363223</c:v>
                </c:pt>
                <c:pt idx="380">
                  <c:v>306.72986633395459</c:v>
                </c:pt>
                <c:pt idx="381">
                  <c:v>306.75199964389265</c:v>
                </c:pt>
                <c:pt idx="382">
                  <c:v>306.7953153931403</c:v>
                </c:pt>
                <c:pt idx="383">
                  <c:v>306.80276725865707</c:v>
                </c:pt>
                <c:pt idx="384">
                  <c:v>306.8065890270247</c:v>
                </c:pt>
                <c:pt idx="385">
                  <c:v>306.81833536473169</c:v>
                </c:pt>
                <c:pt idx="386">
                  <c:v>306.82015423360207</c:v>
                </c:pt>
                <c:pt idx="387">
                  <c:v>306.81499911978148</c:v>
                </c:pt>
                <c:pt idx="388">
                  <c:v>306.81855133051459</c:v>
                </c:pt>
                <c:pt idx="389">
                  <c:v>306.81728825340571</c:v>
                </c:pt>
                <c:pt idx="390">
                  <c:v>306.8139679777077</c:v>
                </c:pt>
                <c:pt idx="391">
                  <c:v>306.82019543476622</c:v>
                </c:pt>
                <c:pt idx="392">
                  <c:v>306.82671447149289</c:v>
                </c:pt>
                <c:pt idx="393">
                  <c:v>306.8470830741847</c:v>
                </c:pt>
                <c:pt idx="394">
                  <c:v>306.86760860275763</c:v>
                </c:pt>
                <c:pt idx="395">
                  <c:v>306.88143279383542</c:v>
                </c:pt>
                <c:pt idx="396">
                  <c:v>306.90421360060304</c:v>
                </c:pt>
                <c:pt idx="397">
                  <c:v>306.94765664865525</c:v>
                </c:pt>
                <c:pt idx="398">
                  <c:v>306.95985869357321</c:v>
                </c:pt>
                <c:pt idx="399">
                  <c:v>307.04474499979938</c:v>
                </c:pt>
                <c:pt idx="400">
                  <c:v>307.0926930288997</c:v>
                </c:pt>
                <c:pt idx="401">
                  <c:v>307.1171090779622</c:v>
                </c:pt>
                <c:pt idx="402">
                  <c:v>307.13736767334996</c:v>
                </c:pt>
                <c:pt idx="403">
                  <c:v>307.15436213883822</c:v>
                </c:pt>
                <c:pt idx="404">
                  <c:v>307.18096376837985</c:v>
                </c:pt>
                <c:pt idx="405">
                  <c:v>307.24782464641567</c:v>
                </c:pt>
                <c:pt idx="406">
                  <c:v>307.29662227294182</c:v>
                </c:pt>
                <c:pt idx="407">
                  <c:v>307.34201494490213</c:v>
                </c:pt>
                <c:pt idx="408">
                  <c:v>307.39251296064646</c:v>
                </c:pt>
                <c:pt idx="409">
                  <c:v>307.46940084329344</c:v>
                </c:pt>
                <c:pt idx="410">
                  <c:v>307.52049554631981</c:v>
                </c:pt>
                <c:pt idx="411">
                  <c:v>307.5839045446877</c:v>
                </c:pt>
                <c:pt idx="412">
                  <c:v>307.64606175195604</c:v>
                </c:pt>
                <c:pt idx="413">
                  <c:v>307.70305641627363</c:v>
                </c:pt>
                <c:pt idx="414">
                  <c:v>307.75867327384066</c:v>
                </c:pt>
                <c:pt idx="415">
                  <c:v>307.82151435577418</c:v>
                </c:pt>
                <c:pt idx="416">
                  <c:v>307.87517221164455</c:v>
                </c:pt>
                <c:pt idx="417">
                  <c:v>307.95224992583991</c:v>
                </c:pt>
                <c:pt idx="418">
                  <c:v>308.03210113143649</c:v>
                </c:pt>
                <c:pt idx="419">
                  <c:v>308.10855055920905</c:v>
                </c:pt>
                <c:pt idx="420">
                  <c:v>308.1650918291482</c:v>
                </c:pt>
                <c:pt idx="421">
                  <c:v>308.21903769548794</c:v>
                </c:pt>
                <c:pt idx="422">
                  <c:v>308.26280260752424</c:v>
                </c:pt>
                <c:pt idx="423">
                  <c:v>308.29273479491599</c:v>
                </c:pt>
                <c:pt idx="424">
                  <c:v>308.32476306918244</c:v>
                </c:pt>
                <c:pt idx="425">
                  <c:v>308.33778314944038</c:v>
                </c:pt>
                <c:pt idx="426">
                  <c:v>308.35250546316871</c:v>
                </c:pt>
                <c:pt idx="427">
                  <c:v>308.3717994551107</c:v>
                </c:pt>
                <c:pt idx="428">
                  <c:v>308.38907336802538</c:v>
                </c:pt>
                <c:pt idx="429">
                  <c:v>308.40756055593033</c:v>
                </c:pt>
                <c:pt idx="430">
                  <c:v>308.43957816204374</c:v>
                </c:pt>
                <c:pt idx="431">
                  <c:v>308.45771744107913</c:v>
                </c:pt>
                <c:pt idx="432">
                  <c:v>308.47083778452219</c:v>
                </c:pt>
                <c:pt idx="433">
                  <c:v>308.48294694722313</c:v>
                </c:pt>
                <c:pt idx="434">
                  <c:v>308.48963917702565</c:v>
                </c:pt>
                <c:pt idx="435">
                  <c:v>308.50324183896885</c:v>
                </c:pt>
                <c:pt idx="436">
                  <c:v>308.51612495014678</c:v>
                </c:pt>
                <c:pt idx="437">
                  <c:v>308.52835626874901</c:v>
                </c:pt>
                <c:pt idx="438">
                  <c:v>308.53276256317417</c:v>
                </c:pt>
                <c:pt idx="439">
                  <c:v>308.53296893294811</c:v>
                </c:pt>
                <c:pt idx="440">
                  <c:v>308.53571407822233</c:v>
                </c:pt>
                <c:pt idx="441">
                  <c:v>308.52990453711033</c:v>
                </c:pt>
                <c:pt idx="442">
                  <c:v>308.52029306135591</c:v>
                </c:pt>
                <c:pt idx="443">
                  <c:v>308.50655594257842</c:v>
                </c:pt>
                <c:pt idx="444">
                  <c:v>308.49239710974774</c:v>
                </c:pt>
                <c:pt idx="445">
                  <c:v>308.49044383186703</c:v>
                </c:pt>
                <c:pt idx="446">
                  <c:v>308.49531963107393</c:v>
                </c:pt>
                <c:pt idx="447">
                  <c:v>308.5124440628889</c:v>
                </c:pt>
                <c:pt idx="448">
                  <c:v>308.52758963723107</c:v>
                </c:pt>
                <c:pt idx="449">
                  <c:v>308.53828008330936</c:v>
                </c:pt>
                <c:pt idx="450">
                  <c:v>308.55954278264517</c:v>
                </c:pt>
                <c:pt idx="451">
                  <c:v>308.58103930130653</c:v>
                </c:pt>
                <c:pt idx="452">
                  <c:v>308.60278977962247</c:v>
                </c:pt>
                <c:pt idx="453">
                  <c:v>308.63742062711867</c:v>
                </c:pt>
                <c:pt idx="454">
                  <c:v>308.65325143285776</c:v>
                </c:pt>
                <c:pt idx="455">
                  <c:v>308.66449720903023</c:v>
                </c:pt>
                <c:pt idx="456">
                  <c:v>308.6910488751812</c:v>
                </c:pt>
                <c:pt idx="457">
                  <c:v>308.70726333327394</c:v>
                </c:pt>
                <c:pt idx="458">
                  <c:v>308.71241015145955</c:v>
                </c:pt>
                <c:pt idx="459">
                  <c:v>308.7222094640947</c:v>
                </c:pt>
                <c:pt idx="460">
                  <c:v>308.72202892215239</c:v>
                </c:pt>
                <c:pt idx="461">
                  <c:v>308.71687480570461</c:v>
                </c:pt>
                <c:pt idx="462">
                  <c:v>308.72189755171712</c:v>
                </c:pt>
                <c:pt idx="463">
                  <c:v>308.76909122835252</c:v>
                </c:pt>
                <c:pt idx="464">
                  <c:v>308.76842834620766</c:v>
                </c:pt>
                <c:pt idx="465">
                  <c:v>308.77000970409688</c:v>
                </c:pt>
                <c:pt idx="466">
                  <c:v>308.77271658446301</c:v>
                </c:pt>
                <c:pt idx="467">
                  <c:v>308.79356600700186</c:v>
                </c:pt>
                <c:pt idx="468">
                  <c:v>308.81528117387359</c:v>
                </c:pt>
                <c:pt idx="469">
                  <c:v>308.83390311312752</c:v>
                </c:pt>
                <c:pt idx="470">
                  <c:v>308.85851990254099</c:v>
                </c:pt>
                <c:pt idx="471">
                  <c:v>308.86978584514014</c:v>
                </c:pt>
                <c:pt idx="472">
                  <c:v>308.88278841422937</c:v>
                </c:pt>
                <c:pt idx="473">
                  <c:v>308.88475318581328</c:v>
                </c:pt>
                <c:pt idx="474">
                  <c:v>308.90737653008318</c:v>
                </c:pt>
                <c:pt idx="475">
                  <c:v>308.94279220112026</c:v>
                </c:pt>
                <c:pt idx="476">
                  <c:v>308.96382454265375</c:v>
                </c:pt>
                <c:pt idx="477">
                  <c:v>309.01301998776637</c:v>
                </c:pt>
                <c:pt idx="478">
                  <c:v>309.05359330215413</c:v>
                </c:pt>
                <c:pt idx="479">
                  <c:v>309.08016649808837</c:v>
                </c:pt>
                <c:pt idx="480">
                  <c:v>309.09332825324037</c:v>
                </c:pt>
                <c:pt idx="481">
                  <c:v>309.1006342128623</c:v>
                </c:pt>
                <c:pt idx="482">
                  <c:v>309.14405614803951</c:v>
                </c:pt>
                <c:pt idx="483">
                  <c:v>309.18759846849429</c:v>
                </c:pt>
                <c:pt idx="484">
                  <c:v>309.2265356376044</c:v>
                </c:pt>
                <c:pt idx="485">
                  <c:v>309.26408824918315</c:v>
                </c:pt>
                <c:pt idx="486">
                  <c:v>309.29187383649702</c:v>
                </c:pt>
                <c:pt idx="487">
                  <c:v>309.33794753213607</c:v>
                </c:pt>
                <c:pt idx="488">
                  <c:v>309.38784069633289</c:v>
                </c:pt>
                <c:pt idx="489">
                  <c:v>309.45850669665231</c:v>
                </c:pt>
                <c:pt idx="490">
                  <c:v>309.53968257298641</c:v>
                </c:pt>
                <c:pt idx="491">
                  <c:v>309.58809036440806</c:v>
                </c:pt>
                <c:pt idx="492">
                  <c:v>309.66055289230184</c:v>
                </c:pt>
                <c:pt idx="493">
                  <c:v>309.7374238559521</c:v>
                </c:pt>
                <c:pt idx="494">
                  <c:v>309.84776363487271</c:v>
                </c:pt>
                <c:pt idx="495">
                  <c:v>309.89564572070492</c:v>
                </c:pt>
                <c:pt idx="496">
                  <c:v>309.92721436889309</c:v>
                </c:pt>
                <c:pt idx="497">
                  <c:v>309.94496095351343</c:v>
                </c:pt>
                <c:pt idx="498">
                  <c:v>309.95851781709467</c:v>
                </c:pt>
                <c:pt idx="499">
                  <c:v>309.97420838083167</c:v>
                </c:pt>
                <c:pt idx="500">
                  <c:v>309.98410187414891</c:v>
                </c:pt>
                <c:pt idx="501">
                  <c:v>309.98965288295045</c:v>
                </c:pt>
                <c:pt idx="502">
                  <c:v>309.99718733729355</c:v>
                </c:pt>
                <c:pt idx="503">
                  <c:v>310.00152571519823</c:v>
                </c:pt>
                <c:pt idx="504">
                  <c:v>310.01132892169824</c:v>
                </c:pt>
                <c:pt idx="505">
                  <c:v>310.02784337184085</c:v>
                </c:pt>
                <c:pt idx="506">
                  <c:v>310.0545207819809</c:v>
                </c:pt>
                <c:pt idx="507">
                  <c:v>310.07307311965695</c:v>
                </c:pt>
                <c:pt idx="508">
                  <c:v>310.0915771579086</c:v>
                </c:pt>
                <c:pt idx="509">
                  <c:v>310.11700248523692</c:v>
                </c:pt>
                <c:pt idx="510">
                  <c:v>310.1376785377912</c:v>
                </c:pt>
                <c:pt idx="511">
                  <c:v>310.16204181237595</c:v>
                </c:pt>
                <c:pt idx="512">
                  <c:v>310.17721934163063</c:v>
                </c:pt>
                <c:pt idx="513">
                  <c:v>310.18214800466205</c:v>
                </c:pt>
                <c:pt idx="514">
                  <c:v>310.19972234657229</c:v>
                </c:pt>
                <c:pt idx="515">
                  <c:v>310.21222573610993</c:v>
                </c:pt>
                <c:pt idx="516">
                  <c:v>310.23048520417916</c:v>
                </c:pt>
                <c:pt idx="517">
                  <c:v>310.27234671047188</c:v>
                </c:pt>
                <c:pt idx="518">
                  <c:v>310.30831823848064</c:v>
                </c:pt>
                <c:pt idx="519">
                  <c:v>310.3357543107503</c:v>
                </c:pt>
                <c:pt idx="520">
                  <c:v>310.38537795247407</c:v>
                </c:pt>
                <c:pt idx="521">
                  <c:v>310.42980316786907</c:v>
                </c:pt>
                <c:pt idx="522">
                  <c:v>310.49332782707222</c:v>
                </c:pt>
                <c:pt idx="523">
                  <c:v>310.57160533781632</c:v>
                </c:pt>
                <c:pt idx="524">
                  <c:v>310.68440133624068</c:v>
                </c:pt>
                <c:pt idx="525">
                  <c:v>310.78061808214522</c:v>
                </c:pt>
                <c:pt idx="526">
                  <c:v>310.87591018489417</c:v>
                </c:pt>
                <c:pt idx="527">
                  <c:v>310.95990730240061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AD-4DA4-AE3D-3357A097D20D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Data!$I$2:$I$529</c:f>
              <c:numCache>
                <c:formatCode>General</c:formatCode>
                <c:ptCount val="528"/>
                <c:pt idx="0">
                  <c:v>297.04000000000002</c:v>
                </c:pt>
                <c:pt idx="1">
                  <c:v>294.62509459936064</c:v>
                </c:pt>
                <c:pt idx="2">
                  <c:v>292.19218231594692</c:v>
                </c:pt>
                <c:pt idx="3">
                  <c:v>290.18713539645148</c:v>
                </c:pt>
                <c:pt idx="4">
                  <c:v>290.2522898041841</c:v>
                </c:pt>
                <c:pt idx="5">
                  <c:v>290.16668405243229</c:v>
                </c:pt>
                <c:pt idx="6">
                  <c:v>290.42129849436071</c:v>
                </c:pt>
                <c:pt idx="7">
                  <c:v>290.63530517966092</c:v>
                </c:pt>
                <c:pt idx="8">
                  <c:v>290.79336437735691</c:v>
                </c:pt>
                <c:pt idx="9">
                  <c:v>290.64863265747255</c:v>
                </c:pt>
                <c:pt idx="10">
                  <c:v>290.59327254444594</c:v>
                </c:pt>
                <c:pt idx="11">
                  <c:v>290.73559514829941</c:v>
                </c:pt>
                <c:pt idx="12">
                  <c:v>290.80243778114163</c:v>
                </c:pt>
                <c:pt idx="13">
                  <c:v>290.98962729528216</c:v>
                </c:pt>
                <c:pt idx="14">
                  <c:v>290.95967507457544</c:v>
                </c:pt>
                <c:pt idx="15">
                  <c:v>291.14994678701311</c:v>
                </c:pt>
                <c:pt idx="16">
                  <c:v>291.36096162791506</c:v>
                </c:pt>
                <c:pt idx="17">
                  <c:v>291.20947663430599</c:v>
                </c:pt>
                <c:pt idx="18">
                  <c:v>291.10452501252314</c:v>
                </c:pt>
                <c:pt idx="19">
                  <c:v>291.19592660554707</c:v>
                </c:pt>
                <c:pt idx="20">
                  <c:v>291.15659015922358</c:v>
                </c:pt>
                <c:pt idx="21">
                  <c:v>291.3235220250279</c:v>
                </c:pt>
                <c:pt idx="22">
                  <c:v>291.49116686290216</c:v>
                </c:pt>
                <c:pt idx="23">
                  <c:v>290.27392994171765</c:v>
                </c:pt>
                <c:pt idx="24">
                  <c:v>289.22964987483522</c:v>
                </c:pt>
                <c:pt idx="25">
                  <c:v>288.84622662473623</c:v>
                </c:pt>
                <c:pt idx="26">
                  <c:v>288.85813776657045</c:v>
                </c:pt>
                <c:pt idx="27">
                  <c:v>288.74015230534735</c:v>
                </c:pt>
                <c:pt idx="28">
                  <c:v>288.66358457105616</c:v>
                </c:pt>
                <c:pt idx="29">
                  <c:v>288.42842608726693</c:v>
                </c:pt>
                <c:pt idx="30">
                  <c:v>288.31362604459844</c:v>
                </c:pt>
                <c:pt idx="31">
                  <c:v>288.36083393940595</c:v>
                </c:pt>
                <c:pt idx="32">
                  <c:v>288.40887579736517</c:v>
                </c:pt>
                <c:pt idx="33">
                  <c:v>288.47249724575948</c:v>
                </c:pt>
                <c:pt idx="34">
                  <c:v>288.55254385456095</c:v>
                </c:pt>
                <c:pt idx="35">
                  <c:v>288.66850123682741</c:v>
                </c:pt>
                <c:pt idx="36">
                  <c:v>288.74098489347608</c:v>
                </c:pt>
                <c:pt idx="37">
                  <c:v>288.8355501548952</c:v>
                </c:pt>
                <c:pt idx="38">
                  <c:v>288.90762550852435</c:v>
                </c:pt>
                <c:pt idx="39">
                  <c:v>288.99170028453369</c:v>
                </c:pt>
                <c:pt idx="40">
                  <c:v>289.02008531511075</c:v>
                </c:pt>
                <c:pt idx="41">
                  <c:v>288.99831250525801</c:v>
                </c:pt>
                <c:pt idx="42">
                  <c:v>288.98878727855305</c:v>
                </c:pt>
                <c:pt idx="43">
                  <c:v>289.02617464251819</c:v>
                </c:pt>
                <c:pt idx="44">
                  <c:v>289.0706598953704</c:v>
                </c:pt>
                <c:pt idx="45">
                  <c:v>289.07349050251668</c:v>
                </c:pt>
                <c:pt idx="46">
                  <c:v>289.10875395806914</c:v>
                </c:pt>
                <c:pt idx="47">
                  <c:v>289.17856912528401</c:v>
                </c:pt>
                <c:pt idx="48">
                  <c:v>289.23407928171775</c:v>
                </c:pt>
                <c:pt idx="49">
                  <c:v>288.64264351928693</c:v>
                </c:pt>
                <c:pt idx="50">
                  <c:v>288.0632473302316</c:v>
                </c:pt>
                <c:pt idx="51">
                  <c:v>287.29702058473652</c:v>
                </c:pt>
                <c:pt idx="52">
                  <c:v>286.69442057865581</c:v>
                </c:pt>
                <c:pt idx="53">
                  <c:v>286.37467660399881</c:v>
                </c:pt>
                <c:pt idx="54">
                  <c:v>286.20478938259561</c:v>
                </c:pt>
                <c:pt idx="55">
                  <c:v>285.9720453473123</c:v>
                </c:pt>
                <c:pt idx="56">
                  <c:v>285.75866475707068</c:v>
                </c:pt>
                <c:pt idx="57">
                  <c:v>285.33454212277724</c:v>
                </c:pt>
                <c:pt idx="58">
                  <c:v>284.96767883494283</c:v>
                </c:pt>
                <c:pt idx="59">
                  <c:v>284.77645999699786</c:v>
                </c:pt>
                <c:pt idx="60">
                  <c:v>284.55642767365543</c:v>
                </c:pt>
                <c:pt idx="61">
                  <c:v>284.32438459264228</c:v>
                </c:pt>
                <c:pt idx="62">
                  <c:v>283.9689247250455</c:v>
                </c:pt>
                <c:pt idx="63">
                  <c:v>283.53956012851876</c:v>
                </c:pt>
                <c:pt idx="64">
                  <c:v>282.71995512144275</c:v>
                </c:pt>
                <c:pt idx="65">
                  <c:v>281.46353624332249</c:v>
                </c:pt>
                <c:pt idx="66">
                  <c:v>280.67103875411448</c:v>
                </c:pt>
                <c:pt idx="67">
                  <c:v>280.02579168306238</c:v>
                </c:pt>
                <c:pt idx="68">
                  <c:v>279.39215076033315</c:v>
                </c:pt>
                <c:pt idx="69">
                  <c:v>278.90256975254289</c:v>
                </c:pt>
                <c:pt idx="70">
                  <c:v>278.37358387619156</c:v>
                </c:pt>
                <c:pt idx="71">
                  <c:v>277.73931733308666</c:v>
                </c:pt>
                <c:pt idx="72">
                  <c:v>277.17374131742986</c:v>
                </c:pt>
                <c:pt idx="73">
                  <c:v>276.78742636443803</c:v>
                </c:pt>
                <c:pt idx="74">
                  <c:v>276.45598368438914</c:v>
                </c:pt>
                <c:pt idx="75">
                  <c:v>276.1959848613858</c:v>
                </c:pt>
                <c:pt idx="76">
                  <c:v>276.04672833189306</c:v>
                </c:pt>
                <c:pt idx="77">
                  <c:v>275.93178181451952</c:v>
                </c:pt>
                <c:pt idx="78">
                  <c:v>275.79063471242557</c:v>
                </c:pt>
                <c:pt idx="79">
                  <c:v>275.6185793085013</c:v>
                </c:pt>
                <c:pt idx="80">
                  <c:v>275.40189666511378</c:v>
                </c:pt>
                <c:pt idx="81">
                  <c:v>275.22645669907706</c:v>
                </c:pt>
                <c:pt idx="82">
                  <c:v>274.88308210638422</c:v>
                </c:pt>
                <c:pt idx="83">
                  <c:v>274.68597198762461</c:v>
                </c:pt>
                <c:pt idx="84">
                  <c:v>274.53114837197177</c:v>
                </c:pt>
                <c:pt idx="85">
                  <c:v>274.32509077048451</c:v>
                </c:pt>
                <c:pt idx="86">
                  <c:v>274.10789640466248</c:v>
                </c:pt>
                <c:pt idx="87">
                  <c:v>273.81167596693894</c:v>
                </c:pt>
                <c:pt idx="88">
                  <c:v>273.550342701153</c:v>
                </c:pt>
                <c:pt idx="89">
                  <c:v>273.28968946740946</c:v>
                </c:pt>
                <c:pt idx="90">
                  <c:v>273.15553601405185</c:v>
                </c:pt>
                <c:pt idx="91">
                  <c:v>272.96929651389672</c:v>
                </c:pt>
                <c:pt idx="92">
                  <c:v>272.80084244734672</c:v>
                </c:pt>
                <c:pt idx="93">
                  <c:v>272.71333075055361</c:v>
                </c:pt>
                <c:pt idx="94">
                  <c:v>272.64106390680513</c:v>
                </c:pt>
                <c:pt idx="95">
                  <c:v>272.546584724578</c:v>
                </c:pt>
                <c:pt idx="96">
                  <c:v>272.35121606447916</c:v>
                </c:pt>
                <c:pt idx="97">
                  <c:v>272.12907762348897</c:v>
                </c:pt>
                <c:pt idx="98">
                  <c:v>271.9359732587086</c:v>
                </c:pt>
                <c:pt idx="99">
                  <c:v>271.27284900178921</c:v>
                </c:pt>
                <c:pt idx="100">
                  <c:v>270.80680309282241</c:v>
                </c:pt>
                <c:pt idx="101">
                  <c:v>270.13046039303032</c:v>
                </c:pt>
                <c:pt idx="102">
                  <c:v>269.35405436818161</c:v>
                </c:pt>
                <c:pt idx="103">
                  <c:v>268.74806468792747</c:v>
                </c:pt>
                <c:pt idx="104">
                  <c:v>268.21759411362729</c:v>
                </c:pt>
                <c:pt idx="105">
                  <c:v>267.8402100600386</c:v>
                </c:pt>
                <c:pt idx="106">
                  <c:v>267.54370553767842</c:v>
                </c:pt>
                <c:pt idx="107">
                  <c:v>267.20795846124821</c:v>
                </c:pt>
                <c:pt idx="108">
                  <c:v>266.94244953661934</c:v>
                </c:pt>
                <c:pt idx="109">
                  <c:v>266.64041828937212</c:v>
                </c:pt>
                <c:pt idx="110">
                  <c:v>266.25217495222853</c:v>
                </c:pt>
                <c:pt idx="111">
                  <c:v>265.8982723818811</c:v>
                </c:pt>
                <c:pt idx="112">
                  <c:v>265.53244748217867</c:v>
                </c:pt>
                <c:pt idx="113">
                  <c:v>265.16007490483639</c:v>
                </c:pt>
                <c:pt idx="114">
                  <c:v>264.81917285245373</c:v>
                </c:pt>
                <c:pt idx="115">
                  <c:v>264.5049640371443</c:v>
                </c:pt>
                <c:pt idx="116">
                  <c:v>264.1085916134636</c:v>
                </c:pt>
                <c:pt idx="117">
                  <c:v>263.72813140696076</c:v>
                </c:pt>
                <c:pt idx="118">
                  <c:v>263.28848024757309</c:v>
                </c:pt>
                <c:pt idx="119">
                  <c:v>263.08603787349591</c:v>
                </c:pt>
                <c:pt idx="120">
                  <c:v>262.80994182431459</c:v>
                </c:pt>
                <c:pt idx="121">
                  <c:v>262.61894915489637</c:v>
                </c:pt>
                <c:pt idx="122">
                  <c:v>262.44548235503839</c:v>
                </c:pt>
                <c:pt idx="123">
                  <c:v>261.89012809096846</c:v>
                </c:pt>
                <c:pt idx="124">
                  <c:v>261.50254269313871</c:v>
                </c:pt>
                <c:pt idx="125">
                  <c:v>261.0652160119235</c:v>
                </c:pt>
                <c:pt idx="126">
                  <c:v>260.80719781522748</c:v>
                </c:pt>
                <c:pt idx="127">
                  <c:v>260.53211758959702</c:v>
                </c:pt>
                <c:pt idx="128">
                  <c:v>260.17699104604588</c:v>
                </c:pt>
                <c:pt idx="129">
                  <c:v>259.67071571552719</c:v>
                </c:pt>
                <c:pt idx="130">
                  <c:v>259.34044444519787</c:v>
                </c:pt>
                <c:pt idx="131">
                  <c:v>259.04286078440816</c:v>
                </c:pt>
                <c:pt idx="132">
                  <c:v>258.77856171518323</c:v>
                </c:pt>
                <c:pt idx="133">
                  <c:v>258.52849185874982</c:v>
                </c:pt>
                <c:pt idx="134">
                  <c:v>258.35496025699223</c:v>
                </c:pt>
                <c:pt idx="135">
                  <c:v>258.25980351811637</c:v>
                </c:pt>
                <c:pt idx="136">
                  <c:v>258.15375211844781</c:v>
                </c:pt>
                <c:pt idx="137">
                  <c:v>258.01501349872683</c:v>
                </c:pt>
                <c:pt idx="138">
                  <c:v>257.93384950601046</c:v>
                </c:pt>
                <c:pt idx="139">
                  <c:v>257.78225342426174</c:v>
                </c:pt>
                <c:pt idx="140">
                  <c:v>257.48660838566241</c:v>
                </c:pt>
                <c:pt idx="141">
                  <c:v>257.27440957281254</c:v>
                </c:pt>
                <c:pt idx="142">
                  <c:v>257.04709508248322</c:v>
                </c:pt>
                <c:pt idx="143">
                  <c:v>256.8494061270103</c:v>
                </c:pt>
                <c:pt idx="144">
                  <c:v>256.82876628852489</c:v>
                </c:pt>
                <c:pt idx="145">
                  <c:v>256.79938342921361</c:v>
                </c:pt>
                <c:pt idx="146">
                  <c:v>256.80912621702629</c:v>
                </c:pt>
                <c:pt idx="147">
                  <c:v>256.93352844452318</c:v>
                </c:pt>
                <c:pt idx="148">
                  <c:v>256.92465909296379</c:v>
                </c:pt>
                <c:pt idx="149">
                  <c:v>256.95701418095859</c:v>
                </c:pt>
                <c:pt idx="150">
                  <c:v>256.98249573302382</c:v>
                </c:pt>
                <c:pt idx="151">
                  <c:v>257.02345925212842</c:v>
                </c:pt>
                <c:pt idx="152">
                  <c:v>257.04333078840267</c:v>
                </c:pt>
                <c:pt idx="153">
                  <c:v>257.07210621158907</c:v>
                </c:pt>
                <c:pt idx="154">
                  <c:v>257.10844981263591</c:v>
                </c:pt>
                <c:pt idx="155">
                  <c:v>257.15051466468458</c:v>
                </c:pt>
                <c:pt idx="156">
                  <c:v>257.20954076365263</c:v>
                </c:pt>
                <c:pt idx="157">
                  <c:v>257.28861379863105</c:v>
                </c:pt>
                <c:pt idx="158">
                  <c:v>257.43815552532766</c:v>
                </c:pt>
                <c:pt idx="159">
                  <c:v>257.54264569222983</c:v>
                </c:pt>
                <c:pt idx="160">
                  <c:v>257.62100298841415</c:v>
                </c:pt>
                <c:pt idx="161">
                  <c:v>257.67358823303795</c:v>
                </c:pt>
                <c:pt idx="162">
                  <c:v>257.73681619173976</c:v>
                </c:pt>
                <c:pt idx="163">
                  <c:v>257.79843008996272</c:v>
                </c:pt>
                <c:pt idx="164">
                  <c:v>257.88264852953182</c:v>
                </c:pt>
                <c:pt idx="165">
                  <c:v>257.96065146138727</c:v>
                </c:pt>
                <c:pt idx="166">
                  <c:v>258.01799362547683</c:v>
                </c:pt>
                <c:pt idx="167">
                  <c:v>258.09252457350931</c:v>
                </c:pt>
                <c:pt idx="168">
                  <c:v>258.17570186953765</c:v>
                </c:pt>
                <c:pt idx="169">
                  <c:v>258.25085136930238</c:v>
                </c:pt>
                <c:pt idx="170">
                  <c:v>258.3222357827172</c:v>
                </c:pt>
                <c:pt idx="171">
                  <c:v>258.42984375044972</c:v>
                </c:pt>
                <c:pt idx="172">
                  <c:v>258.51880606972873</c:v>
                </c:pt>
                <c:pt idx="173">
                  <c:v>258.58704885350056</c:v>
                </c:pt>
                <c:pt idx="174">
                  <c:v>258.66364866906827</c:v>
                </c:pt>
                <c:pt idx="175">
                  <c:v>258.72298884946434</c:v>
                </c:pt>
                <c:pt idx="176">
                  <c:v>258.76653747817727</c:v>
                </c:pt>
                <c:pt idx="177">
                  <c:v>258.83616079499853</c:v>
                </c:pt>
                <c:pt idx="178">
                  <c:v>258.9155031810426</c:v>
                </c:pt>
                <c:pt idx="179">
                  <c:v>258.96269026283079</c:v>
                </c:pt>
                <c:pt idx="180">
                  <c:v>259.01938945760219</c:v>
                </c:pt>
                <c:pt idx="181">
                  <c:v>259.19238871052175</c:v>
                </c:pt>
                <c:pt idx="182">
                  <c:v>259.23217609357704</c:v>
                </c:pt>
                <c:pt idx="183">
                  <c:v>259.27141075790433</c:v>
                </c:pt>
                <c:pt idx="184">
                  <c:v>259.29400084594369</c:v>
                </c:pt>
                <c:pt idx="185">
                  <c:v>259.29952756600375</c:v>
                </c:pt>
                <c:pt idx="186">
                  <c:v>259.37064613634209</c:v>
                </c:pt>
                <c:pt idx="187">
                  <c:v>259.38903851625253</c:v>
                </c:pt>
                <c:pt idx="188">
                  <c:v>259.44945051446729</c:v>
                </c:pt>
                <c:pt idx="189">
                  <c:v>259.47807976799999</c:v>
                </c:pt>
                <c:pt idx="190">
                  <c:v>259.48630873613473</c:v>
                </c:pt>
                <c:pt idx="191">
                  <c:v>259.52158358331127</c:v>
                </c:pt>
                <c:pt idx="192">
                  <c:v>259.55735674296085</c:v>
                </c:pt>
                <c:pt idx="193">
                  <c:v>259.58743846732574</c:v>
                </c:pt>
                <c:pt idx="194">
                  <c:v>259.6016597733975</c:v>
                </c:pt>
                <c:pt idx="195">
                  <c:v>259.61145178048662</c:v>
                </c:pt>
                <c:pt idx="196">
                  <c:v>259.61887895029895</c:v>
                </c:pt>
                <c:pt idx="197">
                  <c:v>259.62848268077056</c:v>
                </c:pt>
                <c:pt idx="198">
                  <c:v>259.6563048171414</c:v>
                </c:pt>
                <c:pt idx="199">
                  <c:v>259.62185222995015</c:v>
                </c:pt>
                <c:pt idx="200">
                  <c:v>259.64953901322616</c:v>
                </c:pt>
                <c:pt idx="201">
                  <c:v>259.63589888572506</c:v>
                </c:pt>
                <c:pt idx="202">
                  <c:v>259.63029828335112</c:v>
                </c:pt>
                <c:pt idx="203">
                  <c:v>259.82071470800378</c:v>
                </c:pt>
                <c:pt idx="204">
                  <c:v>260.38227852500228</c:v>
                </c:pt>
                <c:pt idx="205">
                  <c:v>260.5424687567139</c:v>
                </c:pt>
                <c:pt idx="206">
                  <c:v>260.74225118285858</c:v>
                </c:pt>
                <c:pt idx="207">
                  <c:v>260.91529753872572</c:v>
                </c:pt>
                <c:pt idx="208">
                  <c:v>261.13110794156825</c:v>
                </c:pt>
                <c:pt idx="209">
                  <c:v>261.24078186830786</c:v>
                </c:pt>
                <c:pt idx="210">
                  <c:v>261.33962017859648</c:v>
                </c:pt>
                <c:pt idx="211">
                  <c:v>261.44063820912436</c:v>
                </c:pt>
                <c:pt idx="212">
                  <c:v>261.50786690335929</c:v>
                </c:pt>
                <c:pt idx="213">
                  <c:v>261.58317947225692</c:v>
                </c:pt>
                <c:pt idx="214">
                  <c:v>261.69071610300159</c:v>
                </c:pt>
                <c:pt idx="215">
                  <c:v>261.77239890819874</c:v>
                </c:pt>
                <c:pt idx="216">
                  <c:v>261.85167357330943</c:v>
                </c:pt>
                <c:pt idx="217">
                  <c:v>261.91641993539452</c:v>
                </c:pt>
                <c:pt idx="218">
                  <c:v>261.97478060437066</c:v>
                </c:pt>
                <c:pt idx="219">
                  <c:v>262.03200920952673</c:v>
                </c:pt>
                <c:pt idx="220">
                  <c:v>262.07764876690118</c:v>
                </c:pt>
                <c:pt idx="221">
                  <c:v>262.16722891990543</c:v>
                </c:pt>
                <c:pt idx="222">
                  <c:v>262.23515768846033</c:v>
                </c:pt>
                <c:pt idx="223">
                  <c:v>262.29498133928826</c:v>
                </c:pt>
                <c:pt idx="224">
                  <c:v>262.3570822827993</c:v>
                </c:pt>
                <c:pt idx="225">
                  <c:v>262.43843499205411</c:v>
                </c:pt>
                <c:pt idx="226">
                  <c:v>262.50402686661283</c:v>
                </c:pt>
                <c:pt idx="227">
                  <c:v>262.61645441867603</c:v>
                </c:pt>
                <c:pt idx="228">
                  <c:v>262.67118519539304</c:v>
                </c:pt>
                <c:pt idx="229">
                  <c:v>262.7266579719323</c:v>
                </c:pt>
                <c:pt idx="230">
                  <c:v>262.76953129663502</c:v>
                </c:pt>
                <c:pt idx="231">
                  <c:v>262.83986733804676</c:v>
                </c:pt>
                <c:pt idx="232">
                  <c:v>262.90941569091223</c:v>
                </c:pt>
                <c:pt idx="233">
                  <c:v>262.99200844022982</c:v>
                </c:pt>
                <c:pt idx="234">
                  <c:v>263.04972376050364</c:v>
                </c:pt>
                <c:pt idx="235">
                  <c:v>263.14381850012705</c:v>
                </c:pt>
                <c:pt idx="236">
                  <c:v>263.19324588103746</c:v>
                </c:pt>
                <c:pt idx="237">
                  <c:v>263.2719038870315</c:v>
                </c:pt>
                <c:pt idx="238">
                  <c:v>263.34025712253458</c:v>
                </c:pt>
                <c:pt idx="239">
                  <c:v>263.38902335825452</c:v>
                </c:pt>
                <c:pt idx="240">
                  <c:v>263.44755980622597</c:v>
                </c:pt>
                <c:pt idx="241">
                  <c:v>263.51818824444928</c:v>
                </c:pt>
                <c:pt idx="242">
                  <c:v>263.59032189052112</c:v>
                </c:pt>
                <c:pt idx="243">
                  <c:v>263.66211789776463</c:v>
                </c:pt>
                <c:pt idx="244">
                  <c:v>263.72774327454334</c:v>
                </c:pt>
                <c:pt idx="245">
                  <c:v>263.85640895754602</c:v>
                </c:pt>
                <c:pt idx="246">
                  <c:v>263.91134164693847</c:v>
                </c:pt>
                <c:pt idx="247">
                  <c:v>263.95145180948919</c:v>
                </c:pt>
                <c:pt idx="248">
                  <c:v>263.99011534526085</c:v>
                </c:pt>
                <c:pt idx="249">
                  <c:v>264.03277793437792</c:v>
                </c:pt>
                <c:pt idx="250">
                  <c:v>264.07975198117481</c:v>
                </c:pt>
                <c:pt idx="251">
                  <c:v>264.12644725869814</c:v>
                </c:pt>
                <c:pt idx="252">
                  <c:v>264.18926406852324</c:v>
                </c:pt>
                <c:pt idx="253">
                  <c:v>264.24010160500922</c:v>
                </c:pt>
                <c:pt idx="254">
                  <c:v>264.29836633420302</c:v>
                </c:pt>
                <c:pt idx="255">
                  <c:v>264.35801339878134</c:v>
                </c:pt>
                <c:pt idx="256">
                  <c:v>264.40639605749834</c:v>
                </c:pt>
                <c:pt idx="257">
                  <c:v>264.44413009700645</c:v>
                </c:pt>
                <c:pt idx="258">
                  <c:v>264.48582196490906</c:v>
                </c:pt>
                <c:pt idx="259">
                  <c:v>264.5188674296071</c:v>
                </c:pt>
                <c:pt idx="260">
                  <c:v>264.55446317246617</c:v>
                </c:pt>
                <c:pt idx="261">
                  <c:v>264.5799046534616</c:v>
                </c:pt>
                <c:pt idx="262">
                  <c:v>264.61043054594387</c:v>
                </c:pt>
                <c:pt idx="263">
                  <c:v>264.64806932824939</c:v>
                </c:pt>
                <c:pt idx="264">
                  <c:v>264.67990216846124</c:v>
                </c:pt>
                <c:pt idx="265">
                  <c:v>264.71872407285281</c:v>
                </c:pt>
                <c:pt idx="266">
                  <c:v>264.76050729285447</c:v>
                </c:pt>
                <c:pt idx="267">
                  <c:v>264.83513353788044</c:v>
                </c:pt>
                <c:pt idx="268">
                  <c:v>264.89174134895075</c:v>
                </c:pt>
                <c:pt idx="269">
                  <c:v>264.93846133961642</c:v>
                </c:pt>
                <c:pt idx="270">
                  <c:v>264.98287440925105</c:v>
                </c:pt>
                <c:pt idx="271">
                  <c:v>265.02929873175339</c:v>
                </c:pt>
                <c:pt idx="272">
                  <c:v>265.08180249594506</c:v>
                </c:pt>
                <c:pt idx="273">
                  <c:v>265.13290794090602</c:v>
                </c:pt>
                <c:pt idx="274">
                  <c:v>265.17723940210203</c:v>
                </c:pt>
                <c:pt idx="275">
                  <c:v>265.24136715025588</c:v>
                </c:pt>
                <c:pt idx="276">
                  <c:v>265.29510604981328</c:v>
                </c:pt>
                <c:pt idx="277">
                  <c:v>265.48036310486435</c:v>
                </c:pt>
                <c:pt idx="278">
                  <c:v>265.55283695793815</c:v>
                </c:pt>
                <c:pt idx="279">
                  <c:v>265.59998592200554</c:v>
                </c:pt>
                <c:pt idx="280">
                  <c:v>265.64140012745793</c:v>
                </c:pt>
                <c:pt idx="281">
                  <c:v>265.67518284445185</c:v>
                </c:pt>
                <c:pt idx="282">
                  <c:v>265.73399047127907</c:v>
                </c:pt>
                <c:pt idx="283">
                  <c:v>265.78737167615128</c:v>
                </c:pt>
                <c:pt idx="284">
                  <c:v>265.84024175818507</c:v>
                </c:pt>
                <c:pt idx="285">
                  <c:v>265.89132831369187</c:v>
                </c:pt>
                <c:pt idx="286">
                  <c:v>265.94718179742949</c:v>
                </c:pt>
                <c:pt idx="287">
                  <c:v>266.01141125827962</c:v>
                </c:pt>
                <c:pt idx="288">
                  <c:v>266.08755827109007</c:v>
                </c:pt>
                <c:pt idx="289">
                  <c:v>266.13807053713214</c:v>
                </c:pt>
                <c:pt idx="290">
                  <c:v>266.2333045291137</c:v>
                </c:pt>
                <c:pt idx="291">
                  <c:v>266.31350269682383</c:v>
                </c:pt>
                <c:pt idx="292">
                  <c:v>266.38397074867277</c:v>
                </c:pt>
                <c:pt idx="293">
                  <c:v>266.41386564102493</c:v>
                </c:pt>
                <c:pt idx="294">
                  <c:v>266.45321058719003</c:v>
                </c:pt>
                <c:pt idx="295">
                  <c:v>266.62973202783763</c:v>
                </c:pt>
                <c:pt idx="296">
                  <c:v>266.70706409617702</c:v>
                </c:pt>
                <c:pt idx="297">
                  <c:v>266.78874627574874</c:v>
                </c:pt>
                <c:pt idx="298">
                  <c:v>266.86492876949882</c:v>
                </c:pt>
                <c:pt idx="299">
                  <c:v>266.93253117608941</c:v>
                </c:pt>
                <c:pt idx="300">
                  <c:v>266.98002740017722</c:v>
                </c:pt>
                <c:pt idx="301">
                  <c:v>267.02554709196943</c:v>
                </c:pt>
                <c:pt idx="302">
                  <c:v>267.06537952333974</c:v>
                </c:pt>
                <c:pt idx="303">
                  <c:v>267.10819124309029</c:v>
                </c:pt>
                <c:pt idx="304">
                  <c:v>267.14906114816574</c:v>
                </c:pt>
                <c:pt idx="305">
                  <c:v>267.25876615511532</c:v>
                </c:pt>
                <c:pt idx="306">
                  <c:v>267.31601484106909</c:v>
                </c:pt>
                <c:pt idx="307">
                  <c:v>267.35549262117985</c:v>
                </c:pt>
                <c:pt idx="308">
                  <c:v>267.37940719069144</c:v>
                </c:pt>
                <c:pt idx="309">
                  <c:v>267.41941710733204</c:v>
                </c:pt>
                <c:pt idx="310">
                  <c:v>267.47096585001572</c:v>
                </c:pt>
                <c:pt idx="311">
                  <c:v>267.54564765806009</c:v>
                </c:pt>
                <c:pt idx="312">
                  <c:v>267.56520971754065</c:v>
                </c:pt>
                <c:pt idx="313">
                  <c:v>267.59997010771605</c:v>
                </c:pt>
                <c:pt idx="314">
                  <c:v>267.74693977302042</c:v>
                </c:pt>
                <c:pt idx="315">
                  <c:v>267.87745423011586</c:v>
                </c:pt>
                <c:pt idx="316">
                  <c:v>267.99025262409884</c:v>
                </c:pt>
                <c:pt idx="317">
                  <c:v>268.07318127056465</c:v>
                </c:pt>
                <c:pt idx="318">
                  <c:v>268.20905217134504</c:v>
                </c:pt>
                <c:pt idx="319">
                  <c:v>268.31228028718351</c:v>
                </c:pt>
                <c:pt idx="320">
                  <c:v>268.38438253659473</c:v>
                </c:pt>
                <c:pt idx="321">
                  <c:v>268.44104638771626</c:v>
                </c:pt>
                <c:pt idx="322">
                  <c:v>268.47546402325389</c:v>
                </c:pt>
                <c:pt idx="323">
                  <c:v>268.52013527365341</c:v>
                </c:pt>
                <c:pt idx="324">
                  <c:v>268.55345094064108</c:v>
                </c:pt>
                <c:pt idx="325">
                  <c:v>268.59029029992917</c:v>
                </c:pt>
                <c:pt idx="326">
                  <c:v>268.64616524644936</c:v>
                </c:pt>
                <c:pt idx="327">
                  <c:v>268.67575549071665</c:v>
                </c:pt>
                <c:pt idx="328">
                  <c:v>268.69256816562569</c:v>
                </c:pt>
                <c:pt idx="329">
                  <c:v>268.70329619069867</c:v>
                </c:pt>
                <c:pt idx="330">
                  <c:v>268.72220484796031</c:v>
                </c:pt>
                <c:pt idx="331">
                  <c:v>268.76184388917568</c:v>
                </c:pt>
                <c:pt idx="332">
                  <c:v>268.85784881081906</c:v>
                </c:pt>
                <c:pt idx="333">
                  <c:v>268.94575659369423</c:v>
                </c:pt>
                <c:pt idx="334">
                  <c:v>269.00750138706439</c:v>
                </c:pt>
                <c:pt idx="335">
                  <c:v>269.05420405286037</c:v>
                </c:pt>
                <c:pt idx="336">
                  <c:v>269.07803883978283</c:v>
                </c:pt>
                <c:pt idx="337">
                  <c:v>269.09974602607929</c:v>
                </c:pt>
                <c:pt idx="338">
                  <c:v>269.11941180292621</c:v>
                </c:pt>
                <c:pt idx="339">
                  <c:v>269.13421577402755</c:v>
                </c:pt>
                <c:pt idx="340">
                  <c:v>269.19960596346408</c:v>
                </c:pt>
                <c:pt idx="341">
                  <c:v>269.24532932145456</c:v>
                </c:pt>
                <c:pt idx="342">
                  <c:v>269.28581455473176</c:v>
                </c:pt>
                <c:pt idx="343">
                  <c:v>269.32223008189823</c:v>
                </c:pt>
                <c:pt idx="344">
                  <c:v>269.34270833465001</c:v>
                </c:pt>
                <c:pt idx="345">
                  <c:v>269.35941842572021</c:v>
                </c:pt>
                <c:pt idx="346">
                  <c:v>269.36182131772136</c:v>
                </c:pt>
                <c:pt idx="347">
                  <c:v>269.38324415442463</c:v>
                </c:pt>
                <c:pt idx="348">
                  <c:v>269.41537909353843</c:v>
                </c:pt>
                <c:pt idx="349">
                  <c:v>269.44857293729166</c:v>
                </c:pt>
                <c:pt idx="350">
                  <c:v>269.47742022675362</c:v>
                </c:pt>
                <c:pt idx="351">
                  <c:v>269.49827868328657</c:v>
                </c:pt>
                <c:pt idx="352">
                  <c:v>269.52750158587537</c:v>
                </c:pt>
                <c:pt idx="353">
                  <c:v>269.59143417019084</c:v>
                </c:pt>
                <c:pt idx="354">
                  <c:v>269.62603033430463</c:v>
                </c:pt>
                <c:pt idx="355">
                  <c:v>269.67006052926178</c:v>
                </c:pt>
                <c:pt idx="356">
                  <c:v>269.69683476362599</c:v>
                </c:pt>
                <c:pt idx="357">
                  <c:v>269.75695835372716</c:v>
                </c:pt>
                <c:pt idx="358">
                  <c:v>269.79820506182534</c:v>
                </c:pt>
                <c:pt idx="359">
                  <c:v>269.85946043515622</c:v>
                </c:pt>
                <c:pt idx="360">
                  <c:v>269.92112793768462</c:v>
                </c:pt>
                <c:pt idx="361">
                  <c:v>269.97031910799888</c:v>
                </c:pt>
                <c:pt idx="362">
                  <c:v>270.01179458707179</c:v>
                </c:pt>
                <c:pt idx="363">
                  <c:v>270.0514615028539</c:v>
                </c:pt>
                <c:pt idx="364">
                  <c:v>270.09818975561438</c:v>
                </c:pt>
                <c:pt idx="365">
                  <c:v>270.13286665765924</c:v>
                </c:pt>
                <c:pt idx="366">
                  <c:v>270.16141925020582</c:v>
                </c:pt>
                <c:pt idx="367">
                  <c:v>270.18016663954887</c:v>
                </c:pt>
                <c:pt idx="368">
                  <c:v>270.20905098875784</c:v>
                </c:pt>
                <c:pt idx="369">
                  <c:v>270.24370639859342</c:v>
                </c:pt>
                <c:pt idx="370">
                  <c:v>270.25741559416923</c:v>
                </c:pt>
                <c:pt idx="371">
                  <c:v>270.2689647197833</c:v>
                </c:pt>
                <c:pt idx="372">
                  <c:v>270.31036218446491</c:v>
                </c:pt>
                <c:pt idx="373">
                  <c:v>270.34821823615317</c:v>
                </c:pt>
                <c:pt idx="374">
                  <c:v>270.40257603500396</c:v>
                </c:pt>
                <c:pt idx="375">
                  <c:v>270.44324150402389</c:v>
                </c:pt>
                <c:pt idx="376">
                  <c:v>270.47274107183915</c:v>
                </c:pt>
                <c:pt idx="377">
                  <c:v>270.50819863034451</c:v>
                </c:pt>
                <c:pt idx="378">
                  <c:v>270.53893662140769</c:v>
                </c:pt>
                <c:pt idx="379">
                  <c:v>270.5726274133969</c:v>
                </c:pt>
                <c:pt idx="380">
                  <c:v>270.62980750502555</c:v>
                </c:pt>
                <c:pt idx="381">
                  <c:v>270.6835444291969</c:v>
                </c:pt>
                <c:pt idx="382">
                  <c:v>270.75193797784948</c:v>
                </c:pt>
                <c:pt idx="383">
                  <c:v>270.79176172613364</c:v>
                </c:pt>
                <c:pt idx="384">
                  <c:v>270.82989707513758</c:v>
                </c:pt>
                <c:pt idx="385">
                  <c:v>270.8716406178076</c:v>
                </c:pt>
                <c:pt idx="386">
                  <c:v>270.9120117352806</c:v>
                </c:pt>
                <c:pt idx="387">
                  <c:v>270.94786319333986</c:v>
                </c:pt>
                <c:pt idx="388">
                  <c:v>270.98464838043486</c:v>
                </c:pt>
                <c:pt idx="389">
                  <c:v>271.01922796253115</c:v>
                </c:pt>
                <c:pt idx="390">
                  <c:v>271.05848568693995</c:v>
                </c:pt>
                <c:pt idx="391">
                  <c:v>271.0994776863007</c:v>
                </c:pt>
                <c:pt idx="392">
                  <c:v>271.13873430557055</c:v>
                </c:pt>
                <c:pt idx="393">
                  <c:v>271.1808321216028</c:v>
                </c:pt>
                <c:pt idx="394">
                  <c:v>271.21955969861688</c:v>
                </c:pt>
                <c:pt idx="395">
                  <c:v>271.26364443769342</c:v>
                </c:pt>
                <c:pt idx="396">
                  <c:v>271.30739242728316</c:v>
                </c:pt>
                <c:pt idx="397">
                  <c:v>271.36667481572596</c:v>
                </c:pt>
                <c:pt idx="398">
                  <c:v>271.41253372791482</c:v>
                </c:pt>
                <c:pt idx="399">
                  <c:v>271.49792774849686</c:v>
                </c:pt>
                <c:pt idx="400">
                  <c:v>271.54535564293826</c:v>
                </c:pt>
                <c:pt idx="401">
                  <c:v>271.58089785526494</c:v>
                </c:pt>
                <c:pt idx="402">
                  <c:v>271.61689467253183</c:v>
                </c:pt>
                <c:pt idx="403">
                  <c:v>271.65943678523649</c:v>
                </c:pt>
                <c:pt idx="404">
                  <c:v>271.69899719132019</c:v>
                </c:pt>
                <c:pt idx="405">
                  <c:v>271.76083521847818</c:v>
                </c:pt>
                <c:pt idx="406">
                  <c:v>271.80497744778438</c:v>
                </c:pt>
                <c:pt idx="407">
                  <c:v>271.84714823024723</c:v>
                </c:pt>
                <c:pt idx="408">
                  <c:v>271.88272898164229</c:v>
                </c:pt>
                <c:pt idx="409">
                  <c:v>271.932327797742</c:v>
                </c:pt>
                <c:pt idx="410">
                  <c:v>271.95576116714221</c:v>
                </c:pt>
                <c:pt idx="411">
                  <c:v>271.9866524797277</c:v>
                </c:pt>
                <c:pt idx="412">
                  <c:v>272.02080859199555</c:v>
                </c:pt>
                <c:pt idx="413">
                  <c:v>272.05335440555803</c:v>
                </c:pt>
                <c:pt idx="414">
                  <c:v>272.09374302185591</c:v>
                </c:pt>
                <c:pt idx="415">
                  <c:v>272.13722987880806</c:v>
                </c:pt>
                <c:pt idx="416">
                  <c:v>272.16410939499849</c:v>
                </c:pt>
                <c:pt idx="417">
                  <c:v>272.20075662547907</c:v>
                </c:pt>
                <c:pt idx="418">
                  <c:v>272.23658661404926</c:v>
                </c:pt>
                <c:pt idx="419">
                  <c:v>272.26559273352342</c:v>
                </c:pt>
                <c:pt idx="420">
                  <c:v>272.29242531653586</c:v>
                </c:pt>
                <c:pt idx="421">
                  <c:v>272.32654889723517</c:v>
                </c:pt>
                <c:pt idx="422">
                  <c:v>272.35247530876052</c:v>
                </c:pt>
                <c:pt idx="423">
                  <c:v>272.39611375826451</c:v>
                </c:pt>
                <c:pt idx="424">
                  <c:v>272.43150355797201</c:v>
                </c:pt>
                <c:pt idx="425">
                  <c:v>272.4604578069185</c:v>
                </c:pt>
                <c:pt idx="426">
                  <c:v>272.50199320162693</c:v>
                </c:pt>
                <c:pt idx="427">
                  <c:v>272.54444927184034</c:v>
                </c:pt>
                <c:pt idx="428">
                  <c:v>272.57928747950564</c:v>
                </c:pt>
                <c:pt idx="429">
                  <c:v>272.62700479804857</c:v>
                </c:pt>
                <c:pt idx="430">
                  <c:v>272.6848623981067</c:v>
                </c:pt>
                <c:pt idx="431">
                  <c:v>272.72703297500345</c:v>
                </c:pt>
                <c:pt idx="432">
                  <c:v>272.76356758012827</c:v>
                </c:pt>
                <c:pt idx="433">
                  <c:v>272.79546500553317</c:v>
                </c:pt>
                <c:pt idx="434">
                  <c:v>272.82814285547192</c:v>
                </c:pt>
                <c:pt idx="435">
                  <c:v>272.85843986150246</c:v>
                </c:pt>
                <c:pt idx="436">
                  <c:v>272.89531369698869</c:v>
                </c:pt>
                <c:pt idx="437">
                  <c:v>272.92878314834263</c:v>
                </c:pt>
                <c:pt idx="438">
                  <c:v>272.96357161349806</c:v>
                </c:pt>
                <c:pt idx="439">
                  <c:v>272.99549679751254</c:v>
                </c:pt>
                <c:pt idx="440">
                  <c:v>273.0274177711409</c:v>
                </c:pt>
                <c:pt idx="441">
                  <c:v>273.0593485287921</c:v>
                </c:pt>
                <c:pt idx="442">
                  <c:v>273.08703633263451</c:v>
                </c:pt>
                <c:pt idx="443">
                  <c:v>273.11227969135234</c:v>
                </c:pt>
                <c:pt idx="444">
                  <c:v>273.13733614318318</c:v>
                </c:pt>
                <c:pt idx="445">
                  <c:v>273.17144701978151</c:v>
                </c:pt>
                <c:pt idx="446">
                  <c:v>273.20689397300464</c:v>
                </c:pt>
                <c:pt idx="447">
                  <c:v>273.2425800112934</c:v>
                </c:pt>
                <c:pt idx="448">
                  <c:v>273.27401698516923</c:v>
                </c:pt>
                <c:pt idx="449">
                  <c:v>273.30076377759394</c:v>
                </c:pt>
                <c:pt idx="450">
                  <c:v>273.32778574855138</c:v>
                </c:pt>
                <c:pt idx="451">
                  <c:v>273.35645477830167</c:v>
                </c:pt>
                <c:pt idx="452">
                  <c:v>273.38663040915168</c:v>
                </c:pt>
                <c:pt idx="453">
                  <c:v>273.41869820195393</c:v>
                </c:pt>
                <c:pt idx="454">
                  <c:v>273.44513533654668</c:v>
                </c:pt>
                <c:pt idx="455">
                  <c:v>273.47129214466628</c:v>
                </c:pt>
                <c:pt idx="456">
                  <c:v>273.49620315582456</c:v>
                </c:pt>
                <c:pt idx="457">
                  <c:v>273.5253555812838</c:v>
                </c:pt>
                <c:pt idx="458">
                  <c:v>273.55581024789382</c:v>
                </c:pt>
                <c:pt idx="459">
                  <c:v>273.59067887969991</c:v>
                </c:pt>
                <c:pt idx="460">
                  <c:v>273.62372420530278</c:v>
                </c:pt>
                <c:pt idx="461">
                  <c:v>273.65437336987361</c:v>
                </c:pt>
                <c:pt idx="462">
                  <c:v>273.69114936604319</c:v>
                </c:pt>
                <c:pt idx="463">
                  <c:v>273.7537061947246</c:v>
                </c:pt>
                <c:pt idx="464">
                  <c:v>273.78597593685606</c:v>
                </c:pt>
                <c:pt idx="465">
                  <c:v>273.81830860663956</c:v>
                </c:pt>
                <c:pt idx="466">
                  <c:v>273.85267182434649</c:v>
                </c:pt>
                <c:pt idx="467">
                  <c:v>273.88483384351122</c:v>
                </c:pt>
                <c:pt idx="468">
                  <c:v>273.91753565949205</c:v>
                </c:pt>
                <c:pt idx="469">
                  <c:v>273.94488205212843</c:v>
                </c:pt>
                <c:pt idx="470">
                  <c:v>273.98030937872244</c:v>
                </c:pt>
                <c:pt idx="471">
                  <c:v>274.00948055116368</c:v>
                </c:pt>
                <c:pt idx="472">
                  <c:v>274.04132971326692</c:v>
                </c:pt>
                <c:pt idx="473">
                  <c:v>274.06717964037892</c:v>
                </c:pt>
                <c:pt idx="474">
                  <c:v>274.10988220821673</c:v>
                </c:pt>
                <c:pt idx="475">
                  <c:v>274.14749464687247</c:v>
                </c:pt>
                <c:pt idx="476">
                  <c:v>274.18651497497905</c:v>
                </c:pt>
                <c:pt idx="477">
                  <c:v>274.23351646410322</c:v>
                </c:pt>
                <c:pt idx="478">
                  <c:v>274.26325478822696</c:v>
                </c:pt>
                <c:pt idx="479">
                  <c:v>274.28194082652738</c:v>
                </c:pt>
                <c:pt idx="480">
                  <c:v>274.31704982958553</c:v>
                </c:pt>
                <c:pt idx="481">
                  <c:v>274.35272167743852</c:v>
                </c:pt>
                <c:pt idx="482">
                  <c:v>274.40526685322499</c:v>
                </c:pt>
                <c:pt idx="483">
                  <c:v>274.45497070736423</c:v>
                </c:pt>
                <c:pt idx="484">
                  <c:v>274.48924350841725</c:v>
                </c:pt>
                <c:pt idx="485">
                  <c:v>274.52835214656989</c:v>
                </c:pt>
                <c:pt idx="486">
                  <c:v>274.55370541394296</c:v>
                </c:pt>
                <c:pt idx="487">
                  <c:v>274.59860255232326</c:v>
                </c:pt>
                <c:pt idx="488">
                  <c:v>274.65079332916332</c:v>
                </c:pt>
                <c:pt idx="489">
                  <c:v>274.69054597398417</c:v>
                </c:pt>
                <c:pt idx="490">
                  <c:v>274.72961138461278</c:v>
                </c:pt>
                <c:pt idx="491">
                  <c:v>274.75967781286334</c:v>
                </c:pt>
                <c:pt idx="492">
                  <c:v>274.79120671276638</c:v>
                </c:pt>
                <c:pt idx="493">
                  <c:v>274.82187785344934</c:v>
                </c:pt>
                <c:pt idx="494">
                  <c:v>274.90818959848963</c:v>
                </c:pt>
                <c:pt idx="495">
                  <c:v>274.93040048645696</c:v>
                </c:pt>
                <c:pt idx="496">
                  <c:v>274.96169251835141</c:v>
                </c:pt>
                <c:pt idx="497">
                  <c:v>274.968587757796</c:v>
                </c:pt>
                <c:pt idx="498">
                  <c:v>274.98283145012232</c:v>
                </c:pt>
                <c:pt idx="499">
                  <c:v>275.00730670638529</c:v>
                </c:pt>
                <c:pt idx="500">
                  <c:v>275.02775095320624</c:v>
                </c:pt>
                <c:pt idx="501">
                  <c:v>275.05122388223896</c:v>
                </c:pt>
                <c:pt idx="502">
                  <c:v>275.08259992301396</c:v>
                </c:pt>
                <c:pt idx="503">
                  <c:v>275.116978262727</c:v>
                </c:pt>
                <c:pt idx="504">
                  <c:v>275.15158716313977</c:v>
                </c:pt>
                <c:pt idx="505">
                  <c:v>275.18973327580511</c:v>
                </c:pt>
                <c:pt idx="506">
                  <c:v>275.22416448289738</c:v>
                </c:pt>
                <c:pt idx="507">
                  <c:v>275.25566313986775</c:v>
                </c:pt>
                <c:pt idx="508">
                  <c:v>275.2888776727645</c:v>
                </c:pt>
                <c:pt idx="509">
                  <c:v>275.32027784555083</c:v>
                </c:pt>
                <c:pt idx="510">
                  <c:v>275.35146864090098</c:v>
                </c:pt>
                <c:pt idx="511">
                  <c:v>275.38478602706459</c:v>
                </c:pt>
                <c:pt idx="512">
                  <c:v>275.41279594854228</c:v>
                </c:pt>
                <c:pt idx="513">
                  <c:v>275.44229033486647</c:v>
                </c:pt>
                <c:pt idx="514">
                  <c:v>275.477698901015</c:v>
                </c:pt>
                <c:pt idx="515">
                  <c:v>275.50712212240597</c:v>
                </c:pt>
                <c:pt idx="516">
                  <c:v>275.53238945463221</c:v>
                </c:pt>
                <c:pt idx="517">
                  <c:v>275.56714210224595</c:v>
                </c:pt>
                <c:pt idx="518">
                  <c:v>275.59104567663542</c:v>
                </c:pt>
                <c:pt idx="519">
                  <c:v>275.61239029232718</c:v>
                </c:pt>
                <c:pt idx="520">
                  <c:v>275.64401391266711</c:v>
                </c:pt>
                <c:pt idx="521">
                  <c:v>275.67310054471125</c:v>
                </c:pt>
                <c:pt idx="522">
                  <c:v>275.70391838277828</c:v>
                </c:pt>
                <c:pt idx="523">
                  <c:v>275.74471269264347</c:v>
                </c:pt>
                <c:pt idx="524">
                  <c:v>275.7952639916852</c:v>
                </c:pt>
                <c:pt idx="525">
                  <c:v>275.83128520819639</c:v>
                </c:pt>
                <c:pt idx="526">
                  <c:v>275.84231731224935</c:v>
                </c:pt>
                <c:pt idx="527">
                  <c:v>275.85379636033878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AD-4DA4-AE3D-3357A097D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153375"/>
        <c:axId val="1485153855"/>
      </c:lineChart>
      <c:dateAx>
        <c:axId val="1485153375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53855"/>
        <c:crosses val="autoZero"/>
        <c:auto val="1"/>
        <c:lblOffset val="100"/>
        <c:baseTimeUnit val="days"/>
      </c:dateAx>
      <c:valAx>
        <c:axId val="1485153855"/>
        <c:scaling>
          <c:orientation val="minMax"/>
          <c:min val="2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5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Data!$C$2:$C$529</c:f>
              <c:numCache>
                <c:formatCode>_([$$-409]* #,##0.00_);_([$$-409]* \(#,##0.00\);_([$$-409]* "-"??_);_(@_)</c:formatCode>
                <c:ptCount val="528"/>
                <c:pt idx="0">
                  <c:v>297.04000000000002</c:v>
                </c:pt>
                <c:pt idx="1">
                  <c:v>294.39</c:v>
                </c:pt>
                <c:pt idx="2">
                  <c:v>291.74</c:v>
                </c:pt>
                <c:pt idx="3">
                  <c:v>288.99</c:v>
                </c:pt>
                <c:pt idx="4">
                  <c:v>291.89999999999998</c:v>
                </c:pt>
                <c:pt idx="5">
                  <c:v>290.87</c:v>
                </c:pt>
                <c:pt idx="6">
                  <c:v>294.08999999999997</c:v>
                </c:pt>
                <c:pt idx="7">
                  <c:v>294.14999999999998</c:v>
                </c:pt>
                <c:pt idx="8">
                  <c:v>293.47000000000003</c:v>
                </c:pt>
                <c:pt idx="9">
                  <c:v>291.08999999999997</c:v>
                </c:pt>
                <c:pt idx="10">
                  <c:v>291.16000000000003</c:v>
                </c:pt>
                <c:pt idx="11">
                  <c:v>294.36</c:v>
                </c:pt>
                <c:pt idx="12">
                  <c:v>300.52999999999997</c:v>
                </c:pt>
                <c:pt idx="13">
                  <c:v>298.41000000000003</c:v>
                </c:pt>
                <c:pt idx="14">
                  <c:v>300.05</c:v>
                </c:pt>
                <c:pt idx="15">
                  <c:v>300.44</c:v>
                </c:pt>
                <c:pt idx="16">
                  <c:v>297.20999999999998</c:v>
                </c:pt>
                <c:pt idx="17">
                  <c:v>292.26</c:v>
                </c:pt>
                <c:pt idx="18">
                  <c:v>292.31</c:v>
                </c:pt>
                <c:pt idx="19">
                  <c:v>294.64999999999998</c:v>
                </c:pt>
                <c:pt idx="20">
                  <c:v>292.72000000000003</c:v>
                </c:pt>
                <c:pt idx="21">
                  <c:v>298.08</c:v>
                </c:pt>
                <c:pt idx="22">
                  <c:v>297.05</c:v>
                </c:pt>
                <c:pt idx="23">
                  <c:v>285.97000000000003</c:v>
                </c:pt>
                <c:pt idx="24">
                  <c:v>284.64999999999998</c:v>
                </c:pt>
                <c:pt idx="25">
                  <c:v>287.33</c:v>
                </c:pt>
                <c:pt idx="26">
                  <c:v>291.93</c:v>
                </c:pt>
                <c:pt idx="27">
                  <c:v>289.47000000000003</c:v>
                </c:pt>
                <c:pt idx="28">
                  <c:v>289.44</c:v>
                </c:pt>
                <c:pt idx="29">
                  <c:v>287.11</c:v>
                </c:pt>
                <c:pt idx="30">
                  <c:v>288.17</c:v>
                </c:pt>
                <c:pt idx="31">
                  <c:v>291.86</c:v>
                </c:pt>
                <c:pt idx="32">
                  <c:v>292.02</c:v>
                </c:pt>
                <c:pt idx="33">
                  <c:v>292.64999999999998</c:v>
                </c:pt>
                <c:pt idx="34">
                  <c:v>293.91000000000003</c:v>
                </c:pt>
                <c:pt idx="35">
                  <c:v>295.92</c:v>
                </c:pt>
                <c:pt idx="36">
                  <c:v>297.75</c:v>
                </c:pt>
                <c:pt idx="37">
                  <c:v>297.12</c:v>
                </c:pt>
                <c:pt idx="38">
                  <c:v>293.76</c:v>
                </c:pt>
                <c:pt idx="39">
                  <c:v>295.19</c:v>
                </c:pt>
                <c:pt idx="40">
                  <c:v>292.27999999999997</c:v>
                </c:pt>
                <c:pt idx="41">
                  <c:v>290.73</c:v>
                </c:pt>
                <c:pt idx="42">
                  <c:v>290.94</c:v>
                </c:pt>
                <c:pt idx="43">
                  <c:v>292.54000000000002</c:v>
                </c:pt>
                <c:pt idx="44">
                  <c:v>292.93</c:v>
                </c:pt>
                <c:pt idx="45">
                  <c:v>291.11</c:v>
                </c:pt>
                <c:pt idx="46">
                  <c:v>292.55</c:v>
                </c:pt>
                <c:pt idx="47">
                  <c:v>294.82</c:v>
                </c:pt>
                <c:pt idx="48">
                  <c:v>294.31</c:v>
                </c:pt>
                <c:pt idx="49">
                  <c:v>282.86</c:v>
                </c:pt>
                <c:pt idx="50">
                  <c:v>281.73</c:v>
                </c:pt>
                <c:pt idx="51">
                  <c:v>279.14</c:v>
                </c:pt>
                <c:pt idx="52">
                  <c:v>278.58</c:v>
                </c:pt>
                <c:pt idx="53">
                  <c:v>282.87</c:v>
                </c:pt>
                <c:pt idx="54">
                  <c:v>284.45</c:v>
                </c:pt>
                <c:pt idx="55">
                  <c:v>283.52999999999997</c:v>
                </c:pt>
                <c:pt idx="56">
                  <c:v>282.63</c:v>
                </c:pt>
                <c:pt idx="57">
                  <c:v>278.62</c:v>
                </c:pt>
                <c:pt idx="58">
                  <c:v>278.62</c:v>
                </c:pt>
                <c:pt idx="59">
                  <c:v>282.02</c:v>
                </c:pt>
                <c:pt idx="60">
                  <c:v>281.95</c:v>
                </c:pt>
                <c:pt idx="61">
                  <c:v>280.22000000000003</c:v>
                </c:pt>
                <c:pt idx="62">
                  <c:v>277.74</c:v>
                </c:pt>
                <c:pt idx="63">
                  <c:v>275.54000000000002</c:v>
                </c:pt>
                <c:pt idx="64">
                  <c:v>270.08999999999997</c:v>
                </c:pt>
                <c:pt idx="65">
                  <c:v>266.69</c:v>
                </c:pt>
                <c:pt idx="66">
                  <c:v>267.56</c:v>
                </c:pt>
                <c:pt idx="67">
                  <c:v>269.44</c:v>
                </c:pt>
                <c:pt idx="68">
                  <c:v>268.67</c:v>
                </c:pt>
                <c:pt idx="69">
                  <c:v>268.62</c:v>
                </c:pt>
                <c:pt idx="70">
                  <c:v>267.39</c:v>
                </c:pt>
                <c:pt idx="71">
                  <c:v>266.23</c:v>
                </c:pt>
                <c:pt idx="72">
                  <c:v>265.43</c:v>
                </c:pt>
                <c:pt idx="73">
                  <c:v>269.95</c:v>
                </c:pt>
                <c:pt idx="74">
                  <c:v>270.98</c:v>
                </c:pt>
                <c:pt idx="75">
                  <c:v>271.99</c:v>
                </c:pt>
                <c:pt idx="76">
                  <c:v>275.58</c:v>
                </c:pt>
                <c:pt idx="77">
                  <c:v>276.88</c:v>
                </c:pt>
                <c:pt idx="78">
                  <c:v>276.75</c:v>
                </c:pt>
                <c:pt idx="79">
                  <c:v>275.60000000000002</c:v>
                </c:pt>
                <c:pt idx="80">
                  <c:v>273.08999999999997</c:v>
                </c:pt>
                <c:pt idx="81">
                  <c:v>273.55</c:v>
                </c:pt>
                <c:pt idx="82">
                  <c:v>273.04000000000002</c:v>
                </c:pt>
                <c:pt idx="83">
                  <c:v>274.43</c:v>
                </c:pt>
                <c:pt idx="84">
                  <c:v>273.27999999999997</c:v>
                </c:pt>
                <c:pt idx="85">
                  <c:v>270.32</c:v>
                </c:pt>
                <c:pt idx="86">
                  <c:v>269.3</c:v>
                </c:pt>
                <c:pt idx="87">
                  <c:v>267.5</c:v>
                </c:pt>
                <c:pt idx="88">
                  <c:v>268.49</c:v>
                </c:pt>
                <c:pt idx="89">
                  <c:v>267.95</c:v>
                </c:pt>
                <c:pt idx="90">
                  <c:v>275</c:v>
                </c:pt>
                <c:pt idx="91">
                  <c:v>271.32</c:v>
                </c:pt>
                <c:pt idx="92">
                  <c:v>270.66000000000003</c:v>
                </c:pt>
                <c:pt idx="93">
                  <c:v>273.87</c:v>
                </c:pt>
                <c:pt idx="94">
                  <c:v>273.51</c:v>
                </c:pt>
                <c:pt idx="95">
                  <c:v>272.38</c:v>
                </c:pt>
                <c:pt idx="96">
                  <c:v>267.87</c:v>
                </c:pt>
                <c:pt idx="97">
                  <c:v>265.87</c:v>
                </c:pt>
                <c:pt idx="98">
                  <c:v>265.77</c:v>
                </c:pt>
                <c:pt idx="99">
                  <c:v>257.93</c:v>
                </c:pt>
                <c:pt idx="100">
                  <c:v>258.11</c:v>
                </c:pt>
                <c:pt idx="101">
                  <c:v>253.54</c:v>
                </c:pt>
                <c:pt idx="102">
                  <c:v>249.37</c:v>
                </c:pt>
                <c:pt idx="103">
                  <c:v>252.07</c:v>
                </c:pt>
                <c:pt idx="104">
                  <c:v>258.89</c:v>
                </c:pt>
                <c:pt idx="105">
                  <c:v>259.75</c:v>
                </c:pt>
                <c:pt idx="106">
                  <c:v>262.72000000000003</c:v>
                </c:pt>
                <c:pt idx="107">
                  <c:v>259.99</c:v>
                </c:pt>
                <c:pt idx="108">
                  <c:v>260.72000000000003</c:v>
                </c:pt>
                <c:pt idx="109">
                  <c:v>256.20999999999998</c:v>
                </c:pt>
                <c:pt idx="110">
                  <c:v>253.81</c:v>
                </c:pt>
                <c:pt idx="111">
                  <c:v>254.28</c:v>
                </c:pt>
                <c:pt idx="112">
                  <c:v>254.48</c:v>
                </c:pt>
                <c:pt idx="113">
                  <c:v>253.7</c:v>
                </c:pt>
                <c:pt idx="114">
                  <c:v>253.58</c:v>
                </c:pt>
                <c:pt idx="115">
                  <c:v>253.51</c:v>
                </c:pt>
                <c:pt idx="116">
                  <c:v>250.79</c:v>
                </c:pt>
                <c:pt idx="117">
                  <c:v>253.8</c:v>
                </c:pt>
                <c:pt idx="118">
                  <c:v>259.39</c:v>
                </c:pt>
                <c:pt idx="119">
                  <c:v>260.38</c:v>
                </c:pt>
                <c:pt idx="120">
                  <c:v>257.38</c:v>
                </c:pt>
                <c:pt idx="121">
                  <c:v>257.83</c:v>
                </c:pt>
                <c:pt idx="122">
                  <c:v>258.17</c:v>
                </c:pt>
                <c:pt idx="123">
                  <c:v>254.84</c:v>
                </c:pt>
                <c:pt idx="124">
                  <c:v>249.99</c:v>
                </c:pt>
                <c:pt idx="125">
                  <c:v>247.79</c:v>
                </c:pt>
                <c:pt idx="126">
                  <c:v>250</c:v>
                </c:pt>
                <c:pt idx="127">
                  <c:v>251.09</c:v>
                </c:pt>
                <c:pt idx="128">
                  <c:v>247.85</c:v>
                </c:pt>
                <c:pt idx="129">
                  <c:v>245.82</c:v>
                </c:pt>
                <c:pt idx="130">
                  <c:v>250.49</c:v>
                </c:pt>
                <c:pt idx="131">
                  <c:v>254.8</c:v>
                </c:pt>
                <c:pt idx="132">
                  <c:v>253.9</c:v>
                </c:pt>
                <c:pt idx="133">
                  <c:v>251.53</c:v>
                </c:pt>
                <c:pt idx="134">
                  <c:v>257.27</c:v>
                </c:pt>
                <c:pt idx="135">
                  <c:v>261</c:v>
                </c:pt>
                <c:pt idx="136">
                  <c:v>259.52</c:v>
                </c:pt>
                <c:pt idx="137">
                  <c:v>257.27999999999997</c:v>
                </c:pt>
                <c:pt idx="138">
                  <c:v>259.54000000000002</c:v>
                </c:pt>
                <c:pt idx="139">
                  <c:v>254.05</c:v>
                </c:pt>
                <c:pt idx="140">
                  <c:v>253.37</c:v>
                </c:pt>
                <c:pt idx="141">
                  <c:v>251.46</c:v>
                </c:pt>
                <c:pt idx="142">
                  <c:v>252</c:v>
                </c:pt>
                <c:pt idx="143">
                  <c:v>261.42</c:v>
                </c:pt>
                <c:pt idx="144">
                  <c:v>266.44</c:v>
                </c:pt>
                <c:pt idx="145">
                  <c:v>265.39999999999998</c:v>
                </c:pt>
                <c:pt idx="146">
                  <c:v>268.75</c:v>
                </c:pt>
                <c:pt idx="147">
                  <c:v>276.69</c:v>
                </c:pt>
                <c:pt idx="148">
                  <c:v>268.45</c:v>
                </c:pt>
                <c:pt idx="149">
                  <c:v>270.06</c:v>
                </c:pt>
                <c:pt idx="150">
                  <c:v>269.37</c:v>
                </c:pt>
                <c:pt idx="151">
                  <c:v>271.19</c:v>
                </c:pt>
                <c:pt idx="152">
                  <c:v>267.91000000000003</c:v>
                </c:pt>
                <c:pt idx="153">
                  <c:v>269.45999999999998</c:v>
                </c:pt>
                <c:pt idx="154">
                  <c:v>270.31</c:v>
                </c:pt>
                <c:pt idx="155">
                  <c:v>271.14999999999998</c:v>
                </c:pt>
                <c:pt idx="156">
                  <c:v>274.87</c:v>
                </c:pt>
                <c:pt idx="157">
                  <c:v>278.49</c:v>
                </c:pt>
                <c:pt idx="158">
                  <c:v>287.55</c:v>
                </c:pt>
                <c:pt idx="159">
                  <c:v>285.63</c:v>
                </c:pt>
                <c:pt idx="160">
                  <c:v>289.70999999999998</c:v>
                </c:pt>
                <c:pt idx="161">
                  <c:v>289.20999999999998</c:v>
                </c:pt>
                <c:pt idx="162">
                  <c:v>289.52</c:v>
                </c:pt>
                <c:pt idx="163">
                  <c:v>288.68</c:v>
                </c:pt>
                <c:pt idx="164">
                  <c:v>289.64</c:v>
                </c:pt>
                <c:pt idx="165">
                  <c:v>287.05</c:v>
                </c:pt>
                <c:pt idx="166">
                  <c:v>287.86</c:v>
                </c:pt>
                <c:pt idx="167">
                  <c:v>288.66000000000003</c:v>
                </c:pt>
                <c:pt idx="168">
                  <c:v>285.52</c:v>
                </c:pt>
                <c:pt idx="169">
                  <c:v>288.02999999999997</c:v>
                </c:pt>
                <c:pt idx="170">
                  <c:v>287.97000000000003</c:v>
                </c:pt>
                <c:pt idx="171">
                  <c:v>289.51</c:v>
                </c:pt>
                <c:pt idx="172">
                  <c:v>291.29000000000002</c:v>
                </c:pt>
                <c:pt idx="173">
                  <c:v>291.27</c:v>
                </c:pt>
                <c:pt idx="174">
                  <c:v>290.23</c:v>
                </c:pt>
                <c:pt idx="175">
                  <c:v>292.35000000000002</c:v>
                </c:pt>
                <c:pt idx="176">
                  <c:v>296.52999999999997</c:v>
                </c:pt>
                <c:pt idx="177">
                  <c:v>296.69</c:v>
                </c:pt>
                <c:pt idx="178">
                  <c:v>293.75</c:v>
                </c:pt>
                <c:pt idx="179">
                  <c:v>292.02999999999997</c:v>
                </c:pt>
                <c:pt idx="180">
                  <c:v>293.85000000000002</c:v>
                </c:pt>
                <c:pt idx="181">
                  <c:v>296.83</c:v>
                </c:pt>
                <c:pt idx="182">
                  <c:v>299.06</c:v>
                </c:pt>
                <c:pt idx="183">
                  <c:v>300.27</c:v>
                </c:pt>
                <c:pt idx="184">
                  <c:v>300.47000000000003</c:v>
                </c:pt>
                <c:pt idx="185">
                  <c:v>303.64999999999998</c:v>
                </c:pt>
                <c:pt idx="186">
                  <c:v>303.69</c:v>
                </c:pt>
                <c:pt idx="187">
                  <c:v>304.51</c:v>
                </c:pt>
                <c:pt idx="188">
                  <c:v>302.98</c:v>
                </c:pt>
                <c:pt idx="189">
                  <c:v>303.76</c:v>
                </c:pt>
                <c:pt idx="190">
                  <c:v>303.45</c:v>
                </c:pt>
                <c:pt idx="191">
                  <c:v>303.76</c:v>
                </c:pt>
                <c:pt idx="192">
                  <c:v>300.85000000000002</c:v>
                </c:pt>
                <c:pt idx="193">
                  <c:v>301.89999999999998</c:v>
                </c:pt>
                <c:pt idx="194">
                  <c:v>303.83</c:v>
                </c:pt>
                <c:pt idx="195">
                  <c:v>304.04000000000002</c:v>
                </c:pt>
                <c:pt idx="196">
                  <c:v>305.04000000000002</c:v>
                </c:pt>
                <c:pt idx="197">
                  <c:v>309.83999999999997</c:v>
                </c:pt>
                <c:pt idx="198">
                  <c:v>313.33999999999997</c:v>
                </c:pt>
                <c:pt idx="199">
                  <c:v>312.92</c:v>
                </c:pt>
                <c:pt idx="200">
                  <c:v>314.7</c:v>
                </c:pt>
                <c:pt idx="201">
                  <c:v>316.56</c:v>
                </c:pt>
                <c:pt idx="202">
                  <c:v>314.89</c:v>
                </c:pt>
                <c:pt idx="203">
                  <c:v>314.69</c:v>
                </c:pt>
                <c:pt idx="204">
                  <c:v>298.57</c:v>
                </c:pt>
                <c:pt idx="205">
                  <c:v>301.58</c:v>
                </c:pt>
                <c:pt idx="206">
                  <c:v>292.61</c:v>
                </c:pt>
                <c:pt idx="207">
                  <c:v>296.79000000000002</c:v>
                </c:pt>
                <c:pt idx="208">
                  <c:v>295</c:v>
                </c:pt>
                <c:pt idx="209">
                  <c:v>291.52</c:v>
                </c:pt>
                <c:pt idx="210">
                  <c:v>292.11</c:v>
                </c:pt>
                <c:pt idx="211">
                  <c:v>295.20999999999998</c:v>
                </c:pt>
                <c:pt idx="212">
                  <c:v>292.85000000000002</c:v>
                </c:pt>
                <c:pt idx="213">
                  <c:v>297.32</c:v>
                </c:pt>
                <c:pt idx="214">
                  <c:v>294</c:v>
                </c:pt>
                <c:pt idx="215">
                  <c:v>294.66000000000003</c:v>
                </c:pt>
                <c:pt idx="216">
                  <c:v>298.97000000000003</c:v>
                </c:pt>
                <c:pt idx="217">
                  <c:v>301.52999999999997</c:v>
                </c:pt>
                <c:pt idx="218">
                  <c:v>298.64999999999998</c:v>
                </c:pt>
                <c:pt idx="219">
                  <c:v>297.35000000000002</c:v>
                </c:pt>
                <c:pt idx="220">
                  <c:v>298.56</c:v>
                </c:pt>
                <c:pt idx="221">
                  <c:v>292.63</c:v>
                </c:pt>
                <c:pt idx="222">
                  <c:v>291.10000000000002</c:v>
                </c:pt>
                <c:pt idx="223">
                  <c:v>290.73</c:v>
                </c:pt>
                <c:pt idx="224">
                  <c:v>290.91000000000003</c:v>
                </c:pt>
                <c:pt idx="225">
                  <c:v>288.47000000000003</c:v>
                </c:pt>
                <c:pt idx="226">
                  <c:v>290.27999999999997</c:v>
                </c:pt>
                <c:pt idx="227">
                  <c:v>296.19</c:v>
                </c:pt>
                <c:pt idx="228">
                  <c:v>296.33</c:v>
                </c:pt>
                <c:pt idx="229">
                  <c:v>295.08</c:v>
                </c:pt>
                <c:pt idx="230">
                  <c:v>296.01</c:v>
                </c:pt>
                <c:pt idx="231">
                  <c:v>292.44</c:v>
                </c:pt>
                <c:pt idx="232">
                  <c:v>294.5</c:v>
                </c:pt>
                <c:pt idx="233">
                  <c:v>295.08999999999997</c:v>
                </c:pt>
                <c:pt idx="234">
                  <c:v>299.47000000000003</c:v>
                </c:pt>
                <c:pt idx="235">
                  <c:v>298.98</c:v>
                </c:pt>
                <c:pt idx="236">
                  <c:v>301.37</c:v>
                </c:pt>
                <c:pt idx="237">
                  <c:v>300.70999999999998</c:v>
                </c:pt>
                <c:pt idx="238">
                  <c:v>296.10000000000002</c:v>
                </c:pt>
                <c:pt idx="239">
                  <c:v>296.63</c:v>
                </c:pt>
                <c:pt idx="240">
                  <c:v>296.60000000000002</c:v>
                </c:pt>
                <c:pt idx="241">
                  <c:v>297.70999999999998</c:v>
                </c:pt>
                <c:pt idx="242">
                  <c:v>296.08</c:v>
                </c:pt>
                <c:pt idx="243">
                  <c:v>290.88</c:v>
                </c:pt>
                <c:pt idx="244">
                  <c:v>290.23</c:v>
                </c:pt>
                <c:pt idx="245">
                  <c:v>292.68</c:v>
                </c:pt>
                <c:pt idx="246">
                  <c:v>291.29000000000002</c:v>
                </c:pt>
                <c:pt idx="247">
                  <c:v>293.99</c:v>
                </c:pt>
                <c:pt idx="248">
                  <c:v>294.8</c:v>
                </c:pt>
                <c:pt idx="249">
                  <c:v>293.62</c:v>
                </c:pt>
                <c:pt idx="250">
                  <c:v>289.60000000000002</c:v>
                </c:pt>
                <c:pt idx="251">
                  <c:v>289.89</c:v>
                </c:pt>
                <c:pt idx="252">
                  <c:v>292.51</c:v>
                </c:pt>
                <c:pt idx="253">
                  <c:v>294.77999999999997</c:v>
                </c:pt>
                <c:pt idx="254">
                  <c:v>292.18</c:v>
                </c:pt>
                <c:pt idx="255">
                  <c:v>289.33999999999997</c:v>
                </c:pt>
                <c:pt idx="256">
                  <c:v>286.89999999999998</c:v>
                </c:pt>
                <c:pt idx="257">
                  <c:v>282.31</c:v>
                </c:pt>
                <c:pt idx="258">
                  <c:v>283.63</c:v>
                </c:pt>
                <c:pt idx="259">
                  <c:v>281.58</c:v>
                </c:pt>
                <c:pt idx="260">
                  <c:v>282.3</c:v>
                </c:pt>
                <c:pt idx="261">
                  <c:v>279.74</c:v>
                </c:pt>
                <c:pt idx="262">
                  <c:v>280.95</c:v>
                </c:pt>
                <c:pt idx="263">
                  <c:v>282.61</c:v>
                </c:pt>
                <c:pt idx="264">
                  <c:v>281.35000000000002</c:v>
                </c:pt>
                <c:pt idx="265">
                  <c:v>284.43</c:v>
                </c:pt>
                <c:pt idx="266">
                  <c:v>285.45999999999998</c:v>
                </c:pt>
                <c:pt idx="267">
                  <c:v>293.08999999999997</c:v>
                </c:pt>
                <c:pt idx="268">
                  <c:v>291.14999999999998</c:v>
                </c:pt>
                <c:pt idx="269">
                  <c:v>290.11</c:v>
                </c:pt>
                <c:pt idx="270">
                  <c:v>290.32</c:v>
                </c:pt>
                <c:pt idx="271">
                  <c:v>288.7</c:v>
                </c:pt>
                <c:pt idx="272">
                  <c:v>290.05</c:v>
                </c:pt>
                <c:pt idx="273">
                  <c:v>289.77</c:v>
                </c:pt>
                <c:pt idx="274">
                  <c:v>288.83</c:v>
                </c:pt>
                <c:pt idx="275">
                  <c:v>294.36</c:v>
                </c:pt>
                <c:pt idx="276">
                  <c:v>294.3</c:v>
                </c:pt>
                <c:pt idx="277">
                  <c:v>308.42</c:v>
                </c:pt>
                <c:pt idx="278">
                  <c:v>310.20999999999998</c:v>
                </c:pt>
                <c:pt idx="279">
                  <c:v>307.60000000000002</c:v>
                </c:pt>
                <c:pt idx="280">
                  <c:v>310.02</c:v>
                </c:pt>
                <c:pt idx="281">
                  <c:v>308.55</c:v>
                </c:pt>
                <c:pt idx="282">
                  <c:v>304.83</c:v>
                </c:pt>
                <c:pt idx="283">
                  <c:v>301.94</c:v>
                </c:pt>
                <c:pt idx="284">
                  <c:v>303.05</c:v>
                </c:pt>
                <c:pt idx="285">
                  <c:v>304.81</c:v>
                </c:pt>
                <c:pt idx="286">
                  <c:v>307.57</c:v>
                </c:pt>
                <c:pt idx="287">
                  <c:v>310.72000000000003</c:v>
                </c:pt>
                <c:pt idx="288">
                  <c:v>304.27</c:v>
                </c:pt>
                <c:pt idx="289">
                  <c:v>309.95</c:v>
                </c:pt>
                <c:pt idx="290">
                  <c:v>308.33</c:v>
                </c:pt>
                <c:pt idx="291">
                  <c:v>304.29000000000002</c:v>
                </c:pt>
                <c:pt idx="292">
                  <c:v>305.77</c:v>
                </c:pt>
                <c:pt idx="293">
                  <c:v>307.45</c:v>
                </c:pt>
                <c:pt idx="294">
                  <c:v>310.37</c:v>
                </c:pt>
                <c:pt idx="295">
                  <c:v>321.29000000000002</c:v>
                </c:pt>
                <c:pt idx="296">
                  <c:v>317.25</c:v>
                </c:pt>
                <c:pt idx="297">
                  <c:v>306.76</c:v>
                </c:pt>
                <c:pt idx="298">
                  <c:v>299.39999999999998</c:v>
                </c:pt>
                <c:pt idx="299">
                  <c:v>297.5</c:v>
                </c:pt>
                <c:pt idx="300">
                  <c:v>299.83</c:v>
                </c:pt>
                <c:pt idx="301">
                  <c:v>303.97000000000003</c:v>
                </c:pt>
                <c:pt idx="302">
                  <c:v>303.60000000000002</c:v>
                </c:pt>
                <c:pt idx="303">
                  <c:v>306.92</c:v>
                </c:pt>
                <c:pt idx="304">
                  <c:v>307</c:v>
                </c:pt>
                <c:pt idx="305">
                  <c:v>305.44</c:v>
                </c:pt>
                <c:pt idx="306">
                  <c:v>305.67</c:v>
                </c:pt>
                <c:pt idx="307">
                  <c:v>306.92</c:v>
                </c:pt>
                <c:pt idx="308">
                  <c:v>313.58</c:v>
                </c:pt>
                <c:pt idx="309">
                  <c:v>312.69</c:v>
                </c:pt>
                <c:pt idx="310">
                  <c:v>307.08999999999997</c:v>
                </c:pt>
                <c:pt idx="311">
                  <c:v>312.37</c:v>
                </c:pt>
                <c:pt idx="312">
                  <c:v>313.63</c:v>
                </c:pt>
                <c:pt idx="313">
                  <c:v>311.58</c:v>
                </c:pt>
                <c:pt idx="314">
                  <c:v>318.27</c:v>
                </c:pt>
                <c:pt idx="315">
                  <c:v>300.11</c:v>
                </c:pt>
                <c:pt idx="316">
                  <c:v>299.89</c:v>
                </c:pt>
                <c:pt idx="317">
                  <c:v>299.83</c:v>
                </c:pt>
                <c:pt idx="318">
                  <c:v>303.95999999999998</c:v>
                </c:pt>
                <c:pt idx="319">
                  <c:v>306.77999999999997</c:v>
                </c:pt>
                <c:pt idx="320">
                  <c:v>309.89999999999998</c:v>
                </c:pt>
                <c:pt idx="321">
                  <c:v>316.07</c:v>
                </c:pt>
                <c:pt idx="322">
                  <c:v>312.48</c:v>
                </c:pt>
                <c:pt idx="323">
                  <c:v>309.10000000000002</c:v>
                </c:pt>
                <c:pt idx="324">
                  <c:v>311.3</c:v>
                </c:pt>
                <c:pt idx="325">
                  <c:v>308.72000000000003</c:v>
                </c:pt>
                <c:pt idx="326">
                  <c:v>319.08</c:v>
                </c:pt>
                <c:pt idx="327">
                  <c:v>318.48</c:v>
                </c:pt>
                <c:pt idx="328">
                  <c:v>316.22000000000003</c:v>
                </c:pt>
                <c:pt idx="329">
                  <c:v>316.74</c:v>
                </c:pt>
                <c:pt idx="330">
                  <c:v>316.81</c:v>
                </c:pt>
                <c:pt idx="331">
                  <c:v>314.5</c:v>
                </c:pt>
                <c:pt idx="332">
                  <c:v>319.64999999999998</c:v>
                </c:pt>
                <c:pt idx="333">
                  <c:v>313.64</c:v>
                </c:pt>
                <c:pt idx="334">
                  <c:v>311.95999999999998</c:v>
                </c:pt>
                <c:pt idx="335">
                  <c:v>315.72000000000003</c:v>
                </c:pt>
                <c:pt idx="336">
                  <c:v>316.79000000000002</c:v>
                </c:pt>
                <c:pt idx="337">
                  <c:v>318.13</c:v>
                </c:pt>
                <c:pt idx="338">
                  <c:v>313.49</c:v>
                </c:pt>
                <c:pt idx="339">
                  <c:v>313.68</c:v>
                </c:pt>
                <c:pt idx="340">
                  <c:v>311.92</c:v>
                </c:pt>
                <c:pt idx="341">
                  <c:v>308.69</c:v>
                </c:pt>
                <c:pt idx="342">
                  <c:v>307.5</c:v>
                </c:pt>
                <c:pt idx="343">
                  <c:v>314.48</c:v>
                </c:pt>
                <c:pt idx="344">
                  <c:v>318.61</c:v>
                </c:pt>
                <c:pt idx="345">
                  <c:v>321.23</c:v>
                </c:pt>
                <c:pt idx="346">
                  <c:v>319.8</c:v>
                </c:pt>
                <c:pt idx="347">
                  <c:v>316.44</c:v>
                </c:pt>
                <c:pt idx="348">
                  <c:v>314.31</c:v>
                </c:pt>
                <c:pt idx="349">
                  <c:v>314.57</c:v>
                </c:pt>
                <c:pt idx="350">
                  <c:v>314.95</c:v>
                </c:pt>
                <c:pt idx="351">
                  <c:v>312.83999999999997</c:v>
                </c:pt>
                <c:pt idx="352">
                  <c:v>311.86</c:v>
                </c:pt>
                <c:pt idx="353">
                  <c:v>313.85000000000002</c:v>
                </c:pt>
                <c:pt idx="354">
                  <c:v>312.68</c:v>
                </c:pt>
                <c:pt idx="355">
                  <c:v>312.39</c:v>
                </c:pt>
                <c:pt idx="356">
                  <c:v>311.57</c:v>
                </c:pt>
                <c:pt idx="357">
                  <c:v>308.98</c:v>
                </c:pt>
                <c:pt idx="358">
                  <c:v>307.36</c:v>
                </c:pt>
                <c:pt idx="359">
                  <c:v>304.77999999999997</c:v>
                </c:pt>
                <c:pt idx="360">
                  <c:v>300.43</c:v>
                </c:pt>
                <c:pt idx="361">
                  <c:v>301.72000000000003</c:v>
                </c:pt>
                <c:pt idx="362">
                  <c:v>303.16000000000003</c:v>
                </c:pt>
                <c:pt idx="363">
                  <c:v>301.91000000000003</c:v>
                </c:pt>
                <c:pt idx="364">
                  <c:v>296.29000000000002</c:v>
                </c:pt>
                <c:pt idx="365">
                  <c:v>292.31</c:v>
                </c:pt>
                <c:pt idx="366">
                  <c:v>289.63</c:v>
                </c:pt>
                <c:pt idx="367">
                  <c:v>287.45999999999998</c:v>
                </c:pt>
                <c:pt idx="368">
                  <c:v>289.52</c:v>
                </c:pt>
                <c:pt idx="369">
                  <c:v>291.47000000000003</c:v>
                </c:pt>
                <c:pt idx="370">
                  <c:v>285.55</c:v>
                </c:pt>
                <c:pt idx="371">
                  <c:v>285.63</c:v>
                </c:pt>
                <c:pt idx="372">
                  <c:v>291.55</c:v>
                </c:pt>
                <c:pt idx="373">
                  <c:v>292.17</c:v>
                </c:pt>
                <c:pt idx="374">
                  <c:v>297.49</c:v>
                </c:pt>
                <c:pt idx="375">
                  <c:v>294.63</c:v>
                </c:pt>
                <c:pt idx="376">
                  <c:v>294.08</c:v>
                </c:pt>
                <c:pt idx="377">
                  <c:v>293.52999999999997</c:v>
                </c:pt>
                <c:pt idx="378">
                  <c:v>291.67</c:v>
                </c:pt>
                <c:pt idx="379">
                  <c:v>293.02</c:v>
                </c:pt>
                <c:pt idx="380">
                  <c:v>298.39</c:v>
                </c:pt>
                <c:pt idx="381">
                  <c:v>299.91000000000003</c:v>
                </c:pt>
                <c:pt idx="382">
                  <c:v>301.88</c:v>
                </c:pt>
                <c:pt idx="383">
                  <c:v>299.62</c:v>
                </c:pt>
                <c:pt idx="384">
                  <c:v>298.89999999999998</c:v>
                </c:pt>
                <c:pt idx="385">
                  <c:v>300.37</c:v>
                </c:pt>
                <c:pt idx="386">
                  <c:v>297.07</c:v>
                </c:pt>
                <c:pt idx="387">
                  <c:v>295.74</c:v>
                </c:pt>
                <c:pt idx="388">
                  <c:v>299.17</c:v>
                </c:pt>
                <c:pt idx="389">
                  <c:v>298.12</c:v>
                </c:pt>
                <c:pt idx="390">
                  <c:v>294.48</c:v>
                </c:pt>
                <c:pt idx="391">
                  <c:v>298.47000000000003</c:v>
                </c:pt>
                <c:pt idx="392">
                  <c:v>299.22000000000003</c:v>
                </c:pt>
                <c:pt idx="393">
                  <c:v>302.67</c:v>
                </c:pt>
                <c:pt idx="394">
                  <c:v>303.61</c:v>
                </c:pt>
                <c:pt idx="395">
                  <c:v>300.07</c:v>
                </c:pt>
                <c:pt idx="396">
                  <c:v>302.89</c:v>
                </c:pt>
                <c:pt idx="397">
                  <c:v>304.23</c:v>
                </c:pt>
                <c:pt idx="398">
                  <c:v>298.77</c:v>
                </c:pt>
                <c:pt idx="399">
                  <c:v>307.66000000000003</c:v>
                </c:pt>
                <c:pt idx="400">
                  <c:v>307.91000000000003</c:v>
                </c:pt>
                <c:pt idx="401">
                  <c:v>305.45</c:v>
                </c:pt>
                <c:pt idx="402">
                  <c:v>304.36</c:v>
                </c:pt>
                <c:pt idx="403">
                  <c:v>301.64</c:v>
                </c:pt>
                <c:pt idx="404">
                  <c:v>305.07</c:v>
                </c:pt>
                <c:pt idx="405">
                  <c:v>308.95</c:v>
                </c:pt>
                <c:pt idx="406">
                  <c:v>308.93</c:v>
                </c:pt>
                <c:pt idx="407">
                  <c:v>308.7</c:v>
                </c:pt>
                <c:pt idx="408">
                  <c:v>310.93</c:v>
                </c:pt>
                <c:pt idx="409">
                  <c:v>313.08</c:v>
                </c:pt>
                <c:pt idx="410">
                  <c:v>313.22000000000003</c:v>
                </c:pt>
                <c:pt idx="411">
                  <c:v>314.07</c:v>
                </c:pt>
                <c:pt idx="412">
                  <c:v>313.44</c:v>
                </c:pt>
                <c:pt idx="413">
                  <c:v>312.94</c:v>
                </c:pt>
                <c:pt idx="414">
                  <c:v>311.43</c:v>
                </c:pt>
                <c:pt idx="415">
                  <c:v>312.22000000000003</c:v>
                </c:pt>
                <c:pt idx="416">
                  <c:v>313.54000000000002</c:v>
                </c:pt>
                <c:pt idx="417">
                  <c:v>315.76</c:v>
                </c:pt>
                <c:pt idx="418">
                  <c:v>316.39</c:v>
                </c:pt>
                <c:pt idx="419">
                  <c:v>316.99</c:v>
                </c:pt>
                <c:pt idx="420">
                  <c:v>314.38</c:v>
                </c:pt>
                <c:pt idx="421">
                  <c:v>312.8</c:v>
                </c:pt>
                <c:pt idx="422">
                  <c:v>312.52</c:v>
                </c:pt>
                <c:pt idx="423">
                  <c:v>305.94</c:v>
                </c:pt>
                <c:pt idx="424">
                  <c:v>308.43</c:v>
                </c:pt>
                <c:pt idx="425">
                  <c:v>305.39999999999998</c:v>
                </c:pt>
                <c:pt idx="426">
                  <c:v>302.07</c:v>
                </c:pt>
                <c:pt idx="427">
                  <c:v>303.29000000000002</c:v>
                </c:pt>
                <c:pt idx="428">
                  <c:v>304.97000000000003</c:v>
                </c:pt>
                <c:pt idx="429">
                  <c:v>301.14</c:v>
                </c:pt>
                <c:pt idx="430">
                  <c:v>302.38</c:v>
                </c:pt>
                <c:pt idx="431">
                  <c:v>302.99</c:v>
                </c:pt>
                <c:pt idx="432">
                  <c:v>303.19</c:v>
                </c:pt>
                <c:pt idx="433">
                  <c:v>304.33</c:v>
                </c:pt>
                <c:pt idx="434">
                  <c:v>302.3</c:v>
                </c:pt>
                <c:pt idx="435">
                  <c:v>305.24</c:v>
                </c:pt>
                <c:pt idx="436">
                  <c:v>302.99</c:v>
                </c:pt>
                <c:pt idx="437">
                  <c:v>303.89</c:v>
                </c:pt>
                <c:pt idx="438">
                  <c:v>300.52</c:v>
                </c:pt>
                <c:pt idx="439">
                  <c:v>299.88</c:v>
                </c:pt>
                <c:pt idx="440">
                  <c:v>300.98</c:v>
                </c:pt>
                <c:pt idx="441">
                  <c:v>296.04000000000002</c:v>
                </c:pt>
                <c:pt idx="442">
                  <c:v>296.32</c:v>
                </c:pt>
                <c:pt idx="443">
                  <c:v>294.39999999999998</c:v>
                </c:pt>
                <c:pt idx="444">
                  <c:v>293.81</c:v>
                </c:pt>
                <c:pt idx="445">
                  <c:v>297.01</c:v>
                </c:pt>
                <c:pt idx="446">
                  <c:v>300.11</c:v>
                </c:pt>
                <c:pt idx="447">
                  <c:v>304.56</c:v>
                </c:pt>
                <c:pt idx="448">
                  <c:v>305.25</c:v>
                </c:pt>
                <c:pt idx="449">
                  <c:v>305.33</c:v>
                </c:pt>
                <c:pt idx="450">
                  <c:v>308.08999999999997</c:v>
                </c:pt>
                <c:pt idx="451">
                  <c:v>307.77</c:v>
                </c:pt>
                <c:pt idx="452">
                  <c:v>307.48</c:v>
                </c:pt>
                <c:pt idx="453">
                  <c:v>310.11</c:v>
                </c:pt>
                <c:pt idx="454">
                  <c:v>306.97000000000003</c:v>
                </c:pt>
                <c:pt idx="455">
                  <c:v>305.79000000000002</c:v>
                </c:pt>
                <c:pt idx="456">
                  <c:v>310</c:v>
                </c:pt>
                <c:pt idx="457">
                  <c:v>306.39999999999998</c:v>
                </c:pt>
                <c:pt idx="458">
                  <c:v>302.35000000000002</c:v>
                </c:pt>
                <c:pt idx="459">
                  <c:v>302.43</c:v>
                </c:pt>
                <c:pt idx="460">
                  <c:v>298.43</c:v>
                </c:pt>
                <c:pt idx="461">
                  <c:v>296.37</c:v>
                </c:pt>
                <c:pt idx="462">
                  <c:v>299.20999999999998</c:v>
                </c:pt>
                <c:pt idx="463">
                  <c:v>305.67</c:v>
                </c:pt>
                <c:pt idx="464">
                  <c:v>298.41000000000003</c:v>
                </c:pt>
                <c:pt idx="465">
                  <c:v>299.66000000000003</c:v>
                </c:pt>
                <c:pt idx="466">
                  <c:v>299.10000000000002</c:v>
                </c:pt>
                <c:pt idx="467">
                  <c:v>306.83</c:v>
                </c:pt>
                <c:pt idx="468">
                  <c:v>306.94</c:v>
                </c:pt>
                <c:pt idx="469">
                  <c:v>307.58</c:v>
                </c:pt>
                <c:pt idx="470">
                  <c:v>307.02999999999997</c:v>
                </c:pt>
                <c:pt idx="471">
                  <c:v>304.89999999999998</c:v>
                </c:pt>
                <c:pt idx="472">
                  <c:v>304.58999999999997</c:v>
                </c:pt>
                <c:pt idx="473">
                  <c:v>302.74</c:v>
                </c:pt>
                <c:pt idx="474">
                  <c:v>304.16000000000003</c:v>
                </c:pt>
                <c:pt idx="475">
                  <c:v>309.35000000000002</c:v>
                </c:pt>
                <c:pt idx="476">
                  <c:v>304.89999999999998</c:v>
                </c:pt>
                <c:pt idx="477">
                  <c:v>310.45</c:v>
                </c:pt>
                <c:pt idx="478">
                  <c:v>312.39999999999998</c:v>
                </c:pt>
                <c:pt idx="479">
                  <c:v>311.82</c:v>
                </c:pt>
                <c:pt idx="480">
                  <c:v>303.57</c:v>
                </c:pt>
                <c:pt idx="481">
                  <c:v>300.72000000000003</c:v>
                </c:pt>
                <c:pt idx="482">
                  <c:v>307.70999999999998</c:v>
                </c:pt>
                <c:pt idx="483">
                  <c:v>308.54000000000002</c:v>
                </c:pt>
                <c:pt idx="484">
                  <c:v>311.23</c:v>
                </c:pt>
                <c:pt idx="485">
                  <c:v>309.79000000000002</c:v>
                </c:pt>
                <c:pt idx="486">
                  <c:v>310.79000000000002</c:v>
                </c:pt>
                <c:pt idx="487">
                  <c:v>310.52999999999997</c:v>
                </c:pt>
                <c:pt idx="488">
                  <c:v>309.70999999999998</c:v>
                </c:pt>
                <c:pt idx="489">
                  <c:v>316.72000000000003</c:v>
                </c:pt>
                <c:pt idx="490">
                  <c:v>318.73</c:v>
                </c:pt>
                <c:pt idx="491">
                  <c:v>314.5</c:v>
                </c:pt>
                <c:pt idx="492">
                  <c:v>318.69</c:v>
                </c:pt>
                <c:pt idx="493">
                  <c:v>319.64999999999998</c:v>
                </c:pt>
                <c:pt idx="494">
                  <c:v>315.83999999999997</c:v>
                </c:pt>
                <c:pt idx="495">
                  <c:v>316.22000000000003</c:v>
                </c:pt>
                <c:pt idx="496">
                  <c:v>310.83999999999997</c:v>
                </c:pt>
                <c:pt idx="497">
                  <c:v>313.33</c:v>
                </c:pt>
                <c:pt idx="498">
                  <c:v>310.68</c:v>
                </c:pt>
                <c:pt idx="499">
                  <c:v>308.52999999999997</c:v>
                </c:pt>
                <c:pt idx="500">
                  <c:v>308.02999999999997</c:v>
                </c:pt>
                <c:pt idx="501">
                  <c:v>305.63</c:v>
                </c:pt>
                <c:pt idx="502">
                  <c:v>303.26</c:v>
                </c:pt>
                <c:pt idx="503">
                  <c:v>299.86</c:v>
                </c:pt>
                <c:pt idx="504">
                  <c:v>302.77</c:v>
                </c:pt>
                <c:pt idx="505">
                  <c:v>304.16000000000003</c:v>
                </c:pt>
                <c:pt idx="506">
                  <c:v>308.88</c:v>
                </c:pt>
                <c:pt idx="507">
                  <c:v>307.32</c:v>
                </c:pt>
                <c:pt idx="508">
                  <c:v>306.75</c:v>
                </c:pt>
                <c:pt idx="509">
                  <c:v>309.44</c:v>
                </c:pt>
                <c:pt idx="510">
                  <c:v>308.13</c:v>
                </c:pt>
                <c:pt idx="511">
                  <c:v>308.62</c:v>
                </c:pt>
                <c:pt idx="512">
                  <c:v>307.43</c:v>
                </c:pt>
                <c:pt idx="513">
                  <c:v>302.83999999999997</c:v>
                </c:pt>
                <c:pt idx="514">
                  <c:v>305.69</c:v>
                </c:pt>
                <c:pt idx="515">
                  <c:v>306.02999999999997</c:v>
                </c:pt>
                <c:pt idx="516">
                  <c:v>309.25</c:v>
                </c:pt>
                <c:pt idx="517">
                  <c:v>312.95</c:v>
                </c:pt>
                <c:pt idx="518">
                  <c:v>314.13</c:v>
                </c:pt>
                <c:pt idx="519">
                  <c:v>312.8</c:v>
                </c:pt>
                <c:pt idx="520">
                  <c:v>315.51</c:v>
                </c:pt>
                <c:pt idx="521">
                  <c:v>315</c:v>
                </c:pt>
                <c:pt idx="522">
                  <c:v>318.52999999999997</c:v>
                </c:pt>
                <c:pt idx="523">
                  <c:v>319.48</c:v>
                </c:pt>
                <c:pt idx="524">
                  <c:v>323.69</c:v>
                </c:pt>
                <c:pt idx="525">
                  <c:v>323.48</c:v>
                </c:pt>
                <c:pt idx="526">
                  <c:v>327.16000000000003</c:v>
                </c:pt>
                <c:pt idx="527">
                  <c:v>325.60000000000002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EE-4886-B272-2E37A7704FE4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Data!$J$2:$J$529</c:f>
              <c:numCache>
                <c:formatCode>General</c:formatCode>
                <c:ptCount val="528"/>
                <c:pt idx="19">
                  <c:v>294.45550000000003</c:v>
                </c:pt>
                <c:pt idx="20">
                  <c:v>294.23950000000002</c:v>
                </c:pt>
                <c:pt idx="21">
                  <c:v>294.42399999999998</c:v>
                </c:pt>
                <c:pt idx="22">
                  <c:v>294.68950000000001</c:v>
                </c:pt>
                <c:pt idx="23">
                  <c:v>294.5385</c:v>
                </c:pt>
                <c:pt idx="24">
                  <c:v>294.17600000000004</c:v>
                </c:pt>
                <c:pt idx="25">
                  <c:v>293.99900000000002</c:v>
                </c:pt>
                <c:pt idx="26">
                  <c:v>293.89100000000002</c:v>
                </c:pt>
                <c:pt idx="27">
                  <c:v>293.65700000000004</c:v>
                </c:pt>
                <c:pt idx="28">
                  <c:v>293.45550000000003</c:v>
                </c:pt>
                <c:pt idx="29">
                  <c:v>293.25650000000002</c:v>
                </c:pt>
                <c:pt idx="30">
                  <c:v>293.10700000000003</c:v>
                </c:pt>
                <c:pt idx="31">
                  <c:v>292.98200000000003</c:v>
                </c:pt>
                <c:pt idx="32">
                  <c:v>292.55649999999997</c:v>
                </c:pt>
                <c:pt idx="33">
                  <c:v>292.26849999999996</c:v>
                </c:pt>
                <c:pt idx="34">
                  <c:v>291.9615</c:v>
                </c:pt>
                <c:pt idx="35">
                  <c:v>291.73549999999994</c:v>
                </c:pt>
                <c:pt idx="36">
                  <c:v>291.76249999999999</c:v>
                </c:pt>
                <c:pt idx="37">
                  <c:v>292.00549999999998</c:v>
                </c:pt>
                <c:pt idx="38">
                  <c:v>292.07799999999997</c:v>
                </c:pt>
                <c:pt idx="39">
                  <c:v>292.10500000000002</c:v>
                </c:pt>
                <c:pt idx="40">
                  <c:v>292.08299999999997</c:v>
                </c:pt>
                <c:pt idx="41">
                  <c:v>291.71549999999996</c:v>
                </c:pt>
                <c:pt idx="42">
                  <c:v>291.40999999999997</c:v>
                </c:pt>
                <c:pt idx="43">
                  <c:v>291.73849999999993</c:v>
                </c:pt>
                <c:pt idx="44">
                  <c:v>292.15249999999997</c:v>
                </c:pt>
                <c:pt idx="45">
                  <c:v>292.34149999999994</c:v>
                </c:pt>
                <c:pt idx="46">
                  <c:v>292.37250000000006</c:v>
                </c:pt>
                <c:pt idx="47">
                  <c:v>292.64</c:v>
                </c:pt>
                <c:pt idx="48">
                  <c:v>292.88350000000003</c:v>
                </c:pt>
                <c:pt idx="49">
                  <c:v>292.67099999999999</c:v>
                </c:pt>
                <c:pt idx="50">
                  <c:v>292.34899999999999</c:v>
                </c:pt>
                <c:pt idx="51">
                  <c:v>291.71300000000008</c:v>
                </c:pt>
                <c:pt idx="52">
                  <c:v>291.04100000000005</c:v>
                </c:pt>
                <c:pt idx="53">
                  <c:v>290.55200000000002</c:v>
                </c:pt>
                <c:pt idx="54">
                  <c:v>290.07900000000006</c:v>
                </c:pt>
                <c:pt idx="55">
                  <c:v>289.45950000000005</c:v>
                </c:pt>
                <c:pt idx="56">
                  <c:v>288.70349999999996</c:v>
                </c:pt>
                <c:pt idx="57">
                  <c:v>287.77850000000001</c:v>
                </c:pt>
                <c:pt idx="58">
                  <c:v>287.0215</c:v>
                </c:pt>
                <c:pt idx="59">
                  <c:v>286.363</c:v>
                </c:pt>
                <c:pt idx="60">
                  <c:v>285.84649999999999</c:v>
                </c:pt>
                <c:pt idx="61">
                  <c:v>285.32100000000003</c:v>
                </c:pt>
                <c:pt idx="62">
                  <c:v>284.66099999999994</c:v>
                </c:pt>
                <c:pt idx="63">
                  <c:v>283.81099999999992</c:v>
                </c:pt>
                <c:pt idx="64">
                  <c:v>282.66899999999998</c:v>
                </c:pt>
                <c:pt idx="65">
                  <c:v>281.44799999999998</c:v>
                </c:pt>
                <c:pt idx="66">
                  <c:v>280.19849999999997</c:v>
                </c:pt>
                <c:pt idx="67">
                  <c:v>278.92949999999996</c:v>
                </c:pt>
                <c:pt idx="68">
                  <c:v>277.64749999999992</c:v>
                </c:pt>
                <c:pt idx="69">
                  <c:v>276.93549999999993</c:v>
                </c:pt>
                <c:pt idx="70">
                  <c:v>276.21849999999995</c:v>
                </c:pt>
                <c:pt idx="71">
                  <c:v>275.57299999999998</c:v>
                </c:pt>
                <c:pt idx="72">
                  <c:v>274.91549999999995</c:v>
                </c:pt>
                <c:pt idx="73">
                  <c:v>274.26949999999999</c:v>
                </c:pt>
                <c:pt idx="74">
                  <c:v>273.59600000000012</c:v>
                </c:pt>
                <c:pt idx="75">
                  <c:v>273.01900000000006</c:v>
                </c:pt>
                <c:pt idx="76">
                  <c:v>272.66649999999998</c:v>
                </c:pt>
                <c:pt idx="77">
                  <c:v>272.57949999999994</c:v>
                </c:pt>
                <c:pt idx="78">
                  <c:v>272.48599999999999</c:v>
                </c:pt>
                <c:pt idx="79">
                  <c:v>272.16500000000002</c:v>
                </c:pt>
                <c:pt idx="80">
                  <c:v>271.72199999999998</c:v>
                </c:pt>
                <c:pt idx="81">
                  <c:v>271.38850000000002</c:v>
                </c:pt>
                <c:pt idx="82">
                  <c:v>271.15350000000001</c:v>
                </c:pt>
                <c:pt idx="83">
                  <c:v>271.09800000000007</c:v>
                </c:pt>
                <c:pt idx="84">
                  <c:v>271.25749999999999</c:v>
                </c:pt>
                <c:pt idx="85">
                  <c:v>271.43899999999996</c:v>
                </c:pt>
                <c:pt idx="86">
                  <c:v>271.52600000000001</c:v>
                </c:pt>
                <c:pt idx="87">
                  <c:v>271.42899999999997</c:v>
                </c:pt>
                <c:pt idx="88">
                  <c:v>271.41999999999996</c:v>
                </c:pt>
                <c:pt idx="89">
                  <c:v>271.38649999999996</c:v>
                </c:pt>
                <c:pt idx="90">
                  <c:v>271.76699999999994</c:v>
                </c:pt>
                <c:pt idx="91">
                  <c:v>272.02149999999995</c:v>
                </c:pt>
                <c:pt idx="92">
                  <c:v>272.28300000000002</c:v>
                </c:pt>
                <c:pt idx="93">
                  <c:v>272.47899999999993</c:v>
                </c:pt>
                <c:pt idx="94">
                  <c:v>272.60550000000001</c:v>
                </c:pt>
                <c:pt idx="95">
                  <c:v>272.625</c:v>
                </c:pt>
                <c:pt idx="96">
                  <c:v>272.23950000000002</c:v>
                </c:pt>
                <c:pt idx="97">
                  <c:v>271.68900000000002</c:v>
                </c:pt>
                <c:pt idx="98">
                  <c:v>271.14</c:v>
                </c:pt>
                <c:pt idx="99">
                  <c:v>270.25649999999996</c:v>
                </c:pt>
                <c:pt idx="100">
                  <c:v>269.50749999999994</c:v>
                </c:pt>
                <c:pt idx="101">
                  <c:v>268.50699999999995</c:v>
                </c:pt>
                <c:pt idx="102">
                  <c:v>267.32350000000002</c:v>
                </c:pt>
                <c:pt idx="103">
                  <c:v>266.20549999999992</c:v>
                </c:pt>
                <c:pt idx="104">
                  <c:v>265.48599999999999</c:v>
                </c:pt>
                <c:pt idx="105">
                  <c:v>264.95750000000004</c:v>
                </c:pt>
                <c:pt idx="106">
                  <c:v>264.62850000000003</c:v>
                </c:pt>
                <c:pt idx="107">
                  <c:v>264.25299999999999</c:v>
                </c:pt>
                <c:pt idx="108">
                  <c:v>263.86450000000002</c:v>
                </c:pt>
                <c:pt idx="109">
                  <c:v>263.27750000000003</c:v>
                </c:pt>
                <c:pt idx="110">
                  <c:v>262.21800000000002</c:v>
                </c:pt>
                <c:pt idx="111">
                  <c:v>261.36599999999999</c:v>
                </c:pt>
                <c:pt idx="112">
                  <c:v>260.55699999999996</c:v>
                </c:pt>
                <c:pt idx="113">
                  <c:v>259.54849999999999</c:v>
                </c:pt>
                <c:pt idx="114">
                  <c:v>258.55199999999996</c:v>
                </c:pt>
                <c:pt idx="115">
                  <c:v>257.60849999999999</c:v>
                </c:pt>
                <c:pt idx="116">
                  <c:v>256.75449999999995</c:v>
                </c:pt>
                <c:pt idx="117">
                  <c:v>256.15100000000007</c:v>
                </c:pt>
                <c:pt idx="118">
                  <c:v>255.83200000000005</c:v>
                </c:pt>
                <c:pt idx="119">
                  <c:v>255.9545</c:v>
                </c:pt>
                <c:pt idx="120">
                  <c:v>255.91800000000003</c:v>
                </c:pt>
                <c:pt idx="121">
                  <c:v>256.13250000000005</c:v>
                </c:pt>
                <c:pt idx="122">
                  <c:v>256.57250000000005</c:v>
                </c:pt>
                <c:pt idx="123">
                  <c:v>256.71099999999996</c:v>
                </c:pt>
                <c:pt idx="124">
                  <c:v>256.26599999999996</c:v>
                </c:pt>
                <c:pt idx="125">
                  <c:v>255.66800000000003</c:v>
                </c:pt>
                <c:pt idx="126">
                  <c:v>255.03199999999998</c:v>
                </c:pt>
                <c:pt idx="127">
                  <c:v>254.58700000000005</c:v>
                </c:pt>
                <c:pt idx="128">
                  <c:v>253.94350000000003</c:v>
                </c:pt>
                <c:pt idx="129">
                  <c:v>253.42400000000004</c:v>
                </c:pt>
                <c:pt idx="130">
                  <c:v>253.25800000000004</c:v>
                </c:pt>
                <c:pt idx="131">
                  <c:v>253.28400000000002</c:v>
                </c:pt>
                <c:pt idx="132">
                  <c:v>253.25500000000002</c:v>
                </c:pt>
                <c:pt idx="133">
                  <c:v>253.1465</c:v>
                </c:pt>
                <c:pt idx="134">
                  <c:v>253.33099999999996</c:v>
                </c:pt>
                <c:pt idx="135">
                  <c:v>253.70550000000003</c:v>
                </c:pt>
                <c:pt idx="136">
                  <c:v>254.142</c:v>
                </c:pt>
                <c:pt idx="137">
                  <c:v>254.31600000000003</c:v>
                </c:pt>
                <c:pt idx="138">
                  <c:v>254.32350000000005</c:v>
                </c:pt>
                <c:pt idx="139">
                  <c:v>254.00700000000001</c:v>
                </c:pt>
                <c:pt idx="140">
                  <c:v>253.8065</c:v>
                </c:pt>
                <c:pt idx="141">
                  <c:v>253.488</c:v>
                </c:pt>
                <c:pt idx="142">
                  <c:v>253.17950000000002</c:v>
                </c:pt>
                <c:pt idx="143">
                  <c:v>253.5085</c:v>
                </c:pt>
                <c:pt idx="144">
                  <c:v>254.33099999999999</c:v>
                </c:pt>
                <c:pt idx="145">
                  <c:v>255.21149999999997</c:v>
                </c:pt>
                <c:pt idx="146">
                  <c:v>256.149</c:v>
                </c:pt>
                <c:pt idx="147">
                  <c:v>257.42899999999997</c:v>
                </c:pt>
                <c:pt idx="148">
                  <c:v>258.45899999999995</c:v>
                </c:pt>
                <c:pt idx="149">
                  <c:v>259.67099999999999</c:v>
                </c:pt>
                <c:pt idx="150">
                  <c:v>260.61500000000001</c:v>
                </c:pt>
                <c:pt idx="151">
                  <c:v>261.43449999999996</c:v>
                </c:pt>
                <c:pt idx="152">
                  <c:v>262.13499999999999</c:v>
                </c:pt>
                <c:pt idx="153">
                  <c:v>263.03149999999994</c:v>
                </c:pt>
                <c:pt idx="154">
                  <c:v>263.68349999999998</c:v>
                </c:pt>
                <c:pt idx="155">
                  <c:v>264.19099999999997</c:v>
                </c:pt>
                <c:pt idx="156">
                  <c:v>264.95850000000002</c:v>
                </c:pt>
                <c:pt idx="157">
                  <c:v>266.01899999999995</c:v>
                </c:pt>
                <c:pt idx="158">
                  <c:v>267.41949999999997</c:v>
                </c:pt>
                <c:pt idx="159">
                  <c:v>268.99849999999998</c:v>
                </c:pt>
                <c:pt idx="160">
                  <c:v>270.81550000000004</c:v>
                </c:pt>
                <c:pt idx="161">
                  <c:v>272.70300000000003</c:v>
                </c:pt>
                <c:pt idx="162">
                  <c:v>274.57900000000001</c:v>
                </c:pt>
                <c:pt idx="163">
                  <c:v>275.94200000000001</c:v>
                </c:pt>
                <c:pt idx="164">
                  <c:v>277.10199999999998</c:v>
                </c:pt>
                <c:pt idx="165">
                  <c:v>278.18450000000001</c:v>
                </c:pt>
                <c:pt idx="166">
                  <c:v>279.1400000000001</c:v>
                </c:pt>
                <c:pt idx="167">
                  <c:v>279.73850000000004</c:v>
                </c:pt>
                <c:pt idx="168">
                  <c:v>280.59199999999998</c:v>
                </c:pt>
                <c:pt idx="169">
                  <c:v>281.4905</c:v>
                </c:pt>
                <c:pt idx="170">
                  <c:v>282.4205</c:v>
                </c:pt>
                <c:pt idx="171">
                  <c:v>283.3365</c:v>
                </c:pt>
                <c:pt idx="172">
                  <c:v>284.50549999999998</c:v>
                </c:pt>
                <c:pt idx="173">
                  <c:v>285.596</c:v>
                </c:pt>
                <c:pt idx="174">
                  <c:v>286.59199999999998</c:v>
                </c:pt>
                <c:pt idx="175">
                  <c:v>287.65200000000004</c:v>
                </c:pt>
                <c:pt idx="176">
                  <c:v>288.73500000000001</c:v>
                </c:pt>
                <c:pt idx="177">
                  <c:v>289.64499999999998</c:v>
                </c:pt>
                <c:pt idx="178">
                  <c:v>289.95499999999993</c:v>
                </c:pt>
                <c:pt idx="179">
                  <c:v>290.27499999999998</c:v>
                </c:pt>
                <c:pt idx="180">
                  <c:v>290.48200000000003</c:v>
                </c:pt>
                <c:pt idx="181">
                  <c:v>290.863</c:v>
                </c:pt>
                <c:pt idx="182">
                  <c:v>291.34000000000003</c:v>
                </c:pt>
                <c:pt idx="183">
                  <c:v>291.91950000000008</c:v>
                </c:pt>
                <c:pt idx="184">
                  <c:v>292.46100000000013</c:v>
                </c:pt>
                <c:pt idx="185">
                  <c:v>293.29100000000005</c:v>
                </c:pt>
                <c:pt idx="186">
                  <c:v>294.08249999999998</c:v>
                </c:pt>
                <c:pt idx="187">
                  <c:v>294.875</c:v>
                </c:pt>
                <c:pt idx="188">
                  <c:v>295.74799999999993</c:v>
                </c:pt>
                <c:pt idx="189">
                  <c:v>296.53449999999992</c:v>
                </c:pt>
                <c:pt idx="190">
                  <c:v>297.30849999999998</c:v>
                </c:pt>
                <c:pt idx="191">
                  <c:v>298.02099999999996</c:v>
                </c:pt>
                <c:pt idx="192">
                  <c:v>298.49900000000002</c:v>
                </c:pt>
                <c:pt idx="193">
                  <c:v>299.03049999999996</c:v>
                </c:pt>
                <c:pt idx="194">
                  <c:v>299.71050000000002</c:v>
                </c:pt>
                <c:pt idx="195">
                  <c:v>300.29499999999996</c:v>
                </c:pt>
                <c:pt idx="196">
                  <c:v>300.72050000000002</c:v>
                </c:pt>
                <c:pt idx="197">
                  <c:v>301.37800000000004</c:v>
                </c:pt>
                <c:pt idx="198">
                  <c:v>302.35749999999996</c:v>
                </c:pt>
                <c:pt idx="199">
                  <c:v>303.40199999999999</c:v>
                </c:pt>
                <c:pt idx="200">
                  <c:v>304.44450000000001</c:v>
                </c:pt>
                <c:pt idx="201">
                  <c:v>305.43100000000004</c:v>
                </c:pt>
                <c:pt idx="202">
                  <c:v>306.22250000000003</c:v>
                </c:pt>
                <c:pt idx="203">
                  <c:v>306.94349999999997</c:v>
                </c:pt>
                <c:pt idx="204">
                  <c:v>306.8485</c:v>
                </c:pt>
                <c:pt idx="205">
                  <c:v>306.745</c:v>
                </c:pt>
                <c:pt idx="206">
                  <c:v>306.19099999999997</c:v>
                </c:pt>
                <c:pt idx="207">
                  <c:v>305.80499999999995</c:v>
                </c:pt>
                <c:pt idx="208">
                  <c:v>305.40599999999995</c:v>
                </c:pt>
                <c:pt idx="209">
                  <c:v>304.79399999999998</c:v>
                </c:pt>
                <c:pt idx="210">
                  <c:v>304.22699999999992</c:v>
                </c:pt>
                <c:pt idx="211">
                  <c:v>303.79949999999997</c:v>
                </c:pt>
                <c:pt idx="212">
                  <c:v>303.39949999999999</c:v>
                </c:pt>
                <c:pt idx="213">
                  <c:v>303.1705</c:v>
                </c:pt>
                <c:pt idx="214">
                  <c:v>302.67899999999997</c:v>
                </c:pt>
                <c:pt idx="215">
                  <c:v>302.20999999999998</c:v>
                </c:pt>
                <c:pt idx="216">
                  <c:v>301.90649999999999</c:v>
                </c:pt>
                <c:pt idx="217">
                  <c:v>301.49099999999999</c:v>
                </c:pt>
                <c:pt idx="218">
                  <c:v>300.75650000000002</c:v>
                </c:pt>
                <c:pt idx="219">
                  <c:v>299.97799999999995</c:v>
                </c:pt>
                <c:pt idx="220">
                  <c:v>299.17100000000005</c:v>
                </c:pt>
                <c:pt idx="221">
                  <c:v>297.97450000000003</c:v>
                </c:pt>
                <c:pt idx="222">
                  <c:v>296.78500000000003</c:v>
                </c:pt>
                <c:pt idx="223">
                  <c:v>295.58699999999999</c:v>
                </c:pt>
                <c:pt idx="224">
                  <c:v>295.20400000000001</c:v>
                </c:pt>
                <c:pt idx="225">
                  <c:v>294.54849999999999</c:v>
                </c:pt>
                <c:pt idx="226">
                  <c:v>294.43200000000007</c:v>
                </c:pt>
                <c:pt idx="227">
                  <c:v>294.40199999999999</c:v>
                </c:pt>
                <c:pt idx="228">
                  <c:v>294.46850000000001</c:v>
                </c:pt>
                <c:pt idx="229">
                  <c:v>294.64649999999995</c:v>
                </c:pt>
                <c:pt idx="230">
                  <c:v>294.8415</c:v>
                </c:pt>
                <c:pt idx="231">
                  <c:v>294.70299999999992</c:v>
                </c:pt>
                <c:pt idx="232">
                  <c:v>294.78549999999996</c:v>
                </c:pt>
                <c:pt idx="233">
                  <c:v>294.67399999999992</c:v>
                </c:pt>
                <c:pt idx="234">
                  <c:v>294.94749999999999</c:v>
                </c:pt>
                <c:pt idx="235">
                  <c:v>295.1635</c:v>
                </c:pt>
                <c:pt idx="236">
                  <c:v>295.28349999999995</c:v>
                </c:pt>
                <c:pt idx="237">
                  <c:v>295.24249999999995</c:v>
                </c:pt>
                <c:pt idx="238">
                  <c:v>295.11500000000007</c:v>
                </c:pt>
                <c:pt idx="239">
                  <c:v>295.07900000000006</c:v>
                </c:pt>
                <c:pt idx="240">
                  <c:v>294.98100000000011</c:v>
                </c:pt>
                <c:pt idx="241">
                  <c:v>295.23500000000001</c:v>
                </c:pt>
                <c:pt idx="242">
                  <c:v>295.48400000000004</c:v>
                </c:pt>
                <c:pt idx="243">
                  <c:v>295.49150000000003</c:v>
                </c:pt>
                <c:pt idx="244">
                  <c:v>295.45749999999998</c:v>
                </c:pt>
                <c:pt idx="245">
                  <c:v>295.66800000000001</c:v>
                </c:pt>
                <c:pt idx="246">
                  <c:v>295.71850000000001</c:v>
                </c:pt>
                <c:pt idx="247">
                  <c:v>295.60849999999994</c:v>
                </c:pt>
                <c:pt idx="248">
                  <c:v>295.53199999999998</c:v>
                </c:pt>
                <c:pt idx="249">
                  <c:v>295.45899999999995</c:v>
                </c:pt>
                <c:pt idx="250">
                  <c:v>295.13850000000002</c:v>
                </c:pt>
                <c:pt idx="251">
                  <c:v>295.01100000000002</c:v>
                </c:pt>
                <c:pt idx="252">
                  <c:v>294.91150000000005</c:v>
                </c:pt>
                <c:pt idx="253">
                  <c:v>294.89600000000007</c:v>
                </c:pt>
                <c:pt idx="254">
                  <c:v>294.53150000000005</c:v>
                </c:pt>
                <c:pt idx="255">
                  <c:v>294.04950000000002</c:v>
                </c:pt>
                <c:pt idx="256">
                  <c:v>293.32600000000002</c:v>
                </c:pt>
                <c:pt idx="257">
                  <c:v>292.40600000000001</c:v>
                </c:pt>
                <c:pt idx="258">
                  <c:v>291.78250000000003</c:v>
                </c:pt>
                <c:pt idx="259">
                  <c:v>291.03000000000003</c:v>
                </c:pt>
                <c:pt idx="260">
                  <c:v>290.315</c:v>
                </c:pt>
                <c:pt idx="261">
                  <c:v>289.41649999999998</c:v>
                </c:pt>
                <c:pt idx="262">
                  <c:v>288.65999999999997</c:v>
                </c:pt>
                <c:pt idx="263">
                  <c:v>288.24649999999991</c:v>
                </c:pt>
                <c:pt idx="264">
                  <c:v>287.80250000000001</c:v>
                </c:pt>
                <c:pt idx="265">
                  <c:v>287.39</c:v>
                </c:pt>
                <c:pt idx="266">
                  <c:v>287.0985</c:v>
                </c:pt>
                <c:pt idx="267">
                  <c:v>287.05350000000004</c:v>
                </c:pt>
                <c:pt idx="268">
                  <c:v>286.87099999999998</c:v>
                </c:pt>
                <c:pt idx="269">
                  <c:v>286.69549999999998</c:v>
                </c:pt>
                <c:pt idx="270">
                  <c:v>286.73149999999998</c:v>
                </c:pt>
                <c:pt idx="271">
                  <c:v>286.67199999999991</c:v>
                </c:pt>
                <c:pt idx="272">
                  <c:v>286.54899999999992</c:v>
                </c:pt>
                <c:pt idx="273">
                  <c:v>286.29849999999999</c:v>
                </c:pt>
                <c:pt idx="274">
                  <c:v>286.13099999999997</c:v>
                </c:pt>
                <c:pt idx="275">
                  <c:v>286.38200000000001</c:v>
                </c:pt>
                <c:pt idx="276">
                  <c:v>286.75200000000007</c:v>
                </c:pt>
                <c:pt idx="277">
                  <c:v>288.0575</c:v>
                </c:pt>
                <c:pt idx="278">
                  <c:v>289.38650000000001</c:v>
                </c:pt>
                <c:pt idx="279">
                  <c:v>290.68750000000006</c:v>
                </c:pt>
                <c:pt idx="280">
                  <c:v>292.07350000000008</c:v>
                </c:pt>
                <c:pt idx="281">
                  <c:v>293.51400000000007</c:v>
                </c:pt>
                <c:pt idx="282">
                  <c:v>294.70800000000003</c:v>
                </c:pt>
                <c:pt idx="283">
                  <c:v>295.67449999999997</c:v>
                </c:pt>
                <c:pt idx="284">
                  <c:v>296.75950000000006</c:v>
                </c:pt>
                <c:pt idx="285">
                  <c:v>297.77850000000001</c:v>
                </c:pt>
                <c:pt idx="286">
                  <c:v>298.88400000000001</c:v>
                </c:pt>
                <c:pt idx="287">
                  <c:v>299.76550000000003</c:v>
                </c:pt>
                <c:pt idx="288">
                  <c:v>300.42150000000004</c:v>
                </c:pt>
                <c:pt idx="289">
                  <c:v>301.4135</c:v>
                </c:pt>
                <c:pt idx="290">
                  <c:v>302.31399999999996</c:v>
                </c:pt>
                <c:pt idx="291">
                  <c:v>303.09349999999995</c:v>
                </c:pt>
                <c:pt idx="292">
                  <c:v>303.87950000000001</c:v>
                </c:pt>
                <c:pt idx="293">
                  <c:v>304.76350000000008</c:v>
                </c:pt>
                <c:pt idx="294">
                  <c:v>305.84050000000008</c:v>
                </c:pt>
                <c:pt idx="295">
                  <c:v>307.18700000000001</c:v>
                </c:pt>
                <c:pt idx="296">
                  <c:v>308.33449999999999</c:v>
                </c:pt>
                <c:pt idx="297">
                  <c:v>308.25149999999996</c:v>
                </c:pt>
                <c:pt idx="298">
                  <c:v>307.71099999999996</c:v>
                </c:pt>
                <c:pt idx="299">
                  <c:v>307.20599999999996</c:v>
                </c:pt>
                <c:pt idx="300">
                  <c:v>306.69649999999996</c:v>
                </c:pt>
                <c:pt idx="301">
                  <c:v>306.46749999999997</c:v>
                </c:pt>
                <c:pt idx="302">
                  <c:v>306.40600000000001</c:v>
                </c:pt>
                <c:pt idx="303">
                  <c:v>306.65500000000003</c:v>
                </c:pt>
                <c:pt idx="304">
                  <c:v>306.85250000000002</c:v>
                </c:pt>
                <c:pt idx="305">
                  <c:v>306.88400000000001</c:v>
                </c:pt>
                <c:pt idx="306">
                  <c:v>306.78900000000004</c:v>
                </c:pt>
                <c:pt idx="307">
                  <c:v>306.59899999999999</c:v>
                </c:pt>
                <c:pt idx="308">
                  <c:v>307.06450000000001</c:v>
                </c:pt>
                <c:pt idx="309">
                  <c:v>307.20149999999995</c:v>
                </c:pt>
                <c:pt idx="310">
                  <c:v>307.13949999999994</c:v>
                </c:pt>
                <c:pt idx="311">
                  <c:v>307.54349999999999</c:v>
                </c:pt>
                <c:pt idx="312">
                  <c:v>307.93649999999997</c:v>
                </c:pt>
                <c:pt idx="313">
                  <c:v>308.14299999999997</c:v>
                </c:pt>
                <c:pt idx="314">
                  <c:v>308.53800000000001</c:v>
                </c:pt>
                <c:pt idx="315">
                  <c:v>307.47899999999993</c:v>
                </c:pt>
                <c:pt idx="316">
                  <c:v>306.61099999999999</c:v>
                </c:pt>
                <c:pt idx="317">
                  <c:v>306.26450000000006</c:v>
                </c:pt>
                <c:pt idx="318">
                  <c:v>306.49249999999995</c:v>
                </c:pt>
                <c:pt idx="319">
                  <c:v>306.95649999999995</c:v>
                </c:pt>
                <c:pt idx="320">
                  <c:v>307.45999999999992</c:v>
                </c:pt>
                <c:pt idx="321">
                  <c:v>308.06499999999994</c:v>
                </c:pt>
                <c:pt idx="322">
                  <c:v>308.50900000000001</c:v>
                </c:pt>
                <c:pt idx="323">
                  <c:v>308.61800000000005</c:v>
                </c:pt>
                <c:pt idx="324">
                  <c:v>308.83299999999997</c:v>
                </c:pt>
                <c:pt idx="325">
                  <c:v>308.99700000000001</c:v>
                </c:pt>
                <c:pt idx="326">
                  <c:v>309.66750000000002</c:v>
                </c:pt>
                <c:pt idx="327">
                  <c:v>310.24549999999999</c:v>
                </c:pt>
                <c:pt idx="328">
                  <c:v>310.3775</c:v>
                </c:pt>
                <c:pt idx="329">
                  <c:v>310.58000000000004</c:v>
                </c:pt>
                <c:pt idx="330">
                  <c:v>311.06600000000009</c:v>
                </c:pt>
                <c:pt idx="331">
                  <c:v>311.17250000000001</c:v>
                </c:pt>
                <c:pt idx="332">
                  <c:v>311.47350000000006</c:v>
                </c:pt>
                <c:pt idx="333">
                  <c:v>311.57650000000001</c:v>
                </c:pt>
                <c:pt idx="334">
                  <c:v>311.26100000000002</c:v>
                </c:pt>
                <c:pt idx="335">
                  <c:v>312.04149999999998</c:v>
                </c:pt>
                <c:pt idx="336">
                  <c:v>312.88650000000001</c:v>
                </c:pt>
                <c:pt idx="337">
                  <c:v>313.80149999999998</c:v>
                </c:pt>
                <c:pt idx="338">
                  <c:v>314.27800000000002</c:v>
                </c:pt>
                <c:pt idx="339">
                  <c:v>314.62300000000005</c:v>
                </c:pt>
                <c:pt idx="340">
                  <c:v>314.72399999999999</c:v>
                </c:pt>
                <c:pt idx="341">
                  <c:v>314.35499999999996</c:v>
                </c:pt>
                <c:pt idx="342">
                  <c:v>314.10599999999999</c:v>
                </c:pt>
                <c:pt idx="343">
                  <c:v>314.375</c:v>
                </c:pt>
                <c:pt idx="344">
                  <c:v>314.7405</c:v>
                </c:pt>
                <c:pt idx="345">
                  <c:v>315.36599999999999</c:v>
                </c:pt>
                <c:pt idx="346">
                  <c:v>315.40199999999999</c:v>
                </c:pt>
                <c:pt idx="347">
                  <c:v>315.2999999999999</c:v>
                </c:pt>
                <c:pt idx="348">
                  <c:v>315.20449999999994</c:v>
                </c:pt>
                <c:pt idx="349">
                  <c:v>315.09600000000006</c:v>
                </c:pt>
                <c:pt idx="350">
                  <c:v>315.00299999999999</c:v>
                </c:pt>
                <c:pt idx="351">
                  <c:v>314.91999999999996</c:v>
                </c:pt>
                <c:pt idx="352">
                  <c:v>314.53049999999996</c:v>
                </c:pt>
                <c:pt idx="353">
                  <c:v>314.54100000000005</c:v>
                </c:pt>
                <c:pt idx="354">
                  <c:v>314.57700000000006</c:v>
                </c:pt>
                <c:pt idx="355">
                  <c:v>314.41050000000007</c:v>
                </c:pt>
                <c:pt idx="356">
                  <c:v>314.1495000000001</c:v>
                </c:pt>
                <c:pt idx="357">
                  <c:v>313.69200000000001</c:v>
                </c:pt>
                <c:pt idx="358">
                  <c:v>313.38549999999998</c:v>
                </c:pt>
                <c:pt idx="359">
                  <c:v>312.94050000000004</c:v>
                </c:pt>
                <c:pt idx="360">
                  <c:v>312.36599999999999</c:v>
                </c:pt>
                <c:pt idx="361">
                  <c:v>312.01749999999998</c:v>
                </c:pt>
                <c:pt idx="362">
                  <c:v>311.80049999999994</c:v>
                </c:pt>
                <c:pt idx="363">
                  <c:v>311.17199999999997</c:v>
                </c:pt>
                <c:pt idx="364">
                  <c:v>310.05599999999998</c:v>
                </c:pt>
                <c:pt idx="365">
                  <c:v>308.61</c:v>
                </c:pt>
                <c:pt idx="366">
                  <c:v>307.10150000000004</c:v>
                </c:pt>
                <c:pt idx="367">
                  <c:v>305.65249999999997</c:v>
                </c:pt>
                <c:pt idx="368">
                  <c:v>304.41300000000001</c:v>
                </c:pt>
                <c:pt idx="369">
                  <c:v>303.25800000000004</c:v>
                </c:pt>
                <c:pt idx="370">
                  <c:v>301.78800000000001</c:v>
                </c:pt>
                <c:pt idx="371">
                  <c:v>300.42750000000001</c:v>
                </c:pt>
                <c:pt idx="372">
                  <c:v>299.41199999999998</c:v>
                </c:pt>
                <c:pt idx="373">
                  <c:v>298.32799999999997</c:v>
                </c:pt>
                <c:pt idx="374">
                  <c:v>297.56850000000003</c:v>
                </c:pt>
                <c:pt idx="375">
                  <c:v>296.68050000000005</c:v>
                </c:pt>
                <c:pt idx="376">
                  <c:v>295.80600000000004</c:v>
                </c:pt>
                <c:pt idx="377">
                  <c:v>295.0335</c:v>
                </c:pt>
                <c:pt idx="378">
                  <c:v>294.24900000000002</c:v>
                </c:pt>
                <c:pt idx="379">
                  <c:v>293.66100000000006</c:v>
                </c:pt>
                <c:pt idx="380">
                  <c:v>293.55900000000008</c:v>
                </c:pt>
                <c:pt idx="381">
                  <c:v>293.46850000000001</c:v>
                </c:pt>
                <c:pt idx="382">
                  <c:v>293.40449999999998</c:v>
                </c:pt>
                <c:pt idx="383">
                  <c:v>293.29000000000002</c:v>
                </c:pt>
                <c:pt idx="384">
                  <c:v>293.42050000000006</c:v>
                </c:pt>
                <c:pt idx="385">
                  <c:v>293.82349999999991</c:v>
                </c:pt>
                <c:pt idx="386">
                  <c:v>294.19549999999992</c:v>
                </c:pt>
                <c:pt idx="387">
                  <c:v>294.60949999999991</c:v>
                </c:pt>
                <c:pt idx="388">
                  <c:v>295.09199999999998</c:v>
                </c:pt>
                <c:pt idx="389">
                  <c:v>295.42449999999997</c:v>
                </c:pt>
                <c:pt idx="390">
                  <c:v>295.87099999999992</c:v>
                </c:pt>
                <c:pt idx="391">
                  <c:v>296.51299999999998</c:v>
                </c:pt>
                <c:pt idx="392">
                  <c:v>296.8965</c:v>
                </c:pt>
                <c:pt idx="393">
                  <c:v>297.42150000000004</c:v>
                </c:pt>
                <c:pt idx="394">
                  <c:v>297.72750000000002</c:v>
                </c:pt>
                <c:pt idx="395">
                  <c:v>297.99950000000001</c:v>
                </c:pt>
                <c:pt idx="396">
                  <c:v>298.44000000000005</c:v>
                </c:pt>
                <c:pt idx="397">
                  <c:v>298.97500000000002</c:v>
                </c:pt>
                <c:pt idx="398">
                  <c:v>299.33000000000004</c:v>
                </c:pt>
                <c:pt idx="399">
                  <c:v>300.06200000000001</c:v>
                </c:pt>
                <c:pt idx="400">
                  <c:v>300.53800000000001</c:v>
                </c:pt>
                <c:pt idx="401">
                  <c:v>300.815</c:v>
                </c:pt>
                <c:pt idx="402">
                  <c:v>300.93900000000002</c:v>
                </c:pt>
                <c:pt idx="403">
                  <c:v>301.04000000000002</c:v>
                </c:pt>
                <c:pt idx="404">
                  <c:v>301.3485</c:v>
                </c:pt>
                <c:pt idx="405">
                  <c:v>301.77749999999997</c:v>
                </c:pt>
                <c:pt idx="406">
                  <c:v>302.37049999999999</c:v>
                </c:pt>
                <c:pt idx="407">
                  <c:v>303.01850000000002</c:v>
                </c:pt>
                <c:pt idx="408">
                  <c:v>303.60649999999998</c:v>
                </c:pt>
                <c:pt idx="409">
                  <c:v>304.35450000000003</c:v>
                </c:pt>
                <c:pt idx="410">
                  <c:v>305.29149999999998</c:v>
                </c:pt>
                <c:pt idx="411">
                  <c:v>306.07150000000001</c:v>
                </c:pt>
                <c:pt idx="412">
                  <c:v>306.78249999999991</c:v>
                </c:pt>
                <c:pt idx="413">
                  <c:v>307.29599999999994</c:v>
                </c:pt>
                <c:pt idx="414">
                  <c:v>307.68699999999995</c:v>
                </c:pt>
                <c:pt idx="415">
                  <c:v>308.29449999999997</c:v>
                </c:pt>
                <c:pt idx="416">
                  <c:v>308.82699999999994</c:v>
                </c:pt>
                <c:pt idx="417">
                  <c:v>309.40349999999995</c:v>
                </c:pt>
                <c:pt idx="418">
                  <c:v>310.28450000000004</c:v>
                </c:pt>
                <c:pt idx="419">
                  <c:v>310.75100000000003</c:v>
                </c:pt>
                <c:pt idx="420">
                  <c:v>311.07450000000006</c:v>
                </c:pt>
                <c:pt idx="421">
                  <c:v>311.44200000000006</c:v>
                </c:pt>
                <c:pt idx="422">
                  <c:v>311.85000000000008</c:v>
                </c:pt>
                <c:pt idx="423">
                  <c:v>312.065</c:v>
                </c:pt>
                <c:pt idx="424">
                  <c:v>312.23300000000006</c:v>
                </c:pt>
                <c:pt idx="425">
                  <c:v>312.05549999999999</c:v>
                </c:pt>
                <c:pt idx="426">
                  <c:v>311.71249999999998</c:v>
                </c:pt>
                <c:pt idx="427">
                  <c:v>311.44200000000001</c:v>
                </c:pt>
                <c:pt idx="428">
                  <c:v>311.14400000000001</c:v>
                </c:pt>
                <c:pt idx="429">
                  <c:v>310.54700000000003</c:v>
                </c:pt>
                <c:pt idx="430">
                  <c:v>310.005</c:v>
                </c:pt>
                <c:pt idx="431">
                  <c:v>309.45100000000002</c:v>
                </c:pt>
                <c:pt idx="432">
                  <c:v>308.93850000000003</c:v>
                </c:pt>
                <c:pt idx="433">
                  <c:v>308.50800000000004</c:v>
                </c:pt>
                <c:pt idx="434">
                  <c:v>308.05149999999998</c:v>
                </c:pt>
                <c:pt idx="435">
                  <c:v>307.70249999999999</c:v>
                </c:pt>
                <c:pt idx="436">
                  <c:v>307.1749999999999</c:v>
                </c:pt>
                <c:pt idx="437">
                  <c:v>306.58150000000001</c:v>
                </c:pt>
                <c:pt idx="438">
                  <c:v>305.78800000000001</c:v>
                </c:pt>
                <c:pt idx="439">
                  <c:v>304.9325</c:v>
                </c:pt>
                <c:pt idx="440">
                  <c:v>304.26249999999999</c:v>
                </c:pt>
                <c:pt idx="441">
                  <c:v>303.42450000000002</c:v>
                </c:pt>
                <c:pt idx="442">
                  <c:v>302.61450000000002</c:v>
                </c:pt>
                <c:pt idx="443">
                  <c:v>302.03750000000002</c:v>
                </c:pt>
                <c:pt idx="444">
                  <c:v>301.30649999999997</c:v>
                </c:pt>
                <c:pt idx="445">
                  <c:v>300.887</c:v>
                </c:pt>
                <c:pt idx="446">
                  <c:v>300.78899999999999</c:v>
                </c:pt>
                <c:pt idx="447">
                  <c:v>300.85250000000002</c:v>
                </c:pt>
                <c:pt idx="448">
                  <c:v>300.86649999999997</c:v>
                </c:pt>
                <c:pt idx="449">
                  <c:v>301.07600000000002</c:v>
                </c:pt>
                <c:pt idx="450">
                  <c:v>301.36150000000004</c:v>
                </c:pt>
                <c:pt idx="451">
                  <c:v>301.60050000000001</c:v>
                </c:pt>
                <c:pt idx="452">
                  <c:v>301.81499999999994</c:v>
                </c:pt>
                <c:pt idx="453">
                  <c:v>302.10399999999993</c:v>
                </c:pt>
                <c:pt idx="454">
                  <c:v>302.33749999999998</c:v>
                </c:pt>
                <c:pt idx="455">
                  <c:v>302.36500000000001</c:v>
                </c:pt>
                <c:pt idx="456">
                  <c:v>302.71549999999991</c:v>
                </c:pt>
                <c:pt idx="457">
                  <c:v>302.84099999999995</c:v>
                </c:pt>
                <c:pt idx="458">
                  <c:v>302.9325</c:v>
                </c:pt>
                <c:pt idx="459">
                  <c:v>303.06</c:v>
                </c:pt>
                <c:pt idx="460">
                  <c:v>302.9325</c:v>
                </c:pt>
                <c:pt idx="461">
                  <c:v>302.94900000000001</c:v>
                </c:pt>
                <c:pt idx="462">
                  <c:v>303.09350000000006</c:v>
                </c:pt>
                <c:pt idx="463">
                  <c:v>303.65700000000004</c:v>
                </c:pt>
                <c:pt idx="464">
                  <c:v>303.88700000000006</c:v>
                </c:pt>
                <c:pt idx="465">
                  <c:v>304.01949999999999</c:v>
                </c:pt>
                <c:pt idx="466">
                  <c:v>303.96899999999994</c:v>
                </c:pt>
                <c:pt idx="467">
                  <c:v>304.08249999999998</c:v>
                </c:pt>
                <c:pt idx="468">
                  <c:v>304.16699999999997</c:v>
                </c:pt>
                <c:pt idx="469">
                  <c:v>304.27949999999998</c:v>
                </c:pt>
                <c:pt idx="470">
                  <c:v>304.22649999999993</c:v>
                </c:pt>
                <c:pt idx="471">
                  <c:v>304.08299999999997</c:v>
                </c:pt>
                <c:pt idx="472">
                  <c:v>303.93849999999992</c:v>
                </c:pt>
                <c:pt idx="473">
                  <c:v>303.56999999999994</c:v>
                </c:pt>
                <c:pt idx="474">
                  <c:v>303.4294999999999</c:v>
                </c:pt>
                <c:pt idx="475">
                  <c:v>303.60749999999996</c:v>
                </c:pt>
                <c:pt idx="476">
                  <c:v>303.35249999999996</c:v>
                </c:pt>
                <c:pt idx="477">
                  <c:v>303.55499999999995</c:v>
                </c:pt>
                <c:pt idx="478">
                  <c:v>304.05749999999995</c:v>
                </c:pt>
                <c:pt idx="479">
                  <c:v>304.52699999999999</c:v>
                </c:pt>
                <c:pt idx="480">
                  <c:v>304.78399999999999</c:v>
                </c:pt>
                <c:pt idx="481">
                  <c:v>305.00149999999996</c:v>
                </c:pt>
                <c:pt idx="482">
                  <c:v>305.42649999999998</c:v>
                </c:pt>
                <c:pt idx="483">
                  <c:v>305.57</c:v>
                </c:pt>
                <c:pt idx="484">
                  <c:v>306.21099999999996</c:v>
                </c:pt>
                <c:pt idx="485">
                  <c:v>306.71749999999997</c:v>
                </c:pt>
                <c:pt idx="486">
                  <c:v>307.30199999999996</c:v>
                </c:pt>
                <c:pt idx="487">
                  <c:v>307.48699999999997</c:v>
                </c:pt>
                <c:pt idx="488">
                  <c:v>307.62549999999999</c:v>
                </c:pt>
                <c:pt idx="489">
                  <c:v>308.08250000000004</c:v>
                </c:pt>
                <c:pt idx="490">
                  <c:v>308.66750000000002</c:v>
                </c:pt>
                <c:pt idx="491">
                  <c:v>309.14750000000004</c:v>
                </c:pt>
                <c:pt idx="492">
                  <c:v>309.85250000000002</c:v>
                </c:pt>
                <c:pt idx="493">
                  <c:v>310.69799999999998</c:v>
                </c:pt>
                <c:pt idx="494">
                  <c:v>311.28200000000004</c:v>
                </c:pt>
                <c:pt idx="495">
                  <c:v>311.62549999999999</c:v>
                </c:pt>
                <c:pt idx="496">
                  <c:v>311.92250000000001</c:v>
                </c:pt>
                <c:pt idx="497">
                  <c:v>312.06650000000002</c:v>
                </c:pt>
                <c:pt idx="498">
                  <c:v>311.98050000000001</c:v>
                </c:pt>
                <c:pt idx="499">
                  <c:v>311.81600000000003</c:v>
                </c:pt>
                <c:pt idx="500">
                  <c:v>312.03899999999999</c:v>
                </c:pt>
                <c:pt idx="501">
                  <c:v>312.28449999999998</c:v>
                </c:pt>
                <c:pt idx="502">
                  <c:v>312.06200000000001</c:v>
                </c:pt>
                <c:pt idx="503">
                  <c:v>311.62800000000004</c:v>
                </c:pt>
                <c:pt idx="504">
                  <c:v>311.20500000000004</c:v>
                </c:pt>
                <c:pt idx="505">
                  <c:v>310.92349999999999</c:v>
                </c:pt>
                <c:pt idx="506">
                  <c:v>310.82800000000003</c:v>
                </c:pt>
                <c:pt idx="507">
                  <c:v>310.66749999999996</c:v>
                </c:pt>
                <c:pt idx="508">
                  <c:v>310.51949999999994</c:v>
                </c:pt>
                <c:pt idx="509">
                  <c:v>310.15549999999996</c:v>
                </c:pt>
                <c:pt idx="510">
                  <c:v>309.62549999999999</c:v>
                </c:pt>
                <c:pt idx="511">
                  <c:v>309.33149999999995</c:v>
                </c:pt>
                <c:pt idx="512">
                  <c:v>308.76850000000002</c:v>
                </c:pt>
                <c:pt idx="513">
                  <c:v>307.928</c:v>
                </c:pt>
                <c:pt idx="514">
                  <c:v>307.4205</c:v>
                </c:pt>
                <c:pt idx="515">
                  <c:v>306.911</c:v>
                </c:pt>
                <c:pt idx="516">
                  <c:v>306.83149999999995</c:v>
                </c:pt>
                <c:pt idx="517">
                  <c:v>306.8125</c:v>
                </c:pt>
                <c:pt idx="518">
                  <c:v>306.98500000000001</c:v>
                </c:pt>
                <c:pt idx="519">
                  <c:v>307.19849999999997</c:v>
                </c:pt>
                <c:pt idx="520">
                  <c:v>307.57249999999999</c:v>
                </c:pt>
                <c:pt idx="521">
                  <c:v>308.04100000000005</c:v>
                </c:pt>
                <c:pt idx="522">
                  <c:v>308.80450000000002</c:v>
                </c:pt>
                <c:pt idx="523">
                  <c:v>309.78550000000007</c:v>
                </c:pt>
                <c:pt idx="524">
                  <c:v>310.83150000000001</c:v>
                </c:pt>
                <c:pt idx="525">
                  <c:v>311.79750000000001</c:v>
                </c:pt>
                <c:pt idx="526">
                  <c:v>312.7115</c:v>
                </c:pt>
                <c:pt idx="527">
                  <c:v>313.62549999999999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EE-4886-B272-2E37A7704FE4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Data!$L$2:$L$529</c:f>
              <c:numCache>
                <c:formatCode>General</c:formatCode>
                <c:ptCount val="528"/>
                <c:pt idx="19">
                  <c:v>301.31359387358816</c:v>
                </c:pt>
                <c:pt idx="20">
                  <c:v>301.02660999654961</c:v>
                </c:pt>
                <c:pt idx="21">
                  <c:v>301.42556493785116</c:v>
                </c:pt>
                <c:pt idx="22">
                  <c:v>301.66519155221039</c:v>
                </c:pt>
                <c:pt idx="23">
                  <c:v>302.13663903808725</c:v>
                </c:pt>
                <c:pt idx="24">
                  <c:v>302.91090613934455</c:v>
                </c:pt>
                <c:pt idx="25">
                  <c:v>303.14955109068075</c:v>
                </c:pt>
                <c:pt idx="26">
                  <c:v>303.08789856190089</c:v>
                </c:pt>
                <c:pt idx="27">
                  <c:v>303.06194852947669</c:v>
                </c:pt>
                <c:pt idx="28">
                  <c:v>303.04812979144873</c:v>
                </c:pt>
                <c:pt idx="29">
                  <c:v>303.21394476840265</c:v>
                </c:pt>
                <c:pt idx="30">
                  <c:v>303.28433312187849</c:v>
                </c:pt>
                <c:pt idx="31">
                  <c:v>303.15594525763055</c:v>
                </c:pt>
                <c:pt idx="32">
                  <c:v>302.09314020060464</c:v>
                </c:pt>
                <c:pt idx="33">
                  <c:v>301.4001344879245</c:v>
                </c:pt>
                <c:pt idx="34">
                  <c:v>300.37633470769896</c:v>
                </c:pt>
                <c:pt idx="35">
                  <c:v>299.40098099908727</c:v>
                </c:pt>
                <c:pt idx="36">
                  <c:v>299.51250950763421</c:v>
                </c:pt>
                <c:pt idx="37">
                  <c:v>300.11750403560575</c:v>
                </c:pt>
                <c:pt idx="38">
                  <c:v>300.22729535216644</c:v>
                </c:pt>
                <c:pt idx="39">
                  <c:v>300.2936583953533</c:v>
                </c:pt>
                <c:pt idx="40">
                  <c:v>300.26706436153114</c:v>
                </c:pt>
                <c:pt idx="41">
                  <c:v>299.41123080555565</c:v>
                </c:pt>
                <c:pt idx="42">
                  <c:v>298.68784236389354</c:v>
                </c:pt>
                <c:pt idx="43">
                  <c:v>298.56134483034361</c:v>
                </c:pt>
                <c:pt idx="44">
                  <c:v>298.11489399111321</c:v>
                </c:pt>
                <c:pt idx="45">
                  <c:v>297.88518403064046</c:v>
                </c:pt>
                <c:pt idx="46">
                  <c:v>297.91342857503912</c:v>
                </c:pt>
                <c:pt idx="47">
                  <c:v>298.10700341282035</c:v>
                </c:pt>
                <c:pt idx="48">
                  <c:v>298.18159608305319</c:v>
                </c:pt>
                <c:pt idx="49">
                  <c:v>299.15280903923065</c:v>
                </c:pt>
                <c:pt idx="50">
                  <c:v>300.25554066347337</c:v>
                </c:pt>
                <c:pt idx="51">
                  <c:v>301.58680607039611</c:v>
                </c:pt>
                <c:pt idx="52">
                  <c:v>302.52496575550822</c:v>
                </c:pt>
                <c:pt idx="53">
                  <c:v>302.56804996835922</c:v>
                </c:pt>
                <c:pt idx="54">
                  <c:v>302.28180019633118</c:v>
                </c:pt>
                <c:pt idx="55">
                  <c:v>301.67175523376983</c:v>
                </c:pt>
                <c:pt idx="56">
                  <c:v>300.62332033598261</c:v>
                </c:pt>
                <c:pt idx="57">
                  <c:v>299.81893236677769</c:v>
                </c:pt>
                <c:pt idx="58">
                  <c:v>299.37809512802352</c:v>
                </c:pt>
                <c:pt idx="59">
                  <c:v>298.28267873109974</c:v>
                </c:pt>
                <c:pt idx="60">
                  <c:v>297.58041176305488</c:v>
                </c:pt>
                <c:pt idx="61">
                  <c:v>297.07540056453666</c:v>
                </c:pt>
                <c:pt idx="62">
                  <c:v>296.56831380728926</c:v>
                </c:pt>
                <c:pt idx="63">
                  <c:v>295.77707995434105</c:v>
                </c:pt>
                <c:pt idx="64">
                  <c:v>295.31115987542432</c:v>
                </c:pt>
                <c:pt idx="65">
                  <c:v>295.31523605443687</c:v>
                </c:pt>
                <c:pt idx="66">
                  <c:v>294.35420002359098</c:v>
                </c:pt>
                <c:pt idx="67">
                  <c:v>292.08103058933079</c:v>
                </c:pt>
                <c:pt idx="68">
                  <c:v>289.41185450171844</c:v>
                </c:pt>
                <c:pt idx="69">
                  <c:v>289.08879190838945</c:v>
                </c:pt>
                <c:pt idx="70">
                  <c:v>288.86290342185964</c:v>
                </c:pt>
                <c:pt idx="71">
                  <c:v>288.88967747403109</c:v>
                </c:pt>
                <c:pt idx="72">
                  <c:v>288.8893725748033</c:v>
                </c:pt>
                <c:pt idx="73">
                  <c:v>287.88500273536903</c:v>
                </c:pt>
                <c:pt idx="74">
                  <c:v>286.39953799788015</c:v>
                </c:pt>
                <c:pt idx="75">
                  <c:v>284.94779382440925</c:v>
                </c:pt>
                <c:pt idx="76">
                  <c:v>283.78887058222847</c:v>
                </c:pt>
                <c:pt idx="77">
                  <c:v>283.53171097601557</c:v>
                </c:pt>
                <c:pt idx="78">
                  <c:v>283.25141714546118</c:v>
                </c:pt>
                <c:pt idx="79">
                  <c:v>282.08294227384738</c:v>
                </c:pt>
                <c:pt idx="80">
                  <c:v>280.52894606247639</c:v>
                </c:pt>
                <c:pt idx="81">
                  <c:v>279.30014438293995</c:v>
                </c:pt>
                <c:pt idx="82">
                  <c:v>278.53203865149322</c:v>
                </c:pt>
                <c:pt idx="83">
                  <c:v>278.35328366451876</c:v>
                </c:pt>
                <c:pt idx="84">
                  <c:v>278.55958585917318</c:v>
                </c:pt>
                <c:pt idx="85">
                  <c:v>278.43719796353616</c:v>
                </c:pt>
                <c:pt idx="86">
                  <c:v>278.36255006871926</c:v>
                </c:pt>
                <c:pt idx="87">
                  <c:v>278.44291969398591</c:v>
                </c:pt>
                <c:pt idx="88">
                  <c:v>278.44927113089102</c:v>
                </c:pt>
                <c:pt idx="89">
                  <c:v>278.47806734216215</c:v>
                </c:pt>
                <c:pt idx="90">
                  <c:v>278.77179264503945</c:v>
                </c:pt>
                <c:pt idx="91">
                  <c:v>278.53165166772953</c:v>
                </c:pt>
                <c:pt idx="92">
                  <c:v>278.05686161028621</c:v>
                </c:pt>
                <c:pt idx="93">
                  <c:v>278.18514405706685</c:v>
                </c:pt>
                <c:pt idx="94">
                  <c:v>278.28382990643513</c:v>
                </c:pt>
                <c:pt idx="95">
                  <c:v>278.29710533641332</c:v>
                </c:pt>
                <c:pt idx="96">
                  <c:v>278.11050807268003</c:v>
                </c:pt>
                <c:pt idx="97">
                  <c:v>277.78821099297625</c:v>
                </c:pt>
                <c:pt idx="98">
                  <c:v>277.29748752589711</c:v>
                </c:pt>
                <c:pt idx="99">
                  <c:v>278.45272063097246</c:v>
                </c:pt>
                <c:pt idx="100">
                  <c:v>279.21245668256819</c:v>
                </c:pt>
                <c:pt idx="101">
                  <c:v>280.34790697095184</c:v>
                </c:pt>
                <c:pt idx="102">
                  <c:v>281.71389778536553</c:v>
                </c:pt>
                <c:pt idx="103">
                  <c:v>281.70297208587999</c:v>
                </c:pt>
                <c:pt idx="104">
                  <c:v>280.93663228139019</c:v>
                </c:pt>
                <c:pt idx="105">
                  <c:v>280.4350054089544</c:v>
                </c:pt>
                <c:pt idx="106">
                  <c:v>279.99669583288471</c:v>
                </c:pt>
                <c:pt idx="107">
                  <c:v>279.69260743978731</c:v>
                </c:pt>
                <c:pt idx="108">
                  <c:v>279.24612468319708</c:v>
                </c:pt>
                <c:pt idx="109">
                  <c:v>278.89686702673288</c:v>
                </c:pt>
                <c:pt idx="110">
                  <c:v>277.35664152982099</c:v>
                </c:pt>
                <c:pt idx="111">
                  <c:v>276.26386335793086</c:v>
                </c:pt>
                <c:pt idx="112">
                  <c:v>275.08243337518167</c:v>
                </c:pt>
                <c:pt idx="113">
                  <c:v>272.93848097557708</c:v>
                </c:pt>
                <c:pt idx="114">
                  <c:v>270.45046801284229</c:v>
                </c:pt>
                <c:pt idx="115">
                  <c:v>267.75353928554557</c:v>
                </c:pt>
                <c:pt idx="116">
                  <c:v>266.1070779727753</c:v>
                </c:pt>
                <c:pt idx="117">
                  <c:v>264.53442198690533</c:v>
                </c:pt>
                <c:pt idx="118">
                  <c:v>263.08341176817174</c:v>
                </c:pt>
                <c:pt idx="119">
                  <c:v>263.43432120529349</c:v>
                </c:pt>
                <c:pt idx="120">
                  <c:v>263.36056492289987</c:v>
                </c:pt>
                <c:pt idx="121">
                  <c:v>263.53366029310348</c:v>
                </c:pt>
                <c:pt idx="122">
                  <c:v>263.29621412085226</c:v>
                </c:pt>
                <c:pt idx="123">
                  <c:v>263.1523954029264</c:v>
                </c:pt>
                <c:pt idx="124">
                  <c:v>263.27799393520615</c:v>
                </c:pt>
                <c:pt idx="125">
                  <c:v>263.42890770600019</c:v>
                </c:pt>
                <c:pt idx="126">
                  <c:v>262.4362110351226</c:v>
                </c:pt>
                <c:pt idx="127">
                  <c:v>261.80398610370378</c:v>
                </c:pt>
                <c:pt idx="128">
                  <c:v>261.15306754670672</c:v>
                </c:pt>
                <c:pt idx="129">
                  <c:v>261.40227946100504</c:v>
                </c:pt>
                <c:pt idx="130">
                  <c:v>261.33994504989204</c:v>
                </c:pt>
                <c:pt idx="131">
                  <c:v>261.38311600114486</c:v>
                </c:pt>
                <c:pt idx="132">
                  <c:v>261.34022629309328</c:v>
                </c:pt>
                <c:pt idx="133">
                  <c:v>261.2647556461867</c:v>
                </c:pt>
                <c:pt idx="134">
                  <c:v>261.65583134015969</c:v>
                </c:pt>
                <c:pt idx="135">
                  <c:v>262.71035126561179</c:v>
                </c:pt>
                <c:pt idx="136">
                  <c:v>263.39473808692662</c:v>
                </c:pt>
                <c:pt idx="137">
                  <c:v>263.6719671923999</c:v>
                </c:pt>
                <c:pt idx="138">
                  <c:v>263.69681772976668</c:v>
                </c:pt>
                <c:pt idx="139">
                  <c:v>262.93620483287111</c:v>
                </c:pt>
                <c:pt idx="140">
                  <c:v>262.59579318755738</c:v>
                </c:pt>
                <c:pt idx="141">
                  <c:v>262.12371677456633</c:v>
                </c:pt>
                <c:pt idx="142">
                  <c:v>261.54765637118663</c:v>
                </c:pt>
                <c:pt idx="143">
                  <c:v>262.63460431673889</c:v>
                </c:pt>
                <c:pt idx="144">
                  <c:v>264.96284075758928</c:v>
                </c:pt>
                <c:pt idx="145">
                  <c:v>266.4613295191761</c:v>
                </c:pt>
                <c:pt idx="146">
                  <c:v>268.62809224094025</c:v>
                </c:pt>
                <c:pt idx="147">
                  <c:v>272.66937559973678</c:v>
                </c:pt>
                <c:pt idx="148">
                  <c:v>273.75788320657489</c:v>
                </c:pt>
                <c:pt idx="149">
                  <c:v>274.58990485609661</c:v>
                </c:pt>
                <c:pt idx="150">
                  <c:v>275.4770484527042</c:v>
                </c:pt>
                <c:pt idx="151">
                  <c:v>276.74715108196136</c:v>
                </c:pt>
                <c:pt idx="152">
                  <c:v>277.27724832085795</c:v>
                </c:pt>
                <c:pt idx="153">
                  <c:v>277.64390896599434</c:v>
                </c:pt>
                <c:pt idx="154">
                  <c:v>278.37693895829199</c:v>
                </c:pt>
                <c:pt idx="155">
                  <c:v>279.19210718720802</c:v>
                </c:pt>
                <c:pt idx="156">
                  <c:v>280.51383047915698</c:v>
                </c:pt>
                <c:pt idx="157">
                  <c:v>282.24761916491968</c:v>
                </c:pt>
                <c:pt idx="158">
                  <c:v>285.96320027799197</c:v>
                </c:pt>
                <c:pt idx="159">
                  <c:v>288.11801802409474</c:v>
                </c:pt>
                <c:pt idx="160">
                  <c:v>290.57765039971747</c:v>
                </c:pt>
                <c:pt idx="161">
                  <c:v>291.8838370378794</c:v>
                </c:pt>
                <c:pt idx="162">
                  <c:v>292.53424365573585</c:v>
                </c:pt>
                <c:pt idx="163">
                  <c:v>293.82983603163717</c:v>
                </c:pt>
                <c:pt idx="164">
                  <c:v>295.39962665081543</c:v>
                </c:pt>
                <c:pt idx="165">
                  <c:v>296.12536599447139</c:v>
                </c:pt>
                <c:pt idx="166">
                  <c:v>297.00057463565474</c:v>
                </c:pt>
                <c:pt idx="167">
                  <c:v>298.04992556754638</c:v>
                </c:pt>
                <c:pt idx="168">
                  <c:v>298.26827443481051</c:v>
                </c:pt>
                <c:pt idx="169">
                  <c:v>298.73423567415136</c:v>
                </c:pt>
                <c:pt idx="170">
                  <c:v>298.90126962306135</c:v>
                </c:pt>
                <c:pt idx="171">
                  <c:v>299.21452622626958</c:v>
                </c:pt>
                <c:pt idx="172">
                  <c:v>298.98220139078285</c:v>
                </c:pt>
                <c:pt idx="173">
                  <c:v>298.50122766372726</c:v>
                </c:pt>
                <c:pt idx="174">
                  <c:v>297.44081870843183</c:v>
                </c:pt>
                <c:pt idx="175">
                  <c:v>296.00332917249517</c:v>
                </c:pt>
                <c:pt idx="176">
                  <c:v>295.5909447888215</c:v>
                </c:pt>
                <c:pt idx="177">
                  <c:v>295.53931304867575</c:v>
                </c:pt>
                <c:pt idx="178">
                  <c:v>296.03462775868798</c:v>
                </c:pt>
                <c:pt idx="179">
                  <c:v>296.06284388542963</c:v>
                </c:pt>
                <c:pt idx="180">
                  <c:v>296.47717911588796</c:v>
                </c:pt>
                <c:pt idx="181">
                  <c:v>297.45647715948354</c:v>
                </c:pt>
                <c:pt idx="182">
                  <c:v>298.84210917710902</c:v>
                </c:pt>
                <c:pt idx="183">
                  <c:v>300.29604237172259</c:v>
                </c:pt>
                <c:pt idx="184">
                  <c:v>301.58403250598536</c:v>
                </c:pt>
                <c:pt idx="185">
                  <c:v>303.31705006969349</c:v>
                </c:pt>
                <c:pt idx="186">
                  <c:v>304.78018272989402</c:v>
                </c:pt>
                <c:pt idx="187">
                  <c:v>306.2106456877363</c:v>
                </c:pt>
                <c:pt idx="188">
                  <c:v>306.73404396974917</c:v>
                </c:pt>
                <c:pt idx="189">
                  <c:v>307.4460631086331</c:v>
                </c:pt>
                <c:pt idx="190">
                  <c:v>307.85201838809036</c:v>
                </c:pt>
                <c:pt idx="191">
                  <c:v>308.26733007471449</c:v>
                </c:pt>
                <c:pt idx="192">
                  <c:v>308.30573001995111</c:v>
                </c:pt>
                <c:pt idx="193">
                  <c:v>308.326512670976</c:v>
                </c:pt>
                <c:pt idx="194">
                  <c:v>308.25528843937548</c:v>
                </c:pt>
                <c:pt idx="195">
                  <c:v>308.30221385278361</c:v>
                </c:pt>
                <c:pt idx="196">
                  <c:v>308.78950887411378</c:v>
                </c:pt>
                <c:pt idx="197">
                  <c:v>310.17442894049987</c:v>
                </c:pt>
                <c:pt idx="198">
                  <c:v>311.90798827630232</c:v>
                </c:pt>
                <c:pt idx="199">
                  <c:v>312.76425029180035</c:v>
                </c:pt>
                <c:pt idx="200">
                  <c:v>313.97024014253788</c:v>
                </c:pt>
                <c:pt idx="201">
                  <c:v>315.69442284138449</c:v>
                </c:pt>
                <c:pt idx="202">
                  <c:v>316.85223362046793</c:v>
                </c:pt>
                <c:pt idx="203">
                  <c:v>317.82639681830597</c:v>
                </c:pt>
                <c:pt idx="204">
                  <c:v>317.99920594885788</c:v>
                </c:pt>
                <c:pt idx="205">
                  <c:v>318.05795577738428</c:v>
                </c:pt>
                <c:pt idx="206">
                  <c:v>319.1056671412166</c:v>
                </c:pt>
                <c:pt idx="207">
                  <c:v>319.37601477802087</c:v>
                </c:pt>
                <c:pt idx="208">
                  <c:v>319.77264616760857</c:v>
                </c:pt>
                <c:pt idx="209">
                  <c:v>320.44158787531768</c:v>
                </c:pt>
                <c:pt idx="210">
                  <c:v>320.86981744872469</c:v>
                </c:pt>
                <c:pt idx="211">
                  <c:v>320.92506780464748</c:v>
                </c:pt>
                <c:pt idx="212">
                  <c:v>321.17645785353375</c:v>
                </c:pt>
                <c:pt idx="213">
                  <c:v>321.1456822770935</c:v>
                </c:pt>
                <c:pt idx="214">
                  <c:v>321.11004234993948</c:v>
                </c:pt>
                <c:pt idx="215">
                  <c:v>320.9696633344272</c:v>
                </c:pt>
                <c:pt idx="216">
                  <c:v>320.66979033540031</c:v>
                </c:pt>
                <c:pt idx="217">
                  <c:v>319.87885972491517</c:v>
                </c:pt>
                <c:pt idx="218">
                  <c:v>318.30595646181848</c:v>
                </c:pt>
                <c:pt idx="219">
                  <c:v>316.61311517369518</c:v>
                </c:pt>
                <c:pt idx="220">
                  <c:v>314.29645418195855</c:v>
                </c:pt>
                <c:pt idx="221">
                  <c:v>310.93985541559243</c:v>
                </c:pt>
                <c:pt idx="222">
                  <c:v>307.36107528438851</c:v>
                </c:pt>
                <c:pt idx="223">
                  <c:v>302.37202096339308</c:v>
                </c:pt>
                <c:pt idx="224">
                  <c:v>302.14306834335014</c:v>
                </c:pt>
                <c:pt idx="225">
                  <c:v>301.42814893535154</c:v>
                </c:pt>
                <c:pt idx="226">
                  <c:v>301.52545613928788</c:v>
                </c:pt>
                <c:pt idx="227">
                  <c:v>301.45844490780178</c:v>
                </c:pt>
                <c:pt idx="228">
                  <c:v>301.57357387272236</c:v>
                </c:pt>
                <c:pt idx="229">
                  <c:v>301.61766549947367</c:v>
                </c:pt>
                <c:pt idx="230">
                  <c:v>301.73163413665168</c:v>
                </c:pt>
                <c:pt idx="231">
                  <c:v>301.67284512400602</c:v>
                </c:pt>
                <c:pt idx="232">
                  <c:v>301.701849736979</c:v>
                </c:pt>
                <c:pt idx="233">
                  <c:v>301.48947588792936</c:v>
                </c:pt>
                <c:pt idx="234">
                  <c:v>302.08070146623481</c:v>
                </c:pt>
                <c:pt idx="235">
                  <c:v>302.51823288362493</c:v>
                </c:pt>
                <c:pt idx="236">
                  <c:v>302.97054521975286</c:v>
                </c:pt>
                <c:pt idx="237">
                  <c:v>302.79686680964966</c:v>
                </c:pt>
                <c:pt idx="238">
                  <c:v>302.51164646629604</c:v>
                </c:pt>
                <c:pt idx="239">
                  <c:v>302.4367510866183</c:v>
                </c:pt>
                <c:pt idx="240">
                  <c:v>302.19432655575787</c:v>
                </c:pt>
                <c:pt idx="241">
                  <c:v>302.45751304857544</c:v>
                </c:pt>
                <c:pt idx="242">
                  <c:v>302.44491464044626</c:v>
                </c:pt>
                <c:pt idx="243">
                  <c:v>302.43113831910574</c:v>
                </c:pt>
                <c:pt idx="244">
                  <c:v>302.49758634815464</c:v>
                </c:pt>
                <c:pt idx="245">
                  <c:v>302.04933000491116</c:v>
                </c:pt>
                <c:pt idx="246">
                  <c:v>301.93413148335247</c:v>
                </c:pt>
                <c:pt idx="247">
                  <c:v>301.86671994197269</c:v>
                </c:pt>
                <c:pt idx="248">
                  <c:v>301.79049014917882</c:v>
                </c:pt>
                <c:pt idx="249">
                  <c:v>301.77349760471878</c:v>
                </c:pt>
                <c:pt idx="250">
                  <c:v>301.96516682942712</c:v>
                </c:pt>
                <c:pt idx="251">
                  <c:v>302.13849723550317</c:v>
                </c:pt>
                <c:pt idx="252">
                  <c:v>302.12408629429365</c:v>
                </c:pt>
                <c:pt idx="253">
                  <c:v>302.1083035228188</c:v>
                </c:pt>
                <c:pt idx="254">
                  <c:v>301.50332683904907</c:v>
                </c:pt>
                <c:pt idx="255">
                  <c:v>301.05921198447294</c:v>
                </c:pt>
                <c:pt idx="256">
                  <c:v>300.13857166065645</c:v>
                </c:pt>
                <c:pt idx="257">
                  <c:v>299.95030674154532</c:v>
                </c:pt>
                <c:pt idx="258">
                  <c:v>300.06629743837334</c:v>
                </c:pt>
                <c:pt idx="259">
                  <c:v>300.1516203546704</c:v>
                </c:pt>
                <c:pt idx="260">
                  <c:v>299.83154846763478</c:v>
                </c:pt>
                <c:pt idx="261">
                  <c:v>299.37621733904552</c:v>
                </c:pt>
                <c:pt idx="262">
                  <c:v>298.78567762514785</c:v>
                </c:pt>
                <c:pt idx="263">
                  <c:v>298.66176061528029</c:v>
                </c:pt>
                <c:pt idx="264">
                  <c:v>298.61140057216494</c:v>
                </c:pt>
                <c:pt idx="265">
                  <c:v>298.04372877644749</c:v>
                </c:pt>
                <c:pt idx="266">
                  <c:v>297.62115380775663</c:v>
                </c:pt>
                <c:pt idx="267">
                  <c:v>297.45911037942619</c:v>
                </c:pt>
                <c:pt idx="268">
                  <c:v>296.82268729412249</c:v>
                </c:pt>
                <c:pt idx="269">
                  <c:v>296.26241112225114</c:v>
                </c:pt>
                <c:pt idx="270">
                  <c:v>296.34971139954382</c:v>
                </c:pt>
                <c:pt idx="271">
                  <c:v>296.22242594806494</c:v>
                </c:pt>
                <c:pt idx="272">
                  <c:v>295.84276225444268</c:v>
                </c:pt>
                <c:pt idx="273">
                  <c:v>294.90262453114019</c:v>
                </c:pt>
                <c:pt idx="274">
                  <c:v>294.37596503455603</c:v>
                </c:pt>
                <c:pt idx="275">
                  <c:v>295.31521560540386</c:v>
                </c:pt>
                <c:pt idx="276">
                  <c:v>296.3628438755398</c:v>
                </c:pt>
                <c:pt idx="277">
                  <c:v>301.46946461137748</c:v>
                </c:pt>
                <c:pt idx="278">
                  <c:v>305.86768196451237</c:v>
                </c:pt>
                <c:pt idx="279">
                  <c:v>308.61822972360733</c:v>
                </c:pt>
                <c:pt idx="280">
                  <c:v>311.49759277160717</c:v>
                </c:pt>
                <c:pt idx="281">
                  <c:v>313.3555411116227</c:v>
                </c:pt>
                <c:pt idx="282">
                  <c:v>314.23771889198616</c:v>
                </c:pt>
                <c:pt idx="283">
                  <c:v>314.58679004475243</c:v>
                </c:pt>
                <c:pt idx="284">
                  <c:v>314.67519200449715</c:v>
                </c:pt>
                <c:pt idx="285">
                  <c:v>315.04815001321532</c:v>
                </c:pt>
                <c:pt idx="286">
                  <c:v>315.6569687294766</c:v>
                </c:pt>
                <c:pt idx="287">
                  <c:v>317.10003440845458</c:v>
                </c:pt>
                <c:pt idx="288">
                  <c:v>317.37199047574796</c:v>
                </c:pt>
                <c:pt idx="289">
                  <c:v>318.14386857428968</c:v>
                </c:pt>
                <c:pt idx="290">
                  <c:v>318.45876666063384</c:v>
                </c:pt>
                <c:pt idx="291">
                  <c:v>317.92245641712697</c:v>
                </c:pt>
                <c:pt idx="292">
                  <c:v>317.40678311306647</c:v>
                </c:pt>
                <c:pt idx="293">
                  <c:v>316.6154947688143</c:v>
                </c:pt>
                <c:pt idx="294">
                  <c:v>315.26152123193833</c:v>
                </c:pt>
                <c:pt idx="295">
                  <c:v>317.36657935228533</c:v>
                </c:pt>
                <c:pt idx="296">
                  <c:v>317.52336391236696</c:v>
                </c:pt>
                <c:pt idx="297">
                  <c:v>317.46706183854241</c:v>
                </c:pt>
                <c:pt idx="298">
                  <c:v>317.68012898058691</c:v>
                </c:pt>
                <c:pt idx="299">
                  <c:v>318.17220147256296</c:v>
                </c:pt>
                <c:pt idx="300">
                  <c:v>318.05217055194055</c:v>
                </c:pt>
                <c:pt idx="301">
                  <c:v>317.85047875176605</c:v>
                </c:pt>
                <c:pt idx="302">
                  <c:v>317.83940884840285</c:v>
                </c:pt>
                <c:pt idx="303">
                  <c:v>317.89414681159707</c:v>
                </c:pt>
                <c:pt idx="304">
                  <c:v>317.96300119671054</c:v>
                </c:pt>
                <c:pt idx="305">
                  <c:v>317.97367162913787</c:v>
                </c:pt>
                <c:pt idx="306">
                  <c:v>317.88647794961116</c:v>
                </c:pt>
                <c:pt idx="307">
                  <c:v>317.54214474189689</c:v>
                </c:pt>
                <c:pt idx="308">
                  <c:v>318.37635028375576</c:v>
                </c:pt>
                <c:pt idx="309">
                  <c:v>318.7248863352566</c:v>
                </c:pt>
                <c:pt idx="310">
                  <c:v>318.65065792794559</c:v>
                </c:pt>
                <c:pt idx="311">
                  <c:v>319.19981751003451</c:v>
                </c:pt>
                <c:pt idx="312">
                  <c:v>319.86781620215424</c:v>
                </c:pt>
                <c:pt idx="313">
                  <c:v>320.18134242830183</c:v>
                </c:pt>
                <c:pt idx="314">
                  <c:v>321.3758889886231</c:v>
                </c:pt>
                <c:pt idx="315">
                  <c:v>319.34529175437712</c:v>
                </c:pt>
                <c:pt idx="316">
                  <c:v>317.99791936528834</c:v>
                </c:pt>
                <c:pt idx="317">
                  <c:v>318.04720539035031</c:v>
                </c:pt>
                <c:pt idx="318">
                  <c:v>317.88596419293924</c:v>
                </c:pt>
                <c:pt idx="319">
                  <c:v>317.53467072037847</c:v>
                </c:pt>
                <c:pt idx="320">
                  <c:v>317.55763911958991</c:v>
                </c:pt>
                <c:pt idx="321">
                  <c:v>318.71693335552402</c:v>
                </c:pt>
                <c:pt idx="322">
                  <c:v>319.11749490788048</c:v>
                </c:pt>
                <c:pt idx="323">
                  <c:v>319.20252216558146</c:v>
                </c:pt>
                <c:pt idx="324">
                  <c:v>319.45376635157447</c:v>
                </c:pt>
                <c:pt idx="325">
                  <c:v>319.49778312869046</c:v>
                </c:pt>
                <c:pt idx="326">
                  <c:v>320.95673264372789</c:v>
                </c:pt>
                <c:pt idx="327">
                  <c:v>322.11143438998243</c:v>
                </c:pt>
                <c:pt idx="328">
                  <c:v>322.45644361885047</c:v>
                </c:pt>
                <c:pt idx="329">
                  <c:v>322.95436058954164</c:v>
                </c:pt>
                <c:pt idx="330">
                  <c:v>323.62534694916405</c:v>
                </c:pt>
                <c:pt idx="331">
                  <c:v>323.81425849693142</c:v>
                </c:pt>
                <c:pt idx="332">
                  <c:v>324.63751358568931</c:v>
                </c:pt>
                <c:pt idx="333">
                  <c:v>324.77621016428213</c:v>
                </c:pt>
                <c:pt idx="334">
                  <c:v>324.08332411809477</c:v>
                </c:pt>
                <c:pt idx="335">
                  <c:v>323.86753065498442</c:v>
                </c:pt>
                <c:pt idx="336">
                  <c:v>323.39884917909211</c:v>
                </c:pt>
                <c:pt idx="337">
                  <c:v>322.56983603610769</c:v>
                </c:pt>
                <c:pt idx="338">
                  <c:v>321.73169593945818</c:v>
                </c:pt>
                <c:pt idx="339">
                  <c:v>321.20296352573484</c:v>
                </c:pt>
                <c:pt idx="340">
                  <c:v>321.05605844970859</c:v>
                </c:pt>
                <c:pt idx="341">
                  <c:v>321.1964418301838</c:v>
                </c:pt>
                <c:pt idx="342">
                  <c:v>321.56904128778325</c:v>
                </c:pt>
                <c:pt idx="343">
                  <c:v>321.45638107255473</c:v>
                </c:pt>
                <c:pt idx="344">
                  <c:v>321.90769272651067</c:v>
                </c:pt>
                <c:pt idx="345">
                  <c:v>322.50438076877384</c:v>
                </c:pt>
                <c:pt idx="346">
                  <c:v>322.62599393833165</c:v>
                </c:pt>
                <c:pt idx="347">
                  <c:v>322.39750437978387</c:v>
                </c:pt>
                <c:pt idx="348">
                  <c:v>322.30128199868375</c:v>
                </c:pt>
                <c:pt idx="349">
                  <c:v>322.16021493384648</c:v>
                </c:pt>
                <c:pt idx="350">
                  <c:v>322.02102821310945</c:v>
                </c:pt>
                <c:pt idx="351">
                  <c:v>322.00204846963896</c:v>
                </c:pt>
                <c:pt idx="352">
                  <c:v>321.36993203243628</c:v>
                </c:pt>
                <c:pt idx="353">
                  <c:v>321.37531866237947</c:v>
                </c:pt>
                <c:pt idx="354">
                  <c:v>321.36147794989654</c:v>
                </c:pt>
                <c:pt idx="355">
                  <c:v>321.24016432094896</c:v>
                </c:pt>
                <c:pt idx="356">
                  <c:v>320.99523620661267</c:v>
                </c:pt>
                <c:pt idx="357">
                  <c:v>320.63989206957956</c:v>
                </c:pt>
                <c:pt idx="358">
                  <c:v>320.88949605824155</c:v>
                </c:pt>
                <c:pt idx="359">
                  <c:v>321.36951873542267</c:v>
                </c:pt>
                <c:pt idx="360">
                  <c:v>322.48476713938277</c:v>
                </c:pt>
                <c:pt idx="361">
                  <c:v>323.10324404596423</c:v>
                </c:pt>
                <c:pt idx="362">
                  <c:v>323.41583374013572</c:v>
                </c:pt>
                <c:pt idx="363">
                  <c:v>323.51442081517831</c:v>
                </c:pt>
                <c:pt idx="364">
                  <c:v>323.54934245197666</c:v>
                </c:pt>
                <c:pt idx="365">
                  <c:v>323.21409315370539</c:v>
                </c:pt>
                <c:pt idx="366">
                  <c:v>323.0130360666405</c:v>
                </c:pt>
                <c:pt idx="367">
                  <c:v>323.17949917270494</c:v>
                </c:pt>
                <c:pt idx="368">
                  <c:v>322.84499518000666</c:v>
                </c:pt>
                <c:pt idx="369">
                  <c:v>321.90391796726851</c:v>
                </c:pt>
                <c:pt idx="370">
                  <c:v>321.17375776725083</c:v>
                </c:pt>
                <c:pt idx="371">
                  <c:v>320.35896771472585</c:v>
                </c:pt>
                <c:pt idx="372">
                  <c:v>318.95673583723681</c:v>
                </c:pt>
                <c:pt idx="373">
                  <c:v>316.88076356205386</c:v>
                </c:pt>
                <c:pt idx="374">
                  <c:v>314.84738553301861</c:v>
                </c:pt>
                <c:pt idx="375">
                  <c:v>312.51747535582643</c:v>
                </c:pt>
                <c:pt idx="376">
                  <c:v>310.03064044499808</c:v>
                </c:pt>
                <c:pt idx="377">
                  <c:v>307.85459819583991</c:v>
                </c:pt>
                <c:pt idx="378">
                  <c:v>305.74608777771232</c:v>
                </c:pt>
                <c:pt idx="379">
                  <c:v>304.03873913112511</c:v>
                </c:pt>
                <c:pt idx="380">
                  <c:v>303.69386925109762</c:v>
                </c:pt>
                <c:pt idx="381">
                  <c:v>303.32503355314185</c:v>
                </c:pt>
                <c:pt idx="382">
                  <c:v>303.00948439682008</c:v>
                </c:pt>
                <c:pt idx="383">
                  <c:v>302.51515325789114</c:v>
                </c:pt>
                <c:pt idx="384">
                  <c:v>302.89481869512753</c:v>
                </c:pt>
                <c:pt idx="385">
                  <c:v>303.77270843188296</c:v>
                </c:pt>
                <c:pt idx="386">
                  <c:v>304.04033508722898</c:v>
                </c:pt>
                <c:pt idx="387">
                  <c:v>303.9449366740252</c:v>
                </c:pt>
                <c:pt idx="388">
                  <c:v>304.31671873768914</c:v>
                </c:pt>
                <c:pt idx="389">
                  <c:v>304.57864309422092</c:v>
                </c:pt>
                <c:pt idx="390">
                  <c:v>303.78422916320972</c:v>
                </c:pt>
                <c:pt idx="391">
                  <c:v>302.85541561153741</c:v>
                </c:pt>
                <c:pt idx="392">
                  <c:v>302.89351074659174</c:v>
                </c:pt>
                <c:pt idx="393">
                  <c:v>303.51395702747089</c:v>
                </c:pt>
                <c:pt idx="394">
                  <c:v>304.41969144345035</c:v>
                </c:pt>
                <c:pt idx="395">
                  <c:v>304.60322932914664</c:v>
                </c:pt>
                <c:pt idx="396">
                  <c:v>305.11781243727086</c:v>
                </c:pt>
                <c:pt idx="397">
                  <c:v>305.71075065171698</c:v>
                </c:pt>
                <c:pt idx="398">
                  <c:v>305.12777815882498</c:v>
                </c:pt>
                <c:pt idx="399">
                  <c:v>306.1925777181188</c:v>
                </c:pt>
                <c:pt idx="400">
                  <c:v>307.53857020234028</c:v>
                </c:pt>
                <c:pt idx="401">
                  <c:v>308.14175989277089</c:v>
                </c:pt>
                <c:pt idx="402">
                  <c:v>308.42388976116831</c:v>
                </c:pt>
                <c:pt idx="403">
                  <c:v>308.50443638370081</c:v>
                </c:pt>
                <c:pt idx="404">
                  <c:v>308.94929573396587</c:v>
                </c:pt>
                <c:pt idx="405">
                  <c:v>310.08174083161566</c:v>
                </c:pt>
                <c:pt idx="406">
                  <c:v>310.94864475095989</c:v>
                </c:pt>
                <c:pt idx="407">
                  <c:v>311.44437062501402</c:v>
                </c:pt>
                <c:pt idx="408">
                  <c:v>312.52830834867717</c:v>
                </c:pt>
                <c:pt idx="409">
                  <c:v>313.83077613958585</c:v>
                </c:pt>
                <c:pt idx="410">
                  <c:v>314.35363701995402</c:v>
                </c:pt>
                <c:pt idx="411">
                  <c:v>315.34446301933178</c:v>
                </c:pt>
                <c:pt idx="412">
                  <c:v>316.02409447395581</c:v>
                </c:pt>
                <c:pt idx="413">
                  <c:v>316.71504096134942</c:v>
                </c:pt>
                <c:pt idx="414">
                  <c:v>317.11102104367228</c:v>
                </c:pt>
                <c:pt idx="415">
                  <c:v>317.20346762877307</c:v>
                </c:pt>
                <c:pt idx="416">
                  <c:v>317.64852415521557</c:v>
                </c:pt>
                <c:pt idx="417">
                  <c:v>318.46386661277535</c:v>
                </c:pt>
                <c:pt idx="418">
                  <c:v>318.36495458596175</c:v>
                </c:pt>
                <c:pt idx="419">
                  <c:v>319.2594302467117</c:v>
                </c:pt>
                <c:pt idx="420">
                  <c:v>319.62003001035606</c:v>
                </c:pt>
                <c:pt idx="421">
                  <c:v>319.59210648945611</c:v>
                </c:pt>
                <c:pt idx="422">
                  <c:v>319.29372855072262</c:v>
                </c:pt>
                <c:pt idx="423">
                  <c:v>318.4385093200396</c:v>
                </c:pt>
                <c:pt idx="424">
                  <c:v>317.9761225689607</c:v>
                </c:pt>
                <c:pt idx="425">
                  <c:v>318.41247867659922</c:v>
                </c:pt>
                <c:pt idx="426">
                  <c:v>319.38393128071527</c:v>
                </c:pt>
                <c:pt idx="427">
                  <c:v>319.90170660185527</c:v>
                </c:pt>
                <c:pt idx="428">
                  <c:v>320.08580106666381</c:v>
                </c:pt>
                <c:pt idx="429">
                  <c:v>320.48357592194776</c:v>
                </c:pt>
                <c:pt idx="430">
                  <c:v>320.49482966095206</c:v>
                </c:pt>
                <c:pt idx="431">
                  <c:v>320.20393037171488</c:v>
                </c:pt>
                <c:pt idx="432">
                  <c:v>319.86655231358367</c:v>
                </c:pt>
                <c:pt idx="433">
                  <c:v>319.45068051448573</c:v>
                </c:pt>
                <c:pt idx="434">
                  <c:v>319.23992498675352</c:v>
                </c:pt>
                <c:pt idx="435">
                  <c:v>318.77832645128331</c:v>
                </c:pt>
                <c:pt idx="436">
                  <c:v>318.08387904897938</c:v>
                </c:pt>
                <c:pt idx="437">
                  <c:v>316.79306676467786</c:v>
                </c:pt>
                <c:pt idx="438">
                  <c:v>315.22759990231521</c:v>
                </c:pt>
                <c:pt idx="439">
                  <c:v>313.11509738713812</c:v>
                </c:pt>
                <c:pt idx="440">
                  <c:v>311.30260728088115</c:v>
                </c:pt>
                <c:pt idx="441">
                  <c:v>310.16948636415464</c:v>
                </c:pt>
                <c:pt idx="442">
                  <c:v>308.60966111894464</c:v>
                </c:pt>
                <c:pt idx="443">
                  <c:v>308.85056446237093</c:v>
                </c:pt>
                <c:pt idx="444">
                  <c:v>308.36453394422938</c:v>
                </c:pt>
                <c:pt idx="445">
                  <c:v>307.91789153589173</c:v>
                </c:pt>
                <c:pt idx="446">
                  <c:v>307.8050864784924</c:v>
                </c:pt>
                <c:pt idx="447">
                  <c:v>307.98590215575916</c:v>
                </c:pt>
                <c:pt idx="448">
                  <c:v>308.03494040881532</c:v>
                </c:pt>
                <c:pt idx="449">
                  <c:v>308.51779208750719</c:v>
                </c:pt>
                <c:pt idx="450">
                  <c:v>309.42600122450239</c:v>
                </c:pt>
                <c:pt idx="451">
                  <c:v>310.1376793073776</c:v>
                </c:pt>
                <c:pt idx="452">
                  <c:v>310.72765333521301</c:v>
                </c:pt>
                <c:pt idx="453">
                  <c:v>311.70805046129789</c:v>
                </c:pt>
                <c:pt idx="454">
                  <c:v>312.18559439221082</c:v>
                </c:pt>
                <c:pt idx="455">
                  <c:v>312.25022235726806</c:v>
                </c:pt>
                <c:pt idx="456">
                  <c:v>313.17448550982527</c:v>
                </c:pt>
                <c:pt idx="457">
                  <c:v>313.41888537219836</c:v>
                </c:pt>
                <c:pt idx="458">
                  <c:v>313.45737754648104</c:v>
                </c:pt>
                <c:pt idx="459">
                  <c:v>313.49053816041095</c:v>
                </c:pt>
                <c:pt idx="460">
                  <c:v>313.53107959698769</c:v>
                </c:pt>
                <c:pt idx="461">
                  <c:v>313.50333440520257</c:v>
                </c:pt>
                <c:pt idx="462">
                  <c:v>313.34035065866846</c:v>
                </c:pt>
                <c:pt idx="463">
                  <c:v>313.09879978382804</c:v>
                </c:pt>
                <c:pt idx="464">
                  <c:v>312.50717975145352</c:v>
                </c:pt>
                <c:pt idx="465">
                  <c:v>312.26805834293737</c:v>
                </c:pt>
                <c:pt idx="466">
                  <c:v>312.32993900543653</c:v>
                </c:pt>
                <c:pt idx="467">
                  <c:v>312.53831176656496</c:v>
                </c:pt>
                <c:pt idx="468">
                  <c:v>312.7053101988995</c:v>
                </c:pt>
                <c:pt idx="469">
                  <c:v>312.94073723992801</c:v>
                </c:pt>
                <c:pt idx="470">
                  <c:v>312.80210867871926</c:v>
                </c:pt>
                <c:pt idx="471">
                  <c:v>312.50359405330323</c:v>
                </c:pt>
                <c:pt idx="472">
                  <c:v>312.21154125330861</c:v>
                </c:pt>
                <c:pt idx="473">
                  <c:v>311.32599462555112</c:v>
                </c:pt>
                <c:pt idx="474">
                  <c:v>311.0263372227837</c:v>
                </c:pt>
                <c:pt idx="475">
                  <c:v>311.59404625308281</c:v>
                </c:pt>
                <c:pt idx="476">
                  <c:v>310.78619816585609</c:v>
                </c:pt>
                <c:pt idx="477">
                  <c:v>311.53855546700441</c:v>
                </c:pt>
                <c:pt idx="478">
                  <c:v>312.9366106121704</c:v>
                </c:pt>
                <c:pt idx="479">
                  <c:v>314.01585684424242</c:v>
                </c:pt>
                <c:pt idx="480">
                  <c:v>313.84640214466225</c:v>
                </c:pt>
                <c:pt idx="481">
                  <c:v>313.39797112592072</c:v>
                </c:pt>
                <c:pt idx="482">
                  <c:v>313.44044120793319</c:v>
                </c:pt>
                <c:pt idx="483">
                  <c:v>313.70417999619667</c:v>
                </c:pt>
                <c:pt idx="484">
                  <c:v>313.98187111556587</c:v>
                </c:pt>
                <c:pt idx="485">
                  <c:v>313.99541721218151</c:v>
                </c:pt>
                <c:pt idx="486">
                  <c:v>313.84456540702979</c:v>
                </c:pt>
                <c:pt idx="487">
                  <c:v>314.18086553416435</c:v>
                </c:pt>
                <c:pt idx="488">
                  <c:v>314.38600597608132</c:v>
                </c:pt>
                <c:pt idx="489">
                  <c:v>315.97155937959258</c:v>
                </c:pt>
                <c:pt idx="490">
                  <c:v>317.85609676590047</c:v>
                </c:pt>
                <c:pt idx="491">
                  <c:v>318.50878618018749</c:v>
                </c:pt>
                <c:pt idx="492">
                  <c:v>319.86941175226337</c:v>
                </c:pt>
                <c:pt idx="493">
                  <c:v>321.03662375041432</c:v>
                </c:pt>
                <c:pt idx="494">
                  <c:v>321.38241708362375</c:v>
                </c:pt>
                <c:pt idx="495">
                  <c:v>321.91477796556353</c:v>
                </c:pt>
                <c:pt idx="496">
                  <c:v>321.7258224765356</c:v>
                </c:pt>
                <c:pt idx="497">
                  <c:v>321.86335722969096</c:v>
                </c:pt>
                <c:pt idx="498">
                  <c:v>321.79521178223899</c:v>
                </c:pt>
                <c:pt idx="499">
                  <c:v>321.75157859942055</c:v>
                </c:pt>
                <c:pt idx="500">
                  <c:v>321.37757173797274</c:v>
                </c:pt>
                <c:pt idx="501">
                  <c:v>320.56882247968224</c:v>
                </c:pt>
                <c:pt idx="502">
                  <c:v>321.0709770433952</c:v>
                </c:pt>
                <c:pt idx="503">
                  <c:v>322.07319652885081</c:v>
                </c:pt>
                <c:pt idx="504">
                  <c:v>322.37792121251437</c:v>
                </c:pt>
                <c:pt idx="505">
                  <c:v>322.52211384639969</c:v>
                </c:pt>
                <c:pt idx="506">
                  <c:v>322.46263902590704</c:v>
                </c:pt>
                <c:pt idx="507">
                  <c:v>322.40753474396359</c:v>
                </c:pt>
                <c:pt idx="508">
                  <c:v>322.38432545838299</c:v>
                </c:pt>
                <c:pt idx="509">
                  <c:v>321.6606118615756</c:v>
                </c:pt>
                <c:pt idx="510">
                  <c:v>320.42227042355478</c:v>
                </c:pt>
                <c:pt idx="511">
                  <c:v>319.88692020904296</c:v>
                </c:pt>
                <c:pt idx="512">
                  <c:v>318.38126623750117</c:v>
                </c:pt>
                <c:pt idx="513">
                  <c:v>316.40752729566304</c:v>
                </c:pt>
                <c:pt idx="514">
                  <c:v>315.08166790601865</c:v>
                </c:pt>
                <c:pt idx="515">
                  <c:v>313.36903587543623</c:v>
                </c:pt>
                <c:pt idx="516">
                  <c:v>313.12288182461987</c:v>
                </c:pt>
                <c:pt idx="517">
                  <c:v>313.02302375111452</c:v>
                </c:pt>
                <c:pt idx="518">
                  <c:v>313.80915986731969</c:v>
                </c:pt>
                <c:pt idx="519">
                  <c:v>314.47816244156672</c:v>
                </c:pt>
                <c:pt idx="520">
                  <c:v>315.74577062023388</c:v>
                </c:pt>
                <c:pt idx="521">
                  <c:v>316.79874279979549</c:v>
                </c:pt>
                <c:pt idx="522">
                  <c:v>318.42704255709782</c:v>
                </c:pt>
                <c:pt idx="523">
                  <c:v>319.56768891659743</c:v>
                </c:pt>
                <c:pt idx="524">
                  <c:v>321.850802251289</c:v>
                </c:pt>
                <c:pt idx="525">
                  <c:v>323.70575786012205</c:v>
                </c:pt>
                <c:pt idx="526">
                  <c:v>326.35637993428497</c:v>
                </c:pt>
                <c:pt idx="527">
                  <c:v>328.16912073936635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EE-4886-B272-2E37A7704FE4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Data!$M$2:$M$529</c:f>
              <c:numCache>
                <c:formatCode>General</c:formatCode>
                <c:ptCount val="528"/>
                <c:pt idx="19">
                  <c:v>287.5974061264119</c:v>
                </c:pt>
                <c:pt idx="20">
                  <c:v>287.45239000345043</c:v>
                </c:pt>
                <c:pt idx="21">
                  <c:v>287.42243506214879</c:v>
                </c:pt>
                <c:pt idx="22">
                  <c:v>287.71380844778963</c:v>
                </c:pt>
                <c:pt idx="23">
                  <c:v>286.94036096191275</c:v>
                </c:pt>
                <c:pt idx="24">
                  <c:v>285.44109386065554</c:v>
                </c:pt>
                <c:pt idx="25">
                  <c:v>284.8484489093193</c:v>
                </c:pt>
                <c:pt idx="26">
                  <c:v>284.69410143809915</c:v>
                </c:pt>
                <c:pt idx="27">
                  <c:v>284.25205147052338</c:v>
                </c:pt>
                <c:pt idx="28">
                  <c:v>283.86287020855133</c:v>
                </c:pt>
                <c:pt idx="29">
                  <c:v>283.29905523159738</c:v>
                </c:pt>
                <c:pt idx="30">
                  <c:v>282.92966687812157</c:v>
                </c:pt>
                <c:pt idx="31">
                  <c:v>282.80805474236951</c:v>
                </c:pt>
                <c:pt idx="32">
                  <c:v>283.01985979939531</c:v>
                </c:pt>
                <c:pt idx="33">
                  <c:v>283.13686551207542</c:v>
                </c:pt>
                <c:pt idx="34">
                  <c:v>283.54666529230104</c:v>
                </c:pt>
                <c:pt idx="35">
                  <c:v>284.07001900091262</c:v>
                </c:pt>
                <c:pt idx="36">
                  <c:v>284.01249049236577</c:v>
                </c:pt>
                <c:pt idx="37">
                  <c:v>283.89349596439422</c:v>
                </c:pt>
                <c:pt idx="38">
                  <c:v>283.92870464783351</c:v>
                </c:pt>
                <c:pt idx="39">
                  <c:v>283.91634160464673</c:v>
                </c:pt>
                <c:pt idx="40">
                  <c:v>283.8989356384688</c:v>
                </c:pt>
                <c:pt idx="41">
                  <c:v>284.01976919444428</c:v>
                </c:pt>
                <c:pt idx="42">
                  <c:v>284.1321576361064</c:v>
                </c:pt>
                <c:pt idx="43">
                  <c:v>284.91565516965625</c:v>
                </c:pt>
                <c:pt idx="44">
                  <c:v>286.19010600888674</c:v>
                </c:pt>
                <c:pt idx="45">
                  <c:v>286.79781596935942</c:v>
                </c:pt>
                <c:pt idx="46">
                  <c:v>286.831571424961</c:v>
                </c:pt>
                <c:pt idx="47">
                  <c:v>287.17299658717963</c:v>
                </c:pt>
                <c:pt idx="48">
                  <c:v>287.58540391694686</c:v>
                </c:pt>
                <c:pt idx="49">
                  <c:v>286.18919096076934</c:v>
                </c:pt>
                <c:pt idx="50">
                  <c:v>284.44245933652661</c:v>
                </c:pt>
                <c:pt idx="51">
                  <c:v>281.83919392960405</c:v>
                </c:pt>
                <c:pt idx="52">
                  <c:v>279.55703424449189</c:v>
                </c:pt>
                <c:pt idx="53">
                  <c:v>278.53595003164082</c:v>
                </c:pt>
                <c:pt idx="54">
                  <c:v>277.87619980366895</c:v>
                </c:pt>
                <c:pt idx="55">
                  <c:v>277.24724476623027</c:v>
                </c:pt>
                <c:pt idx="56">
                  <c:v>276.78367966401731</c:v>
                </c:pt>
                <c:pt idx="57">
                  <c:v>275.73806763322233</c:v>
                </c:pt>
                <c:pt idx="58">
                  <c:v>274.66490487197649</c:v>
                </c:pt>
                <c:pt idx="59">
                  <c:v>274.44332126890026</c:v>
                </c:pt>
                <c:pt idx="60">
                  <c:v>274.1125882369451</c:v>
                </c:pt>
                <c:pt idx="61">
                  <c:v>273.56659943546339</c:v>
                </c:pt>
                <c:pt idx="62">
                  <c:v>272.75368619271063</c:v>
                </c:pt>
                <c:pt idx="63">
                  <c:v>271.8449200456588</c:v>
                </c:pt>
                <c:pt idx="64">
                  <c:v>270.02684012457564</c:v>
                </c:pt>
                <c:pt idx="65">
                  <c:v>267.58076394556309</c:v>
                </c:pt>
                <c:pt idx="66">
                  <c:v>266.04279997640896</c:v>
                </c:pt>
                <c:pt idx="67">
                  <c:v>265.77796941066913</c:v>
                </c:pt>
                <c:pt idx="68">
                  <c:v>265.88314549828141</c:v>
                </c:pt>
                <c:pt idx="69">
                  <c:v>264.78220809161041</c:v>
                </c:pt>
                <c:pt idx="70">
                  <c:v>263.57409657814026</c:v>
                </c:pt>
                <c:pt idx="71">
                  <c:v>262.25632252596887</c:v>
                </c:pt>
                <c:pt idx="72">
                  <c:v>260.9416274251966</c:v>
                </c:pt>
                <c:pt idx="73">
                  <c:v>260.65399726463096</c:v>
                </c:pt>
                <c:pt idx="74">
                  <c:v>260.79246200212009</c:v>
                </c:pt>
                <c:pt idx="75">
                  <c:v>261.09020617559088</c:v>
                </c:pt>
                <c:pt idx="76">
                  <c:v>261.5441294177715</c:v>
                </c:pt>
                <c:pt idx="77">
                  <c:v>261.6272890239843</c:v>
                </c:pt>
                <c:pt idx="78">
                  <c:v>261.7205828545388</c:v>
                </c:pt>
                <c:pt idx="79">
                  <c:v>262.24705772615266</c:v>
                </c:pt>
                <c:pt idx="80">
                  <c:v>262.91505393752357</c:v>
                </c:pt>
                <c:pt idx="81">
                  <c:v>263.4768556170601</c:v>
                </c:pt>
                <c:pt idx="82">
                  <c:v>263.77496134850679</c:v>
                </c:pt>
                <c:pt idx="83">
                  <c:v>263.84271633548138</c:v>
                </c:pt>
                <c:pt idx="84">
                  <c:v>263.9554141408268</c:v>
                </c:pt>
                <c:pt idx="85">
                  <c:v>264.44080203646377</c:v>
                </c:pt>
                <c:pt idx="86">
                  <c:v>264.68944993128076</c:v>
                </c:pt>
                <c:pt idx="87">
                  <c:v>264.41508030601403</c:v>
                </c:pt>
                <c:pt idx="88">
                  <c:v>264.3907288691089</c:v>
                </c:pt>
                <c:pt idx="89">
                  <c:v>264.29493265783776</c:v>
                </c:pt>
                <c:pt idx="90">
                  <c:v>264.76220735496042</c:v>
                </c:pt>
                <c:pt idx="91">
                  <c:v>265.51134833227036</c:v>
                </c:pt>
                <c:pt idx="92">
                  <c:v>266.50913838971383</c:v>
                </c:pt>
                <c:pt idx="93">
                  <c:v>266.77285594293301</c:v>
                </c:pt>
                <c:pt idx="94">
                  <c:v>266.92717009356488</c:v>
                </c:pt>
                <c:pt idx="95">
                  <c:v>266.95289466358668</c:v>
                </c:pt>
                <c:pt idx="96">
                  <c:v>266.36849192732001</c:v>
                </c:pt>
                <c:pt idx="97">
                  <c:v>265.5897890070238</c:v>
                </c:pt>
                <c:pt idx="98">
                  <c:v>264.98251247410286</c:v>
                </c:pt>
                <c:pt idx="99">
                  <c:v>262.06027936902746</c:v>
                </c:pt>
                <c:pt idx="100">
                  <c:v>259.80254331743168</c:v>
                </c:pt>
                <c:pt idx="101">
                  <c:v>256.66609302904806</c:v>
                </c:pt>
                <c:pt idx="102">
                  <c:v>252.93310221463452</c:v>
                </c:pt>
                <c:pt idx="103">
                  <c:v>250.70802791411987</c:v>
                </c:pt>
                <c:pt idx="104">
                  <c:v>250.03536771860979</c:v>
                </c:pt>
                <c:pt idx="105">
                  <c:v>249.47999459104571</c:v>
                </c:pt>
                <c:pt idx="106">
                  <c:v>249.26030416711532</c:v>
                </c:pt>
                <c:pt idx="107">
                  <c:v>248.81339256021263</c:v>
                </c:pt>
                <c:pt idx="108">
                  <c:v>248.48287531680296</c:v>
                </c:pt>
                <c:pt idx="109">
                  <c:v>247.65813297326719</c:v>
                </c:pt>
                <c:pt idx="110">
                  <c:v>247.07935847017902</c:v>
                </c:pt>
                <c:pt idx="111">
                  <c:v>246.46813664206911</c:v>
                </c:pt>
                <c:pt idx="112">
                  <c:v>246.03156662481825</c:v>
                </c:pt>
                <c:pt idx="113">
                  <c:v>246.15851902442293</c:v>
                </c:pt>
                <c:pt idx="114">
                  <c:v>246.65353198715766</c:v>
                </c:pt>
                <c:pt idx="115">
                  <c:v>247.46346071445441</c:v>
                </c:pt>
                <c:pt idx="116">
                  <c:v>247.40192202722463</c:v>
                </c:pt>
                <c:pt idx="117">
                  <c:v>247.76757801309481</c:v>
                </c:pt>
                <c:pt idx="118">
                  <c:v>248.58058823182836</c:v>
                </c:pt>
                <c:pt idx="119">
                  <c:v>248.47467879470651</c:v>
                </c:pt>
                <c:pt idx="120">
                  <c:v>248.4754350771002</c:v>
                </c:pt>
                <c:pt idx="121">
                  <c:v>248.73133970689665</c:v>
                </c:pt>
                <c:pt idx="122">
                  <c:v>249.84878587914784</c:v>
                </c:pt>
                <c:pt idx="123">
                  <c:v>250.26960459707348</c:v>
                </c:pt>
                <c:pt idx="124">
                  <c:v>249.25400606479377</c:v>
                </c:pt>
                <c:pt idx="125">
                  <c:v>247.90709229399988</c:v>
                </c:pt>
                <c:pt idx="126">
                  <c:v>247.62778896487737</c:v>
                </c:pt>
                <c:pt idx="127">
                  <c:v>247.37001389629631</c:v>
                </c:pt>
                <c:pt idx="128">
                  <c:v>246.73393245329333</c:v>
                </c:pt>
                <c:pt idx="129">
                  <c:v>245.445720538995</c:v>
                </c:pt>
                <c:pt idx="130">
                  <c:v>245.17605495010804</c:v>
                </c:pt>
                <c:pt idx="131">
                  <c:v>245.18488399885521</c:v>
                </c:pt>
                <c:pt idx="132">
                  <c:v>245.16977370690677</c:v>
                </c:pt>
                <c:pt idx="133">
                  <c:v>245.02824435381331</c:v>
                </c:pt>
                <c:pt idx="134">
                  <c:v>245.00616865984026</c:v>
                </c:pt>
                <c:pt idx="135">
                  <c:v>244.7006487343883</c:v>
                </c:pt>
                <c:pt idx="136">
                  <c:v>244.88926191307334</c:v>
                </c:pt>
                <c:pt idx="137">
                  <c:v>244.96003280760016</c:v>
                </c:pt>
                <c:pt idx="138">
                  <c:v>244.9501822702334</c:v>
                </c:pt>
                <c:pt idx="139">
                  <c:v>245.07779516712893</c:v>
                </c:pt>
                <c:pt idx="140">
                  <c:v>245.01720681244265</c:v>
                </c:pt>
                <c:pt idx="141">
                  <c:v>244.85228322543367</c:v>
                </c:pt>
                <c:pt idx="142">
                  <c:v>244.81134362881338</c:v>
                </c:pt>
                <c:pt idx="143">
                  <c:v>244.38239568326111</c:v>
                </c:pt>
                <c:pt idx="144">
                  <c:v>243.6991592424107</c:v>
                </c:pt>
                <c:pt idx="145">
                  <c:v>243.96167048082387</c:v>
                </c:pt>
                <c:pt idx="146">
                  <c:v>243.66990775905978</c:v>
                </c:pt>
                <c:pt idx="147">
                  <c:v>242.18862440026319</c:v>
                </c:pt>
                <c:pt idx="148">
                  <c:v>243.160116793425</c:v>
                </c:pt>
                <c:pt idx="149">
                  <c:v>244.75209514390338</c:v>
                </c:pt>
                <c:pt idx="150">
                  <c:v>245.75295154729585</c:v>
                </c:pt>
                <c:pt idx="151">
                  <c:v>246.12184891803852</c:v>
                </c:pt>
                <c:pt idx="152">
                  <c:v>246.992751679142</c:v>
                </c:pt>
                <c:pt idx="153">
                  <c:v>248.41909103400553</c:v>
                </c:pt>
                <c:pt idx="154">
                  <c:v>248.990061041708</c:v>
                </c:pt>
                <c:pt idx="155">
                  <c:v>249.18989281279192</c:v>
                </c:pt>
                <c:pt idx="156">
                  <c:v>249.40316952084305</c:v>
                </c:pt>
                <c:pt idx="157">
                  <c:v>249.79038083508021</c:v>
                </c:pt>
                <c:pt idx="158">
                  <c:v>248.875799722008</c:v>
                </c:pt>
                <c:pt idx="159">
                  <c:v>249.87898197590522</c:v>
                </c:pt>
                <c:pt idx="160">
                  <c:v>251.05334960028259</c:v>
                </c:pt>
                <c:pt idx="161">
                  <c:v>253.52216296212069</c:v>
                </c:pt>
                <c:pt idx="162">
                  <c:v>256.62375634426417</c:v>
                </c:pt>
                <c:pt idx="163">
                  <c:v>258.05416396836284</c:v>
                </c:pt>
                <c:pt idx="164">
                  <c:v>258.80437334918452</c:v>
                </c:pt>
                <c:pt idx="165">
                  <c:v>260.24363400552863</c:v>
                </c:pt>
                <c:pt idx="166">
                  <c:v>261.27942536434546</c:v>
                </c:pt>
                <c:pt idx="167">
                  <c:v>261.42707443245371</c:v>
                </c:pt>
                <c:pt idx="168">
                  <c:v>262.91572556518946</c:v>
                </c:pt>
                <c:pt idx="169">
                  <c:v>264.24676432584863</c:v>
                </c:pt>
                <c:pt idx="170">
                  <c:v>265.93973037693866</c:v>
                </c:pt>
                <c:pt idx="171">
                  <c:v>267.45847377373042</c:v>
                </c:pt>
                <c:pt idx="172">
                  <c:v>270.02879860921712</c:v>
                </c:pt>
                <c:pt idx="173">
                  <c:v>272.69077233627274</c:v>
                </c:pt>
                <c:pt idx="174">
                  <c:v>275.74318129156813</c:v>
                </c:pt>
                <c:pt idx="175">
                  <c:v>279.30067082750492</c:v>
                </c:pt>
                <c:pt idx="176">
                  <c:v>281.87905521117852</c:v>
                </c:pt>
                <c:pt idx="177">
                  <c:v>283.75068695132421</c:v>
                </c:pt>
                <c:pt idx="178">
                  <c:v>283.87537224131188</c:v>
                </c:pt>
                <c:pt idx="179">
                  <c:v>284.48715611457033</c:v>
                </c:pt>
                <c:pt idx="180">
                  <c:v>284.48682088411209</c:v>
                </c:pt>
                <c:pt idx="181">
                  <c:v>284.26952284051646</c:v>
                </c:pt>
                <c:pt idx="182">
                  <c:v>283.83789082289104</c:v>
                </c:pt>
                <c:pt idx="183">
                  <c:v>283.54295762827758</c:v>
                </c:pt>
                <c:pt idx="184">
                  <c:v>283.33796749401489</c:v>
                </c:pt>
                <c:pt idx="185">
                  <c:v>283.26494993030661</c:v>
                </c:pt>
                <c:pt idx="186">
                  <c:v>283.38481727010594</c:v>
                </c:pt>
                <c:pt idx="187">
                  <c:v>283.5393543122637</c:v>
                </c:pt>
                <c:pt idx="188">
                  <c:v>284.7619560302507</c:v>
                </c:pt>
                <c:pt idx="189">
                  <c:v>285.62293689136675</c:v>
                </c:pt>
                <c:pt idx="190">
                  <c:v>286.7649816119096</c:v>
                </c:pt>
                <c:pt idx="191">
                  <c:v>287.77466992528542</c:v>
                </c:pt>
                <c:pt idx="192">
                  <c:v>288.69226998004893</c:v>
                </c:pt>
                <c:pt idx="193">
                  <c:v>289.73448732902392</c:v>
                </c:pt>
                <c:pt idx="194">
                  <c:v>291.16571156062457</c:v>
                </c:pt>
                <c:pt idx="195">
                  <c:v>292.28778614721631</c:v>
                </c:pt>
                <c:pt idx="196">
                  <c:v>292.65149112588625</c:v>
                </c:pt>
                <c:pt idx="197">
                  <c:v>292.58157105950022</c:v>
                </c:pt>
                <c:pt idx="198">
                  <c:v>292.8070117236976</c:v>
                </c:pt>
                <c:pt idx="199">
                  <c:v>294.03974970819962</c:v>
                </c:pt>
                <c:pt idx="200">
                  <c:v>294.91875985746213</c:v>
                </c:pt>
                <c:pt idx="201">
                  <c:v>295.16757715861559</c:v>
                </c:pt>
                <c:pt idx="202">
                  <c:v>295.59276637953212</c:v>
                </c:pt>
                <c:pt idx="203">
                  <c:v>296.06060318169398</c:v>
                </c:pt>
                <c:pt idx="204">
                  <c:v>295.69779405114213</c:v>
                </c:pt>
                <c:pt idx="205">
                  <c:v>295.43204422261573</c:v>
                </c:pt>
                <c:pt idx="206">
                  <c:v>293.27633285878335</c:v>
                </c:pt>
                <c:pt idx="207">
                  <c:v>292.23398522197903</c:v>
                </c:pt>
                <c:pt idx="208">
                  <c:v>291.03935383239133</c:v>
                </c:pt>
                <c:pt idx="209">
                  <c:v>289.14641212468229</c:v>
                </c:pt>
                <c:pt idx="210">
                  <c:v>287.58418255127515</c:v>
                </c:pt>
                <c:pt idx="211">
                  <c:v>286.67393219535245</c:v>
                </c:pt>
                <c:pt idx="212">
                  <c:v>285.62254214646623</c:v>
                </c:pt>
                <c:pt idx="213">
                  <c:v>285.19531772290651</c:v>
                </c:pt>
                <c:pt idx="214">
                  <c:v>284.24795765006047</c:v>
                </c:pt>
                <c:pt idx="215">
                  <c:v>283.45033666557276</c:v>
                </c:pt>
                <c:pt idx="216">
                  <c:v>283.14320966459968</c:v>
                </c:pt>
                <c:pt idx="217">
                  <c:v>283.1031402750848</c:v>
                </c:pt>
                <c:pt idx="218">
                  <c:v>283.20704353818155</c:v>
                </c:pt>
                <c:pt idx="219">
                  <c:v>283.34288482630473</c:v>
                </c:pt>
                <c:pt idx="220">
                  <c:v>284.04554581804155</c:v>
                </c:pt>
                <c:pt idx="221">
                  <c:v>285.00914458440764</c:v>
                </c:pt>
                <c:pt idx="222">
                  <c:v>286.20892471561154</c:v>
                </c:pt>
                <c:pt idx="223">
                  <c:v>288.80197903660689</c:v>
                </c:pt>
                <c:pt idx="224">
                  <c:v>288.26493165664988</c:v>
                </c:pt>
                <c:pt idx="225">
                  <c:v>287.66885106464844</c:v>
                </c:pt>
                <c:pt idx="226">
                  <c:v>287.33854386071226</c:v>
                </c:pt>
                <c:pt idx="227">
                  <c:v>287.3455550921982</c:v>
                </c:pt>
                <c:pt idx="228">
                  <c:v>287.36342612727765</c:v>
                </c:pt>
                <c:pt idx="229">
                  <c:v>287.67533450052622</c:v>
                </c:pt>
                <c:pt idx="230">
                  <c:v>287.95136586334831</c:v>
                </c:pt>
                <c:pt idx="231">
                  <c:v>287.73315487599382</c:v>
                </c:pt>
                <c:pt idx="232">
                  <c:v>287.86915026302091</c:v>
                </c:pt>
                <c:pt idx="233">
                  <c:v>287.85852411207048</c:v>
                </c:pt>
                <c:pt idx="234">
                  <c:v>287.81429853376517</c:v>
                </c:pt>
                <c:pt idx="235">
                  <c:v>287.80876711637507</c:v>
                </c:pt>
                <c:pt idx="236">
                  <c:v>287.59645478024703</c:v>
                </c:pt>
                <c:pt idx="237">
                  <c:v>287.68813319035024</c:v>
                </c:pt>
                <c:pt idx="238">
                  <c:v>287.71835353370409</c:v>
                </c:pt>
                <c:pt idx="239">
                  <c:v>287.72124891338183</c:v>
                </c:pt>
                <c:pt idx="240">
                  <c:v>287.76767344424235</c:v>
                </c:pt>
                <c:pt idx="241">
                  <c:v>288.01248695142459</c:v>
                </c:pt>
                <c:pt idx="242">
                  <c:v>288.52308535955382</c:v>
                </c:pt>
                <c:pt idx="243">
                  <c:v>288.55186168089432</c:v>
                </c:pt>
                <c:pt idx="244">
                  <c:v>288.41741365184532</c:v>
                </c:pt>
                <c:pt idx="245">
                  <c:v>289.28666999508886</c:v>
                </c:pt>
                <c:pt idx="246">
                  <c:v>289.50286851664754</c:v>
                </c:pt>
                <c:pt idx="247">
                  <c:v>289.35028005802718</c:v>
                </c:pt>
                <c:pt idx="248">
                  <c:v>289.27350985082114</c:v>
                </c:pt>
                <c:pt idx="249">
                  <c:v>289.14450239528111</c:v>
                </c:pt>
                <c:pt idx="250">
                  <c:v>288.31183317057292</c:v>
                </c:pt>
                <c:pt idx="251">
                  <c:v>287.88350276449688</c:v>
                </c:pt>
                <c:pt idx="252">
                  <c:v>287.69891370570645</c:v>
                </c:pt>
                <c:pt idx="253">
                  <c:v>287.68369647718134</c:v>
                </c:pt>
                <c:pt idx="254">
                  <c:v>287.55967316095104</c:v>
                </c:pt>
                <c:pt idx="255">
                  <c:v>287.03978801552711</c:v>
                </c:pt>
                <c:pt idx="256">
                  <c:v>286.51342833934359</c:v>
                </c:pt>
                <c:pt idx="257">
                  <c:v>284.86169325845469</c:v>
                </c:pt>
                <c:pt idx="258">
                  <c:v>283.49870256162671</c:v>
                </c:pt>
                <c:pt idx="259">
                  <c:v>281.90837964532966</c:v>
                </c:pt>
                <c:pt idx="260">
                  <c:v>280.79845153236522</c:v>
                </c:pt>
                <c:pt idx="261">
                  <c:v>279.45678266095445</c:v>
                </c:pt>
                <c:pt idx="262">
                  <c:v>278.53432237485208</c:v>
                </c:pt>
                <c:pt idx="263">
                  <c:v>277.83123938471954</c:v>
                </c:pt>
                <c:pt idx="264">
                  <c:v>276.99359942783508</c:v>
                </c:pt>
                <c:pt idx="265">
                  <c:v>276.73627122355248</c:v>
                </c:pt>
                <c:pt idx="266">
                  <c:v>276.57584619224338</c:v>
                </c:pt>
                <c:pt idx="267">
                  <c:v>276.64788962057389</c:v>
                </c:pt>
                <c:pt idx="268">
                  <c:v>276.91931270587747</c:v>
                </c:pt>
                <c:pt idx="269">
                  <c:v>277.12858887774883</c:v>
                </c:pt>
                <c:pt idx="270">
                  <c:v>277.11328860045614</c:v>
                </c:pt>
                <c:pt idx="271">
                  <c:v>277.12157405193489</c:v>
                </c:pt>
                <c:pt idx="272">
                  <c:v>277.25523774555717</c:v>
                </c:pt>
                <c:pt idx="273">
                  <c:v>277.69437546885979</c:v>
                </c:pt>
                <c:pt idx="274">
                  <c:v>277.88603496544391</c:v>
                </c:pt>
                <c:pt idx="275">
                  <c:v>277.44878439459615</c:v>
                </c:pt>
                <c:pt idx="276">
                  <c:v>277.14115612446034</c:v>
                </c:pt>
                <c:pt idx="277">
                  <c:v>274.64553538862253</c:v>
                </c:pt>
                <c:pt idx="278">
                  <c:v>272.90531803548765</c:v>
                </c:pt>
                <c:pt idx="279">
                  <c:v>272.75677027639279</c:v>
                </c:pt>
                <c:pt idx="280">
                  <c:v>272.64940722839299</c:v>
                </c:pt>
                <c:pt idx="281">
                  <c:v>273.67245888837743</c:v>
                </c:pt>
                <c:pt idx="282">
                  <c:v>275.17828110801389</c:v>
                </c:pt>
                <c:pt idx="283">
                  <c:v>276.7622099552475</c:v>
                </c:pt>
                <c:pt idx="284">
                  <c:v>278.84380799550297</c:v>
                </c:pt>
                <c:pt idx="285">
                  <c:v>280.5088499867847</c:v>
                </c:pt>
                <c:pt idx="286">
                  <c:v>282.11103127052343</c:v>
                </c:pt>
                <c:pt idx="287">
                  <c:v>282.43096559154549</c:v>
                </c:pt>
                <c:pt idx="288">
                  <c:v>283.47100952425211</c:v>
                </c:pt>
                <c:pt idx="289">
                  <c:v>284.68313142571031</c:v>
                </c:pt>
                <c:pt idx="290">
                  <c:v>286.16923333936609</c:v>
                </c:pt>
                <c:pt idx="291">
                  <c:v>288.26454358287293</c:v>
                </c:pt>
                <c:pt idx="292">
                  <c:v>290.35221688693355</c:v>
                </c:pt>
                <c:pt idx="293">
                  <c:v>292.91150523118586</c:v>
                </c:pt>
                <c:pt idx="294">
                  <c:v>296.41947876806182</c:v>
                </c:pt>
                <c:pt idx="295">
                  <c:v>297.0074206477147</c:v>
                </c:pt>
                <c:pt idx="296">
                  <c:v>299.14563608763302</c:v>
                </c:pt>
                <c:pt idx="297">
                  <c:v>299.03593816145752</c:v>
                </c:pt>
                <c:pt idx="298">
                  <c:v>297.741871019413</c:v>
                </c:pt>
                <c:pt idx="299">
                  <c:v>296.23979852743696</c:v>
                </c:pt>
                <c:pt idx="300">
                  <c:v>295.34082944805937</c:v>
                </c:pt>
                <c:pt idx="301">
                  <c:v>295.0845212482339</c:v>
                </c:pt>
                <c:pt idx="302">
                  <c:v>294.97259115159716</c:v>
                </c:pt>
                <c:pt idx="303">
                  <c:v>295.41585318840299</c:v>
                </c:pt>
                <c:pt idx="304">
                  <c:v>295.7419988032895</c:v>
                </c:pt>
                <c:pt idx="305">
                  <c:v>295.79432837086216</c:v>
                </c:pt>
                <c:pt idx="306">
                  <c:v>295.69152205038893</c:v>
                </c:pt>
                <c:pt idx="307">
                  <c:v>295.65585525810309</c:v>
                </c:pt>
                <c:pt idx="308">
                  <c:v>295.75264971624426</c:v>
                </c:pt>
                <c:pt idx="309">
                  <c:v>295.67811366474331</c:v>
                </c:pt>
                <c:pt idx="310">
                  <c:v>295.62834207205429</c:v>
                </c:pt>
                <c:pt idx="311">
                  <c:v>295.88718248996548</c:v>
                </c:pt>
                <c:pt idx="312">
                  <c:v>296.00518379784569</c:v>
                </c:pt>
                <c:pt idx="313">
                  <c:v>296.10465757169811</c:v>
                </c:pt>
                <c:pt idx="314">
                  <c:v>295.70011101137692</c:v>
                </c:pt>
                <c:pt idx="315">
                  <c:v>295.61270824562274</c:v>
                </c:pt>
                <c:pt idx="316">
                  <c:v>295.22408063471164</c:v>
                </c:pt>
                <c:pt idx="317">
                  <c:v>294.4817946096498</c:v>
                </c:pt>
                <c:pt idx="318">
                  <c:v>295.09903580706066</c:v>
                </c:pt>
                <c:pt idx="319">
                  <c:v>296.37832927962143</c:v>
                </c:pt>
                <c:pt idx="320">
                  <c:v>297.36236088040994</c:v>
                </c:pt>
                <c:pt idx="321">
                  <c:v>297.41306664447586</c:v>
                </c:pt>
                <c:pt idx="322">
                  <c:v>297.90050509211954</c:v>
                </c:pt>
                <c:pt idx="323">
                  <c:v>298.03347783441865</c:v>
                </c:pt>
                <c:pt idx="324">
                  <c:v>298.21223364842547</c:v>
                </c:pt>
                <c:pt idx="325">
                  <c:v>298.49621687130957</c:v>
                </c:pt>
                <c:pt idx="326">
                  <c:v>298.37826735627215</c:v>
                </c:pt>
                <c:pt idx="327">
                  <c:v>298.37956561001755</c:v>
                </c:pt>
                <c:pt idx="328">
                  <c:v>298.29855638114952</c:v>
                </c:pt>
                <c:pt idx="329">
                  <c:v>298.20563941045845</c:v>
                </c:pt>
                <c:pt idx="330">
                  <c:v>298.50665305083612</c:v>
                </c:pt>
                <c:pt idx="331">
                  <c:v>298.53074150306861</c:v>
                </c:pt>
                <c:pt idx="332">
                  <c:v>298.30948641431081</c:v>
                </c:pt>
                <c:pt idx="333">
                  <c:v>298.37678983571789</c:v>
                </c:pt>
                <c:pt idx="334">
                  <c:v>298.43867588190528</c:v>
                </c:pt>
                <c:pt idx="335">
                  <c:v>300.21546934501555</c:v>
                </c:pt>
                <c:pt idx="336">
                  <c:v>302.37415082090791</c:v>
                </c:pt>
                <c:pt idx="337">
                  <c:v>305.03316396389226</c:v>
                </c:pt>
                <c:pt idx="338">
                  <c:v>306.82430406054186</c:v>
                </c:pt>
                <c:pt idx="339">
                  <c:v>308.04303647426525</c:v>
                </c:pt>
                <c:pt idx="340">
                  <c:v>308.39194155029139</c:v>
                </c:pt>
                <c:pt idx="341">
                  <c:v>307.51355816981612</c:v>
                </c:pt>
                <c:pt idx="342">
                  <c:v>306.64295871221674</c:v>
                </c:pt>
                <c:pt idx="343">
                  <c:v>307.29361892744527</c:v>
                </c:pt>
                <c:pt idx="344">
                  <c:v>307.57330727348932</c:v>
                </c:pt>
                <c:pt idx="345">
                  <c:v>308.22761923122613</c:v>
                </c:pt>
                <c:pt idx="346">
                  <c:v>308.17800606166833</c:v>
                </c:pt>
                <c:pt idx="347">
                  <c:v>308.20249562021593</c:v>
                </c:pt>
                <c:pt idx="348">
                  <c:v>308.10771800131613</c:v>
                </c:pt>
                <c:pt idx="349">
                  <c:v>308.03178506615365</c:v>
                </c:pt>
                <c:pt idx="350">
                  <c:v>307.98497178689053</c:v>
                </c:pt>
                <c:pt idx="351">
                  <c:v>307.83795153036095</c:v>
                </c:pt>
                <c:pt idx="352">
                  <c:v>307.69106796756364</c:v>
                </c:pt>
                <c:pt idx="353">
                  <c:v>307.70668133762064</c:v>
                </c:pt>
                <c:pt idx="354">
                  <c:v>307.79252205010357</c:v>
                </c:pt>
                <c:pt idx="355">
                  <c:v>307.58083567905118</c:v>
                </c:pt>
                <c:pt idx="356">
                  <c:v>307.30376379338753</c:v>
                </c:pt>
                <c:pt idx="357">
                  <c:v>306.74410793042045</c:v>
                </c:pt>
                <c:pt idx="358">
                  <c:v>305.88150394175841</c:v>
                </c:pt>
                <c:pt idx="359">
                  <c:v>304.51148126457741</c:v>
                </c:pt>
                <c:pt idx="360">
                  <c:v>302.2472328606172</c:v>
                </c:pt>
                <c:pt idx="361">
                  <c:v>300.93175595403574</c:v>
                </c:pt>
                <c:pt idx="362">
                  <c:v>300.18516625986416</c:v>
                </c:pt>
                <c:pt idx="363">
                  <c:v>298.82957918482163</c:v>
                </c:pt>
                <c:pt idx="364">
                  <c:v>296.56265754802331</c:v>
                </c:pt>
                <c:pt idx="365">
                  <c:v>294.00590684629464</c:v>
                </c:pt>
                <c:pt idx="366">
                  <c:v>291.18996393335959</c:v>
                </c:pt>
                <c:pt idx="367">
                  <c:v>288.12550082729501</c:v>
                </c:pt>
                <c:pt idx="368">
                  <c:v>285.98100481999336</c:v>
                </c:pt>
                <c:pt idx="369">
                  <c:v>284.61208203273156</c:v>
                </c:pt>
                <c:pt idx="370">
                  <c:v>282.40224223274919</c:v>
                </c:pt>
                <c:pt idx="371">
                  <c:v>280.49603228527417</c:v>
                </c:pt>
                <c:pt idx="372">
                  <c:v>279.86726416276315</c:v>
                </c:pt>
                <c:pt idx="373">
                  <c:v>279.77523643794609</c:v>
                </c:pt>
                <c:pt idx="374">
                  <c:v>280.28961446698145</c:v>
                </c:pt>
                <c:pt idx="375">
                  <c:v>280.84352464417367</c:v>
                </c:pt>
                <c:pt idx="376">
                  <c:v>281.581359555002</c:v>
                </c:pt>
                <c:pt idx="377">
                  <c:v>282.21240180416009</c:v>
                </c:pt>
                <c:pt idx="378">
                  <c:v>282.75191222228773</c:v>
                </c:pt>
                <c:pt idx="379">
                  <c:v>283.283260868875</c:v>
                </c:pt>
                <c:pt idx="380">
                  <c:v>283.42413074890254</c:v>
                </c:pt>
                <c:pt idx="381">
                  <c:v>283.61196644685816</c:v>
                </c:pt>
                <c:pt idx="382">
                  <c:v>283.79951560317988</c:v>
                </c:pt>
                <c:pt idx="383">
                  <c:v>284.0648467421089</c:v>
                </c:pt>
                <c:pt idx="384">
                  <c:v>283.9461813048726</c:v>
                </c:pt>
                <c:pt idx="385">
                  <c:v>283.87429156811686</c:v>
                </c:pt>
                <c:pt idx="386">
                  <c:v>284.35066491277087</c:v>
                </c:pt>
                <c:pt idx="387">
                  <c:v>285.27406332597462</c:v>
                </c:pt>
                <c:pt idx="388">
                  <c:v>285.86728126231083</c:v>
                </c:pt>
                <c:pt idx="389">
                  <c:v>286.27035690577901</c:v>
                </c:pt>
                <c:pt idx="390">
                  <c:v>287.95777083679013</c:v>
                </c:pt>
                <c:pt idx="391">
                  <c:v>290.17058438846254</c:v>
                </c:pt>
                <c:pt idx="392">
                  <c:v>290.89948925340826</c:v>
                </c:pt>
                <c:pt idx="393">
                  <c:v>291.32904297252918</c:v>
                </c:pt>
                <c:pt idx="394">
                  <c:v>291.03530855654969</c:v>
                </c:pt>
                <c:pt idx="395">
                  <c:v>291.39577067085338</c:v>
                </c:pt>
                <c:pt idx="396">
                  <c:v>291.76218756272925</c:v>
                </c:pt>
                <c:pt idx="397">
                  <c:v>292.23924934828307</c:v>
                </c:pt>
                <c:pt idx="398">
                  <c:v>293.5322218411751</c:v>
                </c:pt>
                <c:pt idx="399">
                  <c:v>293.93142228188123</c:v>
                </c:pt>
                <c:pt idx="400">
                  <c:v>293.53742979765974</c:v>
                </c:pt>
                <c:pt idx="401">
                  <c:v>293.4882401072291</c:v>
                </c:pt>
                <c:pt idx="402">
                  <c:v>293.45411023883173</c:v>
                </c:pt>
                <c:pt idx="403">
                  <c:v>293.57556361629923</c:v>
                </c:pt>
                <c:pt idx="404">
                  <c:v>293.74770426603413</c:v>
                </c:pt>
                <c:pt idx="405">
                  <c:v>293.47325916838429</c:v>
                </c:pt>
                <c:pt idx="406">
                  <c:v>293.7923552490401</c:v>
                </c:pt>
                <c:pt idx="407">
                  <c:v>294.59262937498602</c:v>
                </c:pt>
                <c:pt idx="408">
                  <c:v>294.68469165132279</c:v>
                </c:pt>
                <c:pt idx="409">
                  <c:v>294.87822386041421</c:v>
                </c:pt>
                <c:pt idx="410">
                  <c:v>296.22936298004595</c:v>
                </c:pt>
                <c:pt idx="411">
                  <c:v>296.79853698066825</c:v>
                </c:pt>
                <c:pt idx="412">
                  <c:v>297.54090552604401</c:v>
                </c:pt>
                <c:pt idx="413">
                  <c:v>297.87695903865045</c:v>
                </c:pt>
                <c:pt idx="414">
                  <c:v>298.26297895632763</c:v>
                </c:pt>
                <c:pt idx="415">
                  <c:v>299.38553237122687</c:v>
                </c:pt>
                <c:pt idx="416">
                  <c:v>300.00547584478431</c:v>
                </c:pt>
                <c:pt idx="417">
                  <c:v>300.34313338722455</c:v>
                </c:pt>
                <c:pt idx="418">
                  <c:v>302.20404541403832</c:v>
                </c:pt>
                <c:pt idx="419">
                  <c:v>302.24256975328836</c:v>
                </c:pt>
                <c:pt idx="420">
                  <c:v>302.52896998964405</c:v>
                </c:pt>
                <c:pt idx="421">
                  <c:v>303.29189351054401</c:v>
                </c:pt>
                <c:pt idx="422">
                  <c:v>304.40627144927754</c:v>
                </c:pt>
                <c:pt idx="423">
                  <c:v>305.6914906799604</c:v>
                </c:pt>
                <c:pt idx="424">
                  <c:v>306.48987743103942</c:v>
                </c:pt>
                <c:pt idx="425">
                  <c:v>305.69852132340077</c:v>
                </c:pt>
                <c:pt idx="426">
                  <c:v>304.04106871928468</c:v>
                </c:pt>
                <c:pt idx="427">
                  <c:v>302.98229339814475</c:v>
                </c:pt>
                <c:pt idx="428">
                  <c:v>302.20219893333621</c:v>
                </c:pt>
                <c:pt idx="429">
                  <c:v>300.61042407805229</c:v>
                </c:pt>
                <c:pt idx="430">
                  <c:v>299.51517033904793</c:v>
                </c:pt>
                <c:pt idx="431">
                  <c:v>298.69806962828517</c:v>
                </c:pt>
                <c:pt idx="432">
                  <c:v>298.0104476864164</c:v>
                </c:pt>
                <c:pt idx="433">
                  <c:v>297.56531948551435</c:v>
                </c:pt>
                <c:pt idx="434">
                  <c:v>296.86307501324643</c:v>
                </c:pt>
                <c:pt idx="435">
                  <c:v>296.62667354871667</c:v>
                </c:pt>
                <c:pt idx="436">
                  <c:v>296.26612095102041</c:v>
                </c:pt>
                <c:pt idx="437">
                  <c:v>296.36993323532215</c:v>
                </c:pt>
                <c:pt idx="438">
                  <c:v>296.34840009768482</c:v>
                </c:pt>
                <c:pt idx="439">
                  <c:v>296.74990261286189</c:v>
                </c:pt>
                <c:pt idx="440">
                  <c:v>297.22239271911883</c:v>
                </c:pt>
                <c:pt idx="441">
                  <c:v>296.67951363584541</c:v>
                </c:pt>
                <c:pt idx="442">
                  <c:v>296.6193388810554</c:v>
                </c:pt>
                <c:pt idx="443">
                  <c:v>295.22443553762912</c:v>
                </c:pt>
                <c:pt idx="444">
                  <c:v>294.24846605577056</c:v>
                </c:pt>
                <c:pt idx="445">
                  <c:v>293.85610846410827</c:v>
                </c:pt>
                <c:pt idx="446">
                  <c:v>293.77291352150758</c:v>
                </c:pt>
                <c:pt idx="447">
                  <c:v>293.71909784424088</c:v>
                </c:pt>
                <c:pt idx="448">
                  <c:v>293.69805959118463</c:v>
                </c:pt>
                <c:pt idx="449">
                  <c:v>293.63420791249285</c:v>
                </c:pt>
                <c:pt idx="450">
                  <c:v>293.29699877549768</c:v>
                </c:pt>
                <c:pt idx="451">
                  <c:v>293.06332069262243</c:v>
                </c:pt>
                <c:pt idx="452">
                  <c:v>292.90234666478688</c:v>
                </c:pt>
                <c:pt idx="453">
                  <c:v>292.49994953870197</c:v>
                </c:pt>
                <c:pt idx="454">
                  <c:v>292.48940560778914</c:v>
                </c:pt>
                <c:pt idx="455">
                  <c:v>292.47977764273196</c:v>
                </c:pt>
                <c:pt idx="456">
                  <c:v>292.25651449017454</c:v>
                </c:pt>
                <c:pt idx="457">
                  <c:v>292.26311462780154</c:v>
                </c:pt>
                <c:pt idx="458">
                  <c:v>292.40762245351897</c:v>
                </c:pt>
                <c:pt idx="459">
                  <c:v>292.62946183958906</c:v>
                </c:pt>
                <c:pt idx="460">
                  <c:v>292.33392040301231</c:v>
                </c:pt>
                <c:pt idx="461">
                  <c:v>292.39466559479746</c:v>
                </c:pt>
                <c:pt idx="462">
                  <c:v>292.84664934133167</c:v>
                </c:pt>
                <c:pt idx="463">
                  <c:v>294.21520021617204</c:v>
                </c:pt>
                <c:pt idx="464">
                  <c:v>295.26682024854659</c:v>
                </c:pt>
                <c:pt idx="465">
                  <c:v>295.77094165706262</c:v>
                </c:pt>
                <c:pt idx="466">
                  <c:v>295.60806099456335</c:v>
                </c:pt>
                <c:pt idx="467">
                  <c:v>295.626688233435</c:v>
                </c:pt>
                <c:pt idx="468">
                  <c:v>295.62868980110045</c:v>
                </c:pt>
                <c:pt idx="469">
                  <c:v>295.61826276007196</c:v>
                </c:pt>
                <c:pt idx="470">
                  <c:v>295.6508913212806</c:v>
                </c:pt>
                <c:pt idx="471">
                  <c:v>295.66240594669671</c:v>
                </c:pt>
                <c:pt idx="472">
                  <c:v>295.66545874669123</c:v>
                </c:pt>
                <c:pt idx="473">
                  <c:v>295.81400537444875</c:v>
                </c:pt>
                <c:pt idx="474">
                  <c:v>295.83266277721611</c:v>
                </c:pt>
                <c:pt idx="475">
                  <c:v>295.62095374691711</c:v>
                </c:pt>
                <c:pt idx="476">
                  <c:v>295.91880183414384</c:v>
                </c:pt>
                <c:pt idx="477">
                  <c:v>295.57144453299549</c:v>
                </c:pt>
                <c:pt idx="478">
                  <c:v>295.1783893878295</c:v>
                </c:pt>
                <c:pt idx="479">
                  <c:v>295.03814315575755</c:v>
                </c:pt>
                <c:pt idx="480">
                  <c:v>295.72159785533773</c:v>
                </c:pt>
                <c:pt idx="481">
                  <c:v>296.60502887407921</c:v>
                </c:pt>
                <c:pt idx="482">
                  <c:v>297.41255879206676</c:v>
                </c:pt>
                <c:pt idx="483">
                  <c:v>297.43582000380331</c:v>
                </c:pt>
                <c:pt idx="484">
                  <c:v>298.44012888443405</c:v>
                </c:pt>
                <c:pt idx="485">
                  <c:v>299.43958278781844</c:v>
                </c:pt>
                <c:pt idx="486">
                  <c:v>300.75943459297014</c:v>
                </c:pt>
                <c:pt idx="487">
                  <c:v>300.79313446583558</c:v>
                </c:pt>
                <c:pt idx="488">
                  <c:v>300.86499402391865</c:v>
                </c:pt>
                <c:pt idx="489">
                  <c:v>300.1934406204075</c:v>
                </c:pt>
                <c:pt idx="490">
                  <c:v>299.47890323409956</c:v>
                </c:pt>
                <c:pt idx="491">
                  <c:v>299.78621381981259</c:v>
                </c:pt>
                <c:pt idx="492">
                  <c:v>299.83558824773667</c:v>
                </c:pt>
                <c:pt idx="493">
                  <c:v>300.35937624958564</c:v>
                </c:pt>
                <c:pt idx="494">
                  <c:v>301.18158291637633</c:v>
                </c:pt>
                <c:pt idx="495">
                  <c:v>301.33622203443645</c:v>
                </c:pt>
                <c:pt idx="496">
                  <c:v>302.11917752346443</c:v>
                </c:pt>
                <c:pt idx="497">
                  <c:v>302.26964277030908</c:v>
                </c:pt>
                <c:pt idx="498">
                  <c:v>302.16578821776102</c:v>
                </c:pt>
                <c:pt idx="499">
                  <c:v>301.88042140057951</c:v>
                </c:pt>
                <c:pt idx="500">
                  <c:v>302.70042826202723</c:v>
                </c:pt>
                <c:pt idx="501">
                  <c:v>304.00017752031772</c:v>
                </c:pt>
                <c:pt idx="502">
                  <c:v>303.05302295660482</c:v>
                </c:pt>
                <c:pt idx="503">
                  <c:v>301.18280347114927</c:v>
                </c:pt>
                <c:pt idx="504">
                  <c:v>300.03207878748572</c:v>
                </c:pt>
                <c:pt idx="505">
                  <c:v>299.32488615360029</c:v>
                </c:pt>
                <c:pt idx="506">
                  <c:v>299.19336097409303</c:v>
                </c:pt>
                <c:pt idx="507">
                  <c:v>298.92746525603633</c:v>
                </c:pt>
                <c:pt idx="508">
                  <c:v>298.65467454161688</c:v>
                </c:pt>
                <c:pt idx="509">
                  <c:v>298.65038813842432</c:v>
                </c:pt>
                <c:pt idx="510">
                  <c:v>298.8287295764452</c:v>
                </c:pt>
                <c:pt idx="511">
                  <c:v>298.77607979095694</c:v>
                </c:pt>
                <c:pt idx="512">
                  <c:v>299.15573376249887</c:v>
                </c:pt>
                <c:pt idx="513">
                  <c:v>299.44847270433695</c:v>
                </c:pt>
                <c:pt idx="514">
                  <c:v>299.75933209398136</c:v>
                </c:pt>
                <c:pt idx="515">
                  <c:v>300.45296412456378</c:v>
                </c:pt>
                <c:pt idx="516">
                  <c:v>300.54011817538003</c:v>
                </c:pt>
                <c:pt idx="517">
                  <c:v>300.60197624888548</c:v>
                </c:pt>
                <c:pt idx="518">
                  <c:v>300.16084013268033</c:v>
                </c:pt>
                <c:pt idx="519">
                  <c:v>299.91883755843321</c:v>
                </c:pt>
                <c:pt idx="520">
                  <c:v>299.3992293797661</c:v>
                </c:pt>
                <c:pt idx="521">
                  <c:v>299.28325720020462</c:v>
                </c:pt>
                <c:pt idx="522">
                  <c:v>299.18195744290222</c:v>
                </c:pt>
                <c:pt idx="523">
                  <c:v>300.00331108340271</c:v>
                </c:pt>
                <c:pt idx="524">
                  <c:v>299.81219774871101</c:v>
                </c:pt>
                <c:pt idx="525">
                  <c:v>299.88924213987798</c:v>
                </c:pt>
                <c:pt idx="526">
                  <c:v>299.06662006571503</c:v>
                </c:pt>
                <c:pt idx="527">
                  <c:v>299.08187926063363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EE-4886-B272-2E37A7704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116895"/>
        <c:axId val="1485117375"/>
      </c:lineChart>
      <c:dateAx>
        <c:axId val="1485116895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17375"/>
        <c:crosses val="autoZero"/>
        <c:auto val="1"/>
        <c:lblOffset val="100"/>
        <c:baseTimeUnit val="days"/>
      </c:dateAx>
      <c:valAx>
        <c:axId val="1485117375"/>
        <c:scaling>
          <c:orientation val="minMax"/>
          <c:min val="2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1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Data!$AA$2:$AA$529</c:f>
              <c:numCache>
                <c:formatCode>General</c:formatCode>
                <c:ptCount val="528"/>
                <c:pt idx="35">
                  <c:v>1.1995044339322807</c:v>
                </c:pt>
                <c:pt idx="36">
                  <c:v>1.22233388299076</c:v>
                </c:pt>
                <c:pt idx="37">
                  <c:v>0.96611982822477627</c:v>
                </c:pt>
                <c:pt idx="38">
                  <c:v>0.85192250252928226</c:v>
                </c:pt>
                <c:pt idx="39">
                  <c:v>0.55381455913096</c:v>
                </c:pt>
                <c:pt idx="40">
                  <c:v>0.24159208187670972</c:v>
                </c:pt>
                <c:pt idx="41">
                  <c:v>4.8658557521860574E-2</c:v>
                </c:pt>
                <c:pt idx="42">
                  <c:v>2.9202581998810678E-2</c:v>
                </c:pt>
                <c:pt idx="43">
                  <c:v>4.2212955840540939E-2</c:v>
                </c:pt>
                <c:pt idx="44">
                  <c:v>-6.6242665711228554E-2</c:v>
                </c:pt>
                <c:pt idx="45">
                  <c:v>-3.6948832611823912E-2</c:v>
                </c:pt>
                <c:pt idx="46">
                  <c:v>0.13020093370782018</c:v>
                </c:pt>
                <c:pt idx="47">
                  <c:v>0.19728400162633294</c:v>
                </c:pt>
                <c:pt idx="48">
                  <c:v>-0.50048429597998989</c:v>
                </c:pt>
                <c:pt idx="49">
                  <c:v>-0.98132944914966824</c:v>
                </c:pt>
                <c:pt idx="50">
                  <c:v>-1.3919418212547603</c:v>
                </c:pt>
                <c:pt idx="51">
                  <c:v>-1.6042862932515611</c:v>
                </c:pt>
                <c:pt idx="52">
                  <c:v>-1.3680566759517201</c:v>
                </c:pt>
                <c:pt idx="53">
                  <c:v>-1.0328808477467644</c:v>
                </c:pt>
                <c:pt idx="54">
                  <c:v>-0.81044793738120413</c:v>
                </c:pt>
                <c:pt idx="55">
                  <c:v>-0.66721687637602134</c:v>
                </c:pt>
                <c:pt idx="56">
                  <c:v>-0.7780886212986875</c:v>
                </c:pt>
                <c:pt idx="57">
                  <c:v>-0.78473274884389177</c:v>
                </c:pt>
                <c:pt idx="58">
                  <c:v>-0.50693210724683535</c:v>
                </c:pt>
                <c:pt idx="59">
                  <c:v>-0.28570165627166588</c:v>
                </c:pt>
                <c:pt idx="60">
                  <c:v>-0.21681172070879873</c:v>
                </c:pt>
                <c:pt idx="61">
                  <c:v>-0.29438628323287697</c:v>
                </c:pt>
                <c:pt idx="62">
                  <c:v>-0.44115545715889848</c:v>
                </c:pt>
                <c:pt idx="63">
                  <c:v>-0.83000251525153201</c:v>
                </c:pt>
                <c:pt idx="64">
                  <c:v>-1.217477341536604</c:v>
                </c:pt>
                <c:pt idx="65">
                  <c:v>-1.3085037072104084</c:v>
                </c:pt>
                <c:pt idx="66">
                  <c:v>-1.1415119833440048</c:v>
                </c:pt>
                <c:pt idx="67">
                  <c:v>-0.98806857410327353</c:v>
                </c:pt>
                <c:pt idx="68">
                  <c:v>-0.80296001696618191</c:v>
                </c:pt>
                <c:pt idx="69">
                  <c:v>-0.68118279003008375</c:v>
                </c:pt>
                <c:pt idx="70">
                  <c:v>-0.59946438756071885</c:v>
                </c:pt>
                <c:pt idx="71">
                  <c:v>-0.52279723431666092</c:v>
                </c:pt>
                <c:pt idx="72">
                  <c:v>-0.1126135929295673</c:v>
                </c:pt>
                <c:pt idx="73">
                  <c:v>0.26264224009364323</c:v>
                </c:pt>
                <c:pt idx="74">
                  <c:v>0.59445950058200392</c:v>
                </c:pt>
                <c:pt idx="75">
                  <c:v>1.0449505754546067</c:v>
                </c:pt>
                <c:pt idx="76">
                  <c:v>1.3976845076676909</c:v>
                </c:pt>
                <c:pt idx="77">
                  <c:v>1.5762103961657887</c:v>
                </c:pt>
                <c:pt idx="78">
                  <c:v>1.5675009163374494</c:v>
                </c:pt>
                <c:pt idx="79">
                  <c:v>1.3515278258651042</c:v>
                </c:pt>
                <c:pt idx="80">
                  <c:v>1.2034256421230105</c:v>
                </c:pt>
                <c:pt idx="81">
                  <c:v>1.0409814046709833</c:v>
                </c:pt>
                <c:pt idx="82">
                  <c:v>0.99694439522238287</c:v>
                </c:pt>
                <c:pt idx="83">
                  <c:v>0.86506213112538521</c:v>
                </c:pt>
                <c:pt idx="84">
                  <c:v>0.56755202637840596</c:v>
                </c:pt>
                <c:pt idx="85">
                  <c:v>0.30433827309362727</c:v>
                </c:pt>
                <c:pt idx="86">
                  <c:v>2.5947482098416907E-2</c:v>
                </c:pt>
                <c:pt idx="87">
                  <c:v>-6.9370134331688593E-2</c:v>
                </c:pt>
                <c:pt idx="88">
                  <c:v>-0.14242724177571264</c:v>
                </c:pt>
                <c:pt idx="89">
                  <c:v>0.28699856971846427</c:v>
                </c:pt>
                <c:pt idx="90">
                  <c:v>0.32344206890254656</c:v>
                </c:pt>
                <c:pt idx="91">
                  <c:v>0.30365359444460505</c:v>
                </c:pt>
                <c:pt idx="92">
                  <c:v>0.49593962384202039</c:v>
                </c:pt>
                <c:pt idx="93">
                  <c:v>0.58211048574141921</c:v>
                </c:pt>
                <c:pt idx="94">
                  <c:v>0.54678684878865247</c:v>
                </c:pt>
                <c:pt idx="95">
                  <c:v>0.22021459557781498</c:v>
                </c:pt>
                <c:pt idx="96">
                  <c:v>-0.11210676815763909</c:v>
                </c:pt>
                <c:pt idx="97">
                  <c:v>-0.30910165271404333</c:v>
                </c:pt>
                <c:pt idx="98">
                  <c:v>-0.90419393722094865</c:v>
                </c:pt>
                <c:pt idx="99">
                  <c:v>-1.203731733991068</c:v>
                </c:pt>
                <c:pt idx="100">
                  <c:v>-1.6027097924425258</c:v>
                </c:pt>
                <c:pt idx="101">
                  <c:v>-2.0139200259949694</c:v>
                </c:pt>
                <c:pt idx="102">
                  <c:v>-1.9682233484478093</c:v>
                </c:pt>
                <c:pt idx="103">
                  <c:v>-1.3711270120578902</c:v>
                </c:pt>
                <c:pt idx="104">
                  <c:v>-0.83695302904268898</c:v>
                </c:pt>
                <c:pt idx="105">
                  <c:v>-0.23365698507789112</c:v>
                </c:pt>
                <c:pt idx="106">
                  <c:v>1.8109519821446263E-2</c:v>
                </c:pt>
                <c:pt idx="107">
                  <c:v>0.25711394523245534</c:v>
                </c:pt>
                <c:pt idx="108">
                  <c:v>0.14059976645208483</c:v>
                </c:pt>
                <c:pt idx="109">
                  <c:v>-5.8303904766238812E-2</c:v>
                </c:pt>
                <c:pt idx="110">
                  <c:v>-0.1151312730275813</c:v>
                </c:pt>
                <c:pt idx="111">
                  <c:v>-9.689734429478758E-2</c:v>
                </c:pt>
                <c:pt idx="112">
                  <c:v>-9.4892763352651066E-2</c:v>
                </c:pt>
                <c:pt idx="113">
                  <c:v>-6.0829568714215299E-2</c:v>
                </c:pt>
                <c:pt idx="114">
                  <c:v>-5.1287789566711872E-3</c:v>
                </c:pt>
                <c:pt idx="115">
                  <c:v>-0.10789101080074204</c:v>
                </c:pt>
                <c:pt idx="116">
                  <c:v>6.1333290466916601E-2</c:v>
                </c:pt>
                <c:pt idx="117">
                  <c:v>0.55667224560601003</c:v>
                </c:pt>
                <c:pt idx="118">
                  <c:v>0.93561703915160122</c:v>
                </c:pt>
                <c:pt idx="119">
                  <c:v>0.96497837576519574</c:v>
                </c:pt>
                <c:pt idx="120">
                  <c:v>0.99165996360569331</c:v>
                </c:pt>
                <c:pt idx="121">
                  <c:v>1.0059831072375873</c:v>
                </c:pt>
                <c:pt idx="122">
                  <c:v>0.77530570940363441</c:v>
                </c:pt>
                <c:pt idx="123">
                  <c:v>0.30438928145614064</c:v>
                </c:pt>
                <c:pt idx="124">
                  <c:v>-0.12399505468488181</c:v>
                </c:pt>
                <c:pt idx="125">
                  <c:v>-0.22154597764588146</c:v>
                </c:pt>
                <c:pt idx="126">
                  <c:v>-0.17759398133572946</c:v>
                </c:pt>
                <c:pt idx="127">
                  <c:v>-0.32318044459069339</c:v>
                </c:pt>
                <c:pt idx="128">
                  <c:v>-0.50197809253159242</c:v>
                </c:pt>
                <c:pt idx="129">
                  <c:v>-0.26349654228101116</c:v>
                </c:pt>
                <c:pt idx="130">
                  <c:v>0.20165213136377247</c:v>
                </c:pt>
                <c:pt idx="131">
                  <c:v>0.45153787009844581</c:v>
                </c:pt>
                <c:pt idx="132">
                  <c:v>0.45856043627180521</c:v>
                </c:pt>
                <c:pt idx="133">
                  <c:v>0.82950903797196451</c:v>
                </c:pt>
                <c:pt idx="134">
                  <c:v>1.2789495664933312</c:v>
                </c:pt>
                <c:pt idx="135">
                  <c:v>1.4186218856775838</c:v>
                </c:pt>
                <c:pt idx="136">
                  <c:v>1.3050808879510123</c:v>
                </c:pt>
                <c:pt idx="137">
                  <c:v>1.3229876393054312</c:v>
                </c:pt>
                <c:pt idx="138">
                  <c:v>0.92474234069249517</c:v>
                </c:pt>
                <c:pt idx="139">
                  <c:v>0.59139296409978681</c:v>
                </c:pt>
                <c:pt idx="140">
                  <c:v>0.23635018865370883</c:v>
                </c:pt>
                <c:pt idx="141">
                  <c:v>4.2136926511210038E-2</c:v>
                </c:pt>
                <c:pt idx="142">
                  <c:v>0.52551428376755638</c:v>
                </c:pt>
                <c:pt idx="143">
                  <c:v>1.1262574001897463</c:v>
                </c:pt>
                <c:pt idx="144">
                  <c:v>1.3797691426922165</c:v>
                </c:pt>
                <c:pt idx="145">
                  <c:v>1.6793682537458534</c:v>
                </c:pt>
                <c:pt idx="146">
                  <c:v>2.2812440110526526</c:v>
                </c:pt>
                <c:pt idx="147">
                  <c:v>2.0032603752893943</c:v>
                </c:pt>
                <c:pt idx="148">
                  <c:v>1.8124084321825937</c:v>
                </c:pt>
                <c:pt idx="149">
                  <c:v>1.5352622480268794</c:v>
                </c:pt>
                <c:pt idx="150">
                  <c:v>1.3752401292822105</c:v>
                </c:pt>
                <c:pt idx="151">
                  <c:v>0.96841319364840972</c:v>
                </c:pt>
                <c:pt idx="152">
                  <c:v>0.73425242708903538</c:v>
                </c:pt>
                <c:pt idx="153">
                  <c:v>0.57424469004364687</c:v>
                </c:pt>
                <c:pt idx="154">
                  <c:v>0.46715550884631885</c:v>
                </c:pt>
                <c:pt idx="155">
                  <c:v>0.58157857498096099</c:v>
                </c:pt>
                <c:pt idx="156">
                  <c:v>0.82113567854064051</c:v>
                </c:pt>
                <c:pt idx="157">
                  <c:v>1.4718629501492027</c:v>
                </c:pt>
                <c:pt idx="158">
                  <c:v>1.6421188964387854</c:v>
                </c:pt>
                <c:pt idx="159">
                  <c:v>1.8814628880302831</c:v>
                </c:pt>
                <c:pt idx="160">
                  <c:v>1.8549899856351191</c:v>
                </c:pt>
                <c:pt idx="161">
                  <c:v>1.7107603673952587</c:v>
                </c:pt>
                <c:pt idx="162">
                  <c:v>1.4229943935880716</c:v>
                </c:pt>
                <c:pt idx="163">
                  <c:v>1.1719762835368908</c:v>
                </c:pt>
                <c:pt idx="164">
                  <c:v>0.72792592911092502</c:v>
                </c:pt>
                <c:pt idx="165">
                  <c:v>0.4014855234476169</c:v>
                </c:pt>
                <c:pt idx="166">
                  <c:v>0.16432005730917787</c:v>
                </c:pt>
                <c:pt idx="167">
                  <c:v>-0.25627311473648895</c:v>
                </c:pt>
                <c:pt idx="168">
                  <c:v>-0.40863313134674595</c:v>
                </c:pt>
                <c:pt idx="169">
                  <c:v>-0.54796287728314574</c:v>
                </c:pt>
                <c:pt idx="170">
                  <c:v>-0.56846442613898951</c:v>
                </c:pt>
                <c:pt idx="171">
                  <c:v>-0.49680015334921723</c:v>
                </c:pt>
                <c:pt idx="172">
                  <c:v>-0.48486437552987027</c:v>
                </c:pt>
                <c:pt idx="173">
                  <c:v>-0.57497986752523822</c:v>
                </c:pt>
                <c:pt idx="174">
                  <c:v>-0.52136080229127657</c:v>
                </c:pt>
                <c:pt idx="175">
                  <c:v>-0.24780982699463205</c:v>
                </c:pt>
                <c:pt idx="176">
                  <c:v>-0.10673198523100424</c:v>
                </c:pt>
                <c:pt idx="177">
                  <c:v>-0.25367276477084921</c:v>
                </c:pt>
                <c:pt idx="178">
                  <c:v>-0.49499943642304789</c:v>
                </c:pt>
                <c:pt idx="179">
                  <c:v>-0.55579188003290803</c:v>
                </c:pt>
                <c:pt idx="180">
                  <c:v>-0.42494687453812041</c:v>
                </c:pt>
                <c:pt idx="181">
                  <c:v>-0.22774104795629313</c:v>
                </c:pt>
                <c:pt idx="182">
                  <c:v>-6.3854348814874839E-2</c:v>
                </c:pt>
                <c:pt idx="183">
                  <c:v>6.2470516882822125E-3</c:v>
                </c:pt>
                <c:pt idx="184">
                  <c:v>0.20405321255886211</c:v>
                </c:pt>
                <c:pt idx="185">
                  <c:v>0.27068037442874182</c:v>
                </c:pt>
                <c:pt idx="186">
                  <c:v>0.30075521761457846</c:v>
                </c:pt>
                <c:pt idx="187">
                  <c:v>0.15568621066024502</c:v>
                </c:pt>
                <c:pt idx="188">
                  <c:v>5.5509151650638522E-2</c:v>
                </c:pt>
                <c:pt idx="189">
                  <c:v>-8.0966827266923502E-2</c:v>
                </c:pt>
                <c:pt idx="190">
                  <c:v>-0.19328847828100226</c:v>
                </c:pt>
                <c:pt idx="191">
                  <c:v>-0.48963491191595843</c:v>
                </c:pt>
                <c:pt idx="192">
                  <c:v>-0.63195561867968486</c:v>
                </c:pt>
                <c:pt idx="193">
                  <c:v>-0.61267539834630202</c:v>
                </c:pt>
                <c:pt idx="194">
                  <c:v>-0.60148751924965982</c:v>
                </c:pt>
                <c:pt idx="195">
                  <c:v>-0.54417138383411245</c:v>
                </c:pt>
                <c:pt idx="196">
                  <c:v>-0.21720015837418138</c:v>
                </c:pt>
                <c:pt idx="197">
                  <c:v>0.17917736163843845</c:v>
                </c:pt>
                <c:pt idx="198">
                  <c:v>0.3477050142552347</c:v>
                </c:pt>
                <c:pt idx="199">
                  <c:v>0.50419265648267331</c:v>
                </c:pt>
                <c:pt idx="200">
                  <c:v>0.64888676871635198</c:v>
                </c:pt>
                <c:pt idx="201">
                  <c:v>0.55184852289107766</c:v>
                </c:pt>
                <c:pt idx="202">
                  <c:v>0.40093821476352787</c:v>
                </c:pt>
                <c:pt idx="203">
                  <c:v>-0.79271811789044566</c:v>
                </c:pt>
                <c:pt idx="204">
                  <c:v>-1.3547353462158309</c:v>
                </c:pt>
                <c:pt idx="205">
                  <c:v>-2.2528394456795109</c:v>
                </c:pt>
                <c:pt idx="206">
                  <c:v>-2.4701792279458901</c:v>
                </c:pt>
                <c:pt idx="207">
                  <c:v>-2.6247972291312172</c:v>
                </c:pt>
                <c:pt idx="208">
                  <c:v>-2.8338665099662643</c:v>
                </c:pt>
                <c:pt idx="209">
                  <c:v>-2.7999081940708215</c:v>
                </c:pt>
                <c:pt idx="210">
                  <c:v>-2.4488411464845612</c:v>
                </c:pt>
                <c:pt idx="211">
                  <c:v>-2.260283044158649</c:v>
                </c:pt>
                <c:pt idx="212">
                  <c:v>-1.7424406415614566</c:v>
                </c:pt>
                <c:pt idx="213">
                  <c:v>-1.5385235997472919</c:v>
                </c:pt>
                <c:pt idx="214">
                  <c:v>-1.2845576521264763</c:v>
                </c:pt>
                <c:pt idx="215">
                  <c:v>-0.77667309492458925</c:v>
                </c:pt>
                <c:pt idx="216">
                  <c:v>-0.24617213677896599</c:v>
                </c:pt>
                <c:pt idx="217">
                  <c:v>-7.591240858441739E-2</c:v>
                </c:pt>
                <c:pt idx="218">
                  <c:v>-3.9365272017075403E-2</c:v>
                </c:pt>
                <c:pt idx="219">
                  <c:v>7.1729598871596356E-2</c:v>
                </c:pt>
                <c:pt idx="220">
                  <c:v>-0.23209583722762295</c:v>
                </c:pt>
                <c:pt idx="221">
                  <c:v>-0.49873153783777679</c:v>
                </c:pt>
                <c:pt idx="222">
                  <c:v>-0.65291474862141818</c:v>
                </c:pt>
                <c:pt idx="223">
                  <c:v>-0.691944538780767</c:v>
                </c:pt>
                <c:pt idx="224">
                  <c:v>-0.8223775873237571</c:v>
                </c:pt>
                <c:pt idx="225">
                  <c:v>-0.73016347541486071</c:v>
                </c:pt>
                <c:pt idx="226">
                  <c:v>-0.23991584094003859</c:v>
                </c:pt>
                <c:pt idx="227">
                  <c:v>0.106430799696833</c:v>
                </c:pt>
                <c:pt idx="228">
                  <c:v>0.25547789198106607</c:v>
                </c:pt>
                <c:pt idx="229">
                  <c:v>0.41158837614785315</c:v>
                </c:pt>
                <c:pt idx="230">
                  <c:v>0.27582490762115897</c:v>
                </c:pt>
                <c:pt idx="231">
                  <c:v>0.32290223197830015</c:v>
                </c:pt>
                <c:pt idx="232">
                  <c:v>0.38756482665082492</c:v>
                </c:pt>
                <c:pt idx="233">
                  <c:v>0.70084541524375465</c:v>
                </c:pt>
                <c:pt idx="234">
                  <c:v>0.84114286850968334</c:v>
                </c:pt>
                <c:pt idx="235">
                  <c:v>1.0475409565138805</c:v>
                </c:pt>
                <c:pt idx="236">
                  <c:v>1.0875184805805782</c:v>
                </c:pt>
                <c:pt idx="237">
                  <c:v>0.76653268472264879</c:v>
                </c:pt>
                <c:pt idx="238">
                  <c:v>0.56240438776096713</c:v>
                </c:pt>
                <c:pt idx="239">
                  <c:v>0.40520112473399472</c:v>
                </c:pt>
                <c:pt idx="240">
                  <c:v>0.35747902012731397</c:v>
                </c:pt>
                <c:pt idx="241">
                  <c:v>0.20520409033871326</c:v>
                </c:pt>
                <c:pt idx="242">
                  <c:v>-0.23291678276674288</c:v>
                </c:pt>
                <c:pt idx="243">
                  <c:v>-0.53633210042582358</c:v>
                </c:pt>
                <c:pt idx="244">
                  <c:v>-0.54035388610925539</c:v>
                </c:pt>
                <c:pt idx="245">
                  <c:v>-0.60033903076669937</c:v>
                </c:pt>
                <c:pt idx="246">
                  <c:v>-0.42987386513351145</c:v>
                </c:pt>
                <c:pt idx="247">
                  <c:v>-0.24353859035954539</c:v>
                </c:pt>
                <c:pt idx="248">
                  <c:v>-0.18346631892636378</c:v>
                </c:pt>
                <c:pt idx="249">
                  <c:v>-0.38650634798940475</c:v>
                </c:pt>
                <c:pt idx="250">
                  <c:v>-0.46788131863656424</c:v>
                </c:pt>
                <c:pt idx="251">
                  <c:v>-0.31897162442242544</c:v>
                </c:pt>
                <c:pt idx="252">
                  <c:v>-5.5139237343650782E-2</c:v>
                </c:pt>
                <c:pt idx="253">
                  <c:v>-4.3772411809491762E-2</c:v>
                </c:pt>
                <c:pt idx="254">
                  <c:v>-0.20645845009354935</c:v>
                </c:pt>
                <c:pt idx="255">
                  <c:v>-0.44371155440473986</c:v>
                </c:pt>
                <c:pt idx="256">
                  <c:v>-0.85146132014925535</c:v>
                </c:pt>
                <c:pt idx="257">
                  <c:v>-0.96559712797219399</c:v>
                </c:pt>
                <c:pt idx="258">
                  <c:v>-1.1025829434616115</c:v>
                </c:pt>
                <c:pt idx="259">
                  <c:v>-1.067421739939185</c:v>
                </c:pt>
                <c:pt idx="260">
                  <c:v>-1.1330943955912689</c:v>
                </c:pt>
                <c:pt idx="261">
                  <c:v>-1.0153499476477328</c:v>
                </c:pt>
                <c:pt idx="262">
                  <c:v>-0.75778343444207907</c:v>
                </c:pt>
                <c:pt idx="263">
                  <c:v>-0.61070165838102941</c:v>
                </c:pt>
                <c:pt idx="264">
                  <c:v>-0.26221927127905698</c:v>
                </c:pt>
                <c:pt idx="265">
                  <c:v>6.4000534407916199E-2</c:v>
                </c:pt>
                <c:pt idx="266">
                  <c:v>0.7802163151277961</c:v>
                </c:pt>
                <c:pt idx="267">
                  <c:v>1.0908154892661464</c:v>
                </c:pt>
                <c:pt idx="268">
                  <c:v>1.1858496188361509</c:v>
                </c:pt>
                <c:pt idx="269">
                  <c:v>1.2178591971690991</c:v>
                </c:pt>
                <c:pt idx="270">
                  <c:v>1.0891261405413344</c:v>
                </c:pt>
                <c:pt idx="271">
                  <c:v>1.053447236728922</c:v>
                </c:pt>
                <c:pt idx="272">
                  <c:v>0.97153940887124657</c:v>
                </c:pt>
                <c:pt idx="273">
                  <c:v>0.82061593775301445</c:v>
                </c:pt>
                <c:pt idx="274">
                  <c:v>1.0453763914240848</c:v>
                </c:pt>
                <c:pt idx="275">
                  <c:v>1.1347025715708126</c:v>
                </c:pt>
                <c:pt idx="276">
                  <c:v>2.0368068031496929</c:v>
                </c:pt>
                <c:pt idx="277">
                  <c:v>2.6095406871830438</c:v>
                </c:pt>
                <c:pt idx="278">
                  <c:v>2.659062569860283</c:v>
                </c:pt>
                <c:pt idx="279">
                  <c:v>2.692991595000513</c:v>
                </c:pt>
                <c:pt idx="280">
                  <c:v>2.4609801187256202</c:v>
                </c:pt>
                <c:pt idx="281">
                  <c:v>1.9252458981690364</c:v>
                </c:pt>
                <c:pt idx="282">
                  <c:v>1.2758088548139979</c:v>
                </c:pt>
                <c:pt idx="283">
                  <c:v>0.8415124766960691</c:v>
                </c:pt>
                <c:pt idx="284">
                  <c:v>0.60439213768975275</c:v>
                </c:pt>
                <c:pt idx="285">
                  <c:v>0.56572829193730367</c:v>
                </c:pt>
                <c:pt idx="286">
                  <c:v>0.67707943377507629</c:v>
                </c:pt>
                <c:pt idx="287">
                  <c:v>0.26242707906867402</c:v>
                </c:pt>
                <c:pt idx="288">
                  <c:v>0.31333282243525762</c:v>
                </c:pt>
                <c:pt idx="289">
                  <c:v>0.18678970437790721</c:v>
                </c:pt>
                <c:pt idx="290">
                  <c:v>-0.19920580087188711</c:v>
                </c:pt>
                <c:pt idx="291">
                  <c:v>-0.37485897918441591</c:v>
                </c:pt>
                <c:pt idx="292">
                  <c:v>-0.39584771991717904</c:v>
                </c:pt>
                <c:pt idx="293">
                  <c:v>-0.23875940289226039</c:v>
                </c:pt>
                <c:pt idx="294">
                  <c:v>0.53279482637129494</c:v>
                </c:pt>
                <c:pt idx="295">
                  <c:v>0.69311163971729606</c:v>
                </c:pt>
                <c:pt idx="296">
                  <c:v>4.8708936883254061E-2</c:v>
                </c:pt>
                <c:pt idx="297">
                  <c:v>-0.86665744394781896</c:v>
                </c:pt>
                <c:pt idx="298">
                  <c:v>-1.5534538583883233</c:v>
                </c:pt>
                <c:pt idx="299">
                  <c:v>-1.7874946895856856</c:v>
                </c:pt>
                <c:pt idx="300">
                  <c:v>-1.6059042519534161</c:v>
                </c:pt>
                <c:pt idx="301">
                  <c:v>-1.4574809411256506</c:v>
                </c:pt>
                <c:pt idx="302">
                  <c:v>-1.0988176646661927</c:v>
                </c:pt>
                <c:pt idx="303">
                  <c:v>-0.83144657543240896</c:v>
                </c:pt>
                <c:pt idx="304">
                  <c:v>-0.73807762856656622</c:v>
                </c:pt>
                <c:pt idx="305">
                  <c:v>-0.64274856158801441</c:v>
                </c:pt>
                <c:pt idx="306">
                  <c:v>-0.48462926543098206</c:v>
                </c:pt>
                <c:pt idx="307">
                  <c:v>5.0914984521818862E-2</c:v>
                </c:pt>
                <c:pt idx="308">
                  <c:v>0.31300836167790269</c:v>
                </c:pt>
                <c:pt idx="309">
                  <c:v>8.8674055516845041E-2</c:v>
                </c:pt>
                <c:pt idx="310">
                  <c:v>0.26535035237339843</c:v>
                </c:pt>
                <c:pt idx="311">
                  <c:v>0.42695886723514209</c:v>
                </c:pt>
                <c:pt idx="312">
                  <c:v>0.35844180999978237</c:v>
                </c:pt>
                <c:pt idx="313">
                  <c:v>0.7062277001824615</c:v>
                </c:pt>
                <c:pt idx="314">
                  <c:v>-0.29076588002667858</c:v>
                </c:pt>
                <c:pt idx="315">
                  <c:v>-0.93282552549597653</c:v>
                </c:pt>
                <c:pt idx="316">
                  <c:v>-1.30642470503996</c:v>
                </c:pt>
                <c:pt idx="317">
                  <c:v>-1.2217997615890577</c:v>
                </c:pt>
                <c:pt idx="318">
                  <c:v>-0.93522140529293285</c:v>
                </c:pt>
                <c:pt idx="319">
                  <c:v>-0.51580861539480138</c:v>
                </c:pt>
                <c:pt idx="320">
                  <c:v>0.16069541937695409</c:v>
                </c:pt>
                <c:pt idx="321">
                  <c:v>0.33964915015130037</c:v>
                </c:pt>
                <c:pt idx="322">
                  <c:v>0.2099945195415539</c:v>
                </c:pt>
                <c:pt idx="323">
                  <c:v>0.24933080084950987</c:v>
                </c:pt>
                <c:pt idx="324">
                  <c:v>8.690853060510606E-2</c:v>
                </c:pt>
                <c:pt idx="325">
                  <c:v>0.63214484043618757</c:v>
                </c:pt>
                <c:pt idx="326">
                  <c:v>0.89146326890932315</c:v>
                </c:pt>
                <c:pt idx="327">
                  <c:v>0.85001086092156863</c:v>
                </c:pt>
                <c:pt idx="328">
                  <c:v>0.79768988198463608</c:v>
                </c:pt>
                <c:pt idx="329">
                  <c:v>0.71076340019317108</c:v>
                </c:pt>
                <c:pt idx="330">
                  <c:v>0.45319767599939809</c:v>
                </c:pt>
                <c:pt idx="331">
                  <c:v>0.57722744427243811</c:v>
                </c:pt>
                <c:pt idx="332">
                  <c:v>0.2204112827763991</c:v>
                </c:pt>
                <c:pt idx="333">
                  <c:v>-0.14325677673638015</c:v>
                </c:pt>
                <c:pt idx="334">
                  <c:v>-0.14466079022998946</c:v>
                </c:pt>
                <c:pt idx="335">
                  <c:v>-9.0270921658939685E-2</c:v>
                </c:pt>
                <c:pt idx="336">
                  <c:v>1.3674779418808125E-2</c:v>
                </c:pt>
                <c:pt idx="337">
                  <c:v>-0.2384286863750269</c:v>
                </c:pt>
                <c:pt idx="338">
                  <c:v>-0.39169844844242085</c:v>
                </c:pt>
                <c:pt idx="339">
                  <c:v>-0.59853818999518626</c:v>
                </c:pt>
                <c:pt idx="340">
                  <c:v>-0.92055945203302736</c:v>
                </c:pt>
                <c:pt idx="341">
                  <c:v>-1.1656071976137659</c:v>
                </c:pt>
                <c:pt idx="342">
                  <c:v>-0.82551665858671819</c:v>
                </c:pt>
                <c:pt idx="343">
                  <c:v>-0.31649970923923298</c:v>
                </c:pt>
                <c:pt idx="344">
                  <c:v>0.17607022634728509</c:v>
                </c:pt>
                <c:pt idx="345">
                  <c:v>0.37364732426057667</c:v>
                </c:pt>
                <c:pt idx="346">
                  <c:v>0.25195159952683266</c:v>
                </c:pt>
                <c:pt idx="347">
                  <c:v>1.4442823719411191E-2</c:v>
                </c:pt>
                <c:pt idx="348">
                  <c:v>-0.13071342792938667</c:v>
                </c:pt>
                <c:pt idx="349">
                  <c:v>-0.20241953402956514</c:v>
                </c:pt>
                <c:pt idx="350">
                  <c:v>-0.38277418713783429</c:v>
                </c:pt>
                <c:pt idx="351">
                  <c:v>-0.54878677578698842</c:v>
                </c:pt>
                <c:pt idx="352">
                  <c:v>-0.50631812445680735</c:v>
                </c:pt>
                <c:pt idx="353">
                  <c:v>-0.53591356397973555</c:v>
                </c:pt>
                <c:pt idx="354">
                  <c:v>-0.55174493811598702</c:v>
                </c:pt>
                <c:pt idx="355">
                  <c:v>-0.5906851794326593</c:v>
                </c:pt>
                <c:pt idx="356">
                  <c:v>-0.75367927315940464</c:v>
                </c:pt>
                <c:pt idx="357">
                  <c:v>-0.92226257710583337</c:v>
                </c:pt>
                <c:pt idx="358">
                  <c:v>-1.1446746086705559</c:v>
                </c:pt>
                <c:pt idx="359">
                  <c:v>-1.4995145576378719</c:v>
                </c:pt>
                <c:pt idx="360">
                  <c:v>-1.5554071422788911</c:v>
                </c:pt>
                <c:pt idx="361">
                  <c:v>-1.4078775918115607</c:v>
                </c:pt>
                <c:pt idx="362">
                  <c:v>-1.3090414086699793</c:v>
                </c:pt>
                <c:pt idx="363">
                  <c:v>-1.5218060615811586</c:v>
                </c:pt>
                <c:pt idx="364">
                  <c:v>-1.8105931346313233</c:v>
                </c:pt>
                <c:pt idx="365">
                  <c:v>-2.0448012212961464</c:v>
                </c:pt>
                <c:pt idx="366">
                  <c:v>-2.1953151576007648</c:v>
                </c:pt>
                <c:pt idx="367">
                  <c:v>-2.0105287473716125</c:v>
                </c:pt>
                <c:pt idx="368">
                  <c:v>-1.6277069260680967</c:v>
                </c:pt>
                <c:pt idx="369">
                  <c:v>-1.6393636390517461</c:v>
                </c:pt>
                <c:pt idx="370">
                  <c:v>-1.5110183666023271</c:v>
                </c:pt>
                <c:pt idx="371">
                  <c:v>-0.92551156003481605</c:v>
                </c:pt>
                <c:pt idx="372">
                  <c:v>-0.42028218505366333</c:v>
                </c:pt>
                <c:pt idx="373">
                  <c:v>0.30904682041006204</c:v>
                </c:pt>
                <c:pt idx="374">
                  <c:v>0.6178716308576</c:v>
                </c:pt>
                <c:pt idx="375">
                  <c:v>0.79295400050598985</c:v>
                </c:pt>
                <c:pt idx="376">
                  <c:v>0.87322378959103464</c:v>
                </c:pt>
                <c:pt idx="377">
                  <c:v>0.80426762176791478</c:v>
                </c:pt>
                <c:pt idx="378">
                  <c:v>0.84841592366188578</c:v>
                </c:pt>
                <c:pt idx="379">
                  <c:v>1.2157548860800915</c:v>
                </c:pt>
                <c:pt idx="380">
                  <c:v>1.5179380208571618</c:v>
                </c:pt>
                <c:pt idx="381">
                  <c:v>1.7887000668091702</c:v>
                </c:pt>
                <c:pt idx="382">
                  <c:v>1.7515486619334864</c:v>
                </c:pt>
                <c:pt idx="383">
                  <c:v>1.6176376779640034</c:v>
                </c:pt>
                <c:pt idx="384">
                  <c:v>1.5661732596984099</c:v>
                </c:pt>
                <c:pt idx="385">
                  <c:v>1.2611027193334796</c:v>
                </c:pt>
                <c:pt idx="386">
                  <c:v>0.93591556616354454</c:v>
                </c:pt>
                <c:pt idx="387">
                  <c:v>0.91680549660695787</c:v>
                </c:pt>
                <c:pt idx="388">
                  <c:v>0.80254767570412722</c:v>
                </c:pt>
                <c:pt idx="389">
                  <c:v>0.46752575357020976</c:v>
                </c:pt>
                <c:pt idx="390">
                  <c:v>0.49755876161738888</c:v>
                </c:pt>
                <c:pt idx="391">
                  <c:v>0.54692347987108125</c:v>
                </c:pt>
                <c:pt idx="392">
                  <c:v>0.77687830252836976</c:v>
                </c:pt>
                <c:pt idx="393">
                  <c:v>0.9460158932479853</c:v>
                </c:pt>
                <c:pt idx="394">
                  <c:v>0.78010865373935045</c:v>
                </c:pt>
                <c:pt idx="395">
                  <c:v>0.81700125364302745</c:v>
                </c:pt>
                <c:pt idx="396">
                  <c:v>0.88275863938598575</c:v>
                </c:pt>
                <c:pt idx="397">
                  <c:v>0.52718870340662738</c:v>
                </c:pt>
                <c:pt idx="398">
                  <c:v>0.84076043432291203</c:v>
                </c:pt>
                <c:pt idx="399">
                  <c:v>1.0039983718509879</c:v>
                </c:pt>
                <c:pt idx="400">
                  <c:v>0.88921861338641661</c:v>
                </c:pt>
                <c:pt idx="401">
                  <c:v>0.69160318411470434</c:v>
                </c:pt>
                <c:pt idx="402">
                  <c:v>0.34682819294472989</c:v>
                </c:pt>
                <c:pt idx="403">
                  <c:v>0.31957825495288916</c:v>
                </c:pt>
                <c:pt idx="404">
                  <c:v>0.5207649208194669</c:v>
                </c:pt>
                <c:pt idx="405">
                  <c:v>0.60450886947876947</c:v>
                </c:pt>
                <c:pt idx="406">
                  <c:v>0.5954724946722354</c:v>
                </c:pt>
                <c:pt idx="407">
                  <c:v>0.68439116299452873</c:v>
                </c:pt>
                <c:pt idx="408">
                  <c:v>0.82337961211683197</c:v>
                </c:pt>
                <c:pt idx="409">
                  <c:v>0.85631467269915396</c:v>
                </c:pt>
                <c:pt idx="410">
                  <c:v>0.8644098405986691</c:v>
                </c:pt>
                <c:pt idx="411">
                  <c:v>0.76009117558641082</c:v>
                </c:pt>
                <c:pt idx="412">
                  <c:v>0.5973461494776986</c:v>
                </c:pt>
                <c:pt idx="413">
                  <c:v>0.34069466217129918</c:v>
                </c:pt>
                <c:pt idx="414">
                  <c:v>0.18464263404780246</c:v>
                </c:pt>
                <c:pt idx="415">
                  <c:v>0.13322742709374147</c:v>
                </c:pt>
                <c:pt idx="416">
                  <c:v>0.20722406778513491</c:v>
                </c:pt>
                <c:pt idx="417">
                  <c:v>0.25400500773311085</c:v>
                </c:pt>
                <c:pt idx="418">
                  <c:v>0.27878188082987476</c:v>
                </c:pt>
                <c:pt idx="419">
                  <c:v>8.2978085331404383E-2</c:v>
                </c:pt>
                <c:pt idx="420">
                  <c:v>-0.1752739714834437</c:v>
                </c:pt>
                <c:pt idx="421">
                  <c:v>-0.37576694130973065</c:v>
                </c:pt>
                <c:pt idx="422">
                  <c:v>-0.93074229479602444</c:v>
                </c:pt>
                <c:pt idx="423">
                  <c:v>-1.0978600530265497</c:v>
                </c:pt>
                <c:pt idx="424">
                  <c:v>-1.362886854703969</c:v>
                </c:pt>
                <c:pt idx="425">
                  <c:v>-1.6914270094403119</c:v>
                </c:pt>
                <c:pt idx="426">
                  <c:v>-1.7483280109524069</c:v>
                </c:pt>
                <c:pt idx="427">
                  <c:v>-1.5986470906811754</c:v>
                </c:pt>
                <c:pt idx="428">
                  <c:v>-1.6753228327123275</c:v>
                </c:pt>
                <c:pt idx="429">
                  <c:v>-1.5624811211450966</c:v>
                </c:pt>
                <c:pt idx="430">
                  <c:v>-1.3734128078806058</c:v>
                </c:pt>
                <c:pt idx="431">
                  <c:v>-1.169513367392182</c:v>
                </c:pt>
                <c:pt idx="432">
                  <c:v>-0.90435264776354907</c:v>
                </c:pt>
                <c:pt idx="433">
                  <c:v>-0.81493549996428394</c:v>
                </c:pt>
                <c:pt idx="434">
                  <c:v>-0.52132722088871786</c:v>
                </c:pt>
                <c:pt idx="435">
                  <c:v>-0.44515279274613384</c:v>
                </c:pt>
                <c:pt idx="436">
                  <c:v>-0.30721464508466578</c:v>
                </c:pt>
                <c:pt idx="437">
                  <c:v>-0.40959636040541558</c:v>
                </c:pt>
                <c:pt idx="438">
                  <c:v>-0.48208311619867983</c:v>
                </c:pt>
                <c:pt idx="439">
                  <c:v>-0.41989091502450693</c:v>
                </c:pt>
                <c:pt idx="440">
                  <c:v>-0.66104644386947231</c:v>
                </c:pt>
                <c:pt idx="441">
                  <c:v>-0.74505781806594085</c:v>
                </c:pt>
                <c:pt idx="442">
                  <c:v>-0.86487098838113896</c:v>
                </c:pt>
                <c:pt idx="443">
                  <c:v>-0.91399451773226881</c:v>
                </c:pt>
                <c:pt idx="444">
                  <c:v>-0.67228388877471623</c:v>
                </c:pt>
                <c:pt idx="445">
                  <c:v>-0.26580440977123931</c:v>
                </c:pt>
                <c:pt idx="446">
                  <c:v>0.30940033454349614</c:v>
                </c:pt>
                <c:pt idx="447">
                  <c:v>0.71954602132390111</c:v>
                </c:pt>
                <c:pt idx="448">
                  <c:v>0.96416660807191845</c:v>
                </c:pt>
                <c:pt idx="449">
                  <c:v>1.2610496618006761</c:v>
                </c:pt>
                <c:pt idx="450">
                  <c:v>1.3756941252665624</c:v>
                </c:pt>
                <c:pt idx="451">
                  <c:v>1.3688841634166464</c:v>
                </c:pt>
                <c:pt idx="452">
                  <c:v>1.4695335246375816</c:v>
                </c:pt>
                <c:pt idx="453">
                  <c:v>1.2606828175091649</c:v>
                </c:pt>
                <c:pt idx="454">
                  <c:v>0.9910010326608597</c:v>
                </c:pt>
                <c:pt idx="455">
                  <c:v>1.0390471877460741</c:v>
                </c:pt>
                <c:pt idx="456">
                  <c:v>0.78293624819212604</c:v>
                </c:pt>
                <c:pt idx="457">
                  <c:v>0.31910887407588867</c:v>
                </c:pt>
                <c:pt idx="458">
                  <c:v>1.2243098195319879E-2</c:v>
                </c:pt>
                <c:pt idx="459">
                  <c:v>-0.44055975059258706</c:v>
                </c:pt>
                <c:pt idx="460">
                  <c:v>-0.8362860632592084</c:v>
                </c:pt>
                <c:pt idx="461">
                  <c:v>-0.86088066381658979</c:v>
                </c:pt>
                <c:pt idx="462">
                  <c:v>-0.41858574344713789</c:v>
                </c:pt>
                <c:pt idx="463">
                  <c:v>-0.58146365309508996</c:v>
                </c:pt>
                <c:pt idx="464">
                  <c:v>-0.57070024691354715</c:v>
                </c:pt>
                <c:pt idx="465">
                  <c:v>-0.5658752937055519</c:v>
                </c:pt>
                <c:pt idx="466">
                  <c:v>-3.4687202486821445E-2</c:v>
                </c:pt>
                <c:pt idx="467">
                  <c:v>0.31235780966042093</c:v>
                </c:pt>
                <c:pt idx="468">
                  <c:v>0.55890426948019045</c:v>
                </c:pt>
                <c:pt idx="469">
                  <c:v>0.6523189350311861</c:v>
                </c:pt>
                <c:pt idx="470">
                  <c:v>0.54253793182642496</c:v>
                </c:pt>
                <c:pt idx="471">
                  <c:v>0.42606431604973077</c:v>
                </c:pt>
                <c:pt idx="472">
                  <c:v>0.21225135073344614</c:v>
                </c:pt>
                <c:pt idx="473">
                  <c:v>0.15683639277478401</c:v>
                </c:pt>
                <c:pt idx="474">
                  <c:v>0.44384231154231663</c:v>
                </c:pt>
                <c:pt idx="475">
                  <c:v>0.31421179192011917</c:v>
                </c:pt>
                <c:pt idx="476">
                  <c:v>0.56769755629157148</c:v>
                </c:pt>
                <c:pt idx="477">
                  <c:v>0.81698755533300982</c:v>
                </c:pt>
                <c:pt idx="478">
                  <c:v>0.88725876691214212</c:v>
                </c:pt>
                <c:pt idx="479">
                  <c:v>0.35013701396626562</c:v>
                </c:pt>
                <c:pt idx="480">
                  <c:v>-0.19571272061058032</c:v>
                </c:pt>
                <c:pt idx="481">
                  <c:v>-9.0006759079512388E-2</c:v>
                </c:pt>
                <c:pt idx="482">
                  <c:v>2.5628743359915829E-2</c:v>
                </c:pt>
                <c:pt idx="483">
                  <c:v>0.26006852716765161</c:v>
                </c:pt>
                <c:pt idx="484">
                  <c:v>0.29252311170828671</c:v>
                </c:pt>
                <c:pt idx="485">
                  <c:v>0.3517243438736688</c:v>
                </c:pt>
                <c:pt idx="486">
                  <c:v>0.34337452284970493</c:v>
                </c:pt>
                <c:pt idx="487">
                  <c:v>0.25660221005044059</c:v>
                </c:pt>
                <c:pt idx="488">
                  <c:v>0.62433240607432072</c:v>
                </c:pt>
                <c:pt idx="489">
                  <c:v>0.93714764599959954</c:v>
                </c:pt>
                <c:pt idx="490">
                  <c:v>0.7987867922692411</c:v>
                </c:pt>
                <c:pt idx="491">
                  <c:v>0.92041474101914744</c:v>
                </c:pt>
                <c:pt idx="492">
                  <c:v>0.99039383078292342</c:v>
                </c:pt>
                <c:pt idx="493">
                  <c:v>0.71766443253177581</c:v>
                </c:pt>
                <c:pt idx="494">
                  <c:v>0.51018922806562061</c:v>
                </c:pt>
                <c:pt idx="495">
                  <c:v>-1.4262286906506549E-2</c:v>
                </c:pt>
                <c:pt idx="496">
                  <c:v>-0.20761827654041998</c:v>
                </c:pt>
                <c:pt idx="497">
                  <c:v>-0.51086355277016438</c:v>
                </c:pt>
                <c:pt idx="498">
                  <c:v>-0.83401549317714263</c:v>
                </c:pt>
                <c:pt idx="499">
                  <c:v>-1.0455043510227213</c:v>
                </c:pt>
                <c:pt idx="500">
                  <c:v>-1.2947890019490444</c:v>
                </c:pt>
                <c:pt idx="501">
                  <c:v>-1.5498297944683739</c:v>
                </c:pt>
                <c:pt idx="502">
                  <c:v>-1.8573085833766818</c:v>
                </c:pt>
                <c:pt idx="503">
                  <c:v>-1.7746133056838205</c:v>
                </c:pt>
                <c:pt idx="504">
                  <c:v>-1.5446576513889274</c:v>
                </c:pt>
                <c:pt idx="505">
                  <c:v>-1.0184232935769924</c:v>
                </c:pt>
                <c:pt idx="506">
                  <c:v>-0.73252699495343876</c:v>
                </c:pt>
                <c:pt idx="507">
                  <c:v>-0.54740802772629993</c:v>
                </c:pt>
                <c:pt idx="508">
                  <c:v>-0.22586534392366509</c:v>
                </c:pt>
                <c:pt idx="509">
                  <c:v>-9.0426578811144243E-2</c:v>
                </c:pt>
                <c:pt idx="510">
                  <c:v>3.6343826965608339E-2</c:v>
                </c:pt>
                <c:pt idx="511">
                  <c:v>4.3739048748786757E-2</c:v>
                </c:pt>
                <c:pt idx="512">
                  <c:v>-0.24115519897902971</c:v>
                </c:pt>
                <c:pt idx="513">
                  <c:v>-0.21896313609446449</c:v>
                </c:pt>
                <c:pt idx="514">
                  <c:v>-0.16514194247909475</c:v>
                </c:pt>
                <c:pt idx="515">
                  <c:v>8.9853645302196972E-2</c:v>
                </c:pt>
                <c:pt idx="516">
                  <c:v>0.48800183987860768</c:v>
                </c:pt>
                <c:pt idx="517">
                  <c:v>0.79307096107271602</c:v>
                </c:pt>
                <c:pt idx="518">
                  <c:v>0.86181778955192478</c:v>
                </c:pt>
                <c:pt idx="519">
                  <c:v>1.0346976656865907</c:v>
                </c:pt>
                <c:pt idx="520">
                  <c:v>1.0559323071510995</c:v>
                </c:pt>
                <c:pt idx="521">
                  <c:v>1.2364221768887802</c:v>
                </c:pt>
                <c:pt idx="522">
                  <c:v>1.3398009323114479</c:v>
                </c:pt>
                <c:pt idx="523">
                  <c:v>1.5944205566943763</c:v>
                </c:pt>
                <c:pt idx="524">
                  <c:v>1.644779365229069</c:v>
                </c:pt>
                <c:pt idx="525">
                  <c:v>1.8089734869950114</c:v>
                </c:pt>
                <c:pt idx="526">
                  <c:v>1.6973824756577955</c:v>
                </c:pt>
                <c:pt idx="527">
                  <c:v>1.3579059805262363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1-46AD-ABED-05E2D8744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271178895"/>
        <c:axId val="271195215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Data!$Y$2:$Y$529</c:f>
              <c:numCache>
                <c:formatCode>General</c:formatCode>
                <c:ptCount val="528"/>
                <c:pt idx="25">
                  <c:v>-1.694346964921408</c:v>
                </c:pt>
                <c:pt idx="26">
                  <c:v>-1.7569903495277117</c:v>
                </c:pt>
                <c:pt idx="27">
                  <c:v>-1.7884404047089788</c:v>
                </c:pt>
                <c:pt idx="28">
                  <c:v>-1.9785686199682573</c:v>
                </c:pt>
                <c:pt idx="29">
                  <c:v>-2.0204232772800879</c:v>
                </c:pt>
                <c:pt idx="30">
                  <c:v>-1.7358316466578572</c:v>
                </c:pt>
                <c:pt idx="31">
                  <c:v>-1.4803159058951678</c:v>
                </c:pt>
                <c:pt idx="32">
                  <c:v>-1.2129994035209961</c:v>
                </c:pt>
                <c:pt idx="33">
                  <c:v>-0.88922722184867098</c:v>
                </c:pt>
                <c:pt idx="34">
                  <c:v>-0.46508403424957123</c:v>
                </c:pt>
                <c:pt idx="35">
                  <c:v>1.8504890897872883E-2</c:v>
                </c:pt>
                <c:pt idx="36">
                  <c:v>0.34691781070404204</c:v>
                </c:pt>
                <c:pt idx="37">
                  <c:v>0.33223371299425253</c:v>
                </c:pt>
                <c:pt idx="38">
                  <c:v>0.43101701293107908</c:v>
                </c:pt>
                <c:pt idx="39">
                  <c:v>0.27136270931549689</c:v>
                </c:pt>
                <c:pt idx="40">
                  <c:v>1.9538252530423961E-2</c:v>
                </c:pt>
                <c:pt idx="41">
                  <c:v>-0.16123063244396008</c:v>
                </c:pt>
                <c:pt idx="42">
                  <c:v>-0.17338596246730731</c:v>
                </c:pt>
                <c:pt idx="43">
                  <c:v>-0.14982234966544183</c:v>
                </c:pt>
                <c:pt idx="44">
                  <c:v>-0.27483863764501848</c:v>
                </c:pt>
                <c:pt idx="45">
                  <c:v>-0.25478201269856982</c:v>
                </c:pt>
                <c:pt idx="46">
                  <c:v>-5.5082012951970682E-2</c:v>
                </c:pt>
                <c:pt idx="47">
                  <c:v>6.1322055373125295E-2</c:v>
                </c:pt>
                <c:pt idx="48">
                  <c:v>-0.76156731622819507</c:v>
                </c:pt>
                <c:pt idx="49">
                  <c:v>-1.4877448316852906</c:v>
                </c:pt>
                <c:pt idx="50">
                  <c:v>-2.2463426591040729</c:v>
                </c:pt>
                <c:pt idx="51">
                  <c:v>-2.859758704413764</c:v>
                </c:pt>
                <c:pt idx="52">
                  <c:v>-2.9655432561018529</c:v>
                </c:pt>
                <c:pt idx="53">
                  <c:v>-2.8885876398335881</c:v>
                </c:pt>
                <c:pt idx="54">
                  <c:v>-2.8687667138133293</c:v>
                </c:pt>
                <c:pt idx="55">
                  <c:v>-2.892339871902152</c:v>
                </c:pt>
                <c:pt idx="56">
                  <c:v>-3.1977337721494905</c:v>
                </c:pt>
                <c:pt idx="57">
                  <c:v>-3.4005610869056682</c:v>
                </c:pt>
                <c:pt idx="58">
                  <c:v>-3.2494934721203208</c:v>
                </c:pt>
                <c:pt idx="59">
                  <c:v>-3.0996884352130678</c:v>
                </c:pt>
                <c:pt idx="60">
                  <c:v>-3.0850014298274004</c:v>
                </c:pt>
                <c:pt idx="61">
                  <c:v>-3.2361725631596983</c:v>
                </c:pt>
                <c:pt idx="62">
                  <c:v>-3.4932306013754442</c:v>
                </c:pt>
                <c:pt idx="63">
                  <c:v>-4.0895782882809613</c:v>
                </c:pt>
                <c:pt idx="64">
                  <c:v>-4.7814224499501847</c:v>
                </c:pt>
                <c:pt idx="65">
                  <c:v>-5.1995747424265915</c:v>
                </c:pt>
                <c:pt idx="66">
                  <c:v>-5.3179610143961895</c:v>
                </c:pt>
                <c:pt idx="67">
                  <c:v>-5.4115347486812766</c:v>
                </c:pt>
                <c:pt idx="68">
                  <c:v>-5.4271661957857305</c:v>
                </c:pt>
                <c:pt idx="69">
                  <c:v>-5.4756846663571537</c:v>
                </c:pt>
                <c:pt idx="70">
                  <c:v>-5.5438323607779694</c:v>
                </c:pt>
                <c:pt idx="71">
                  <c:v>-5.5978645161130771</c:v>
                </c:pt>
                <c:pt idx="72">
                  <c:v>-5.2158342729583751</c:v>
                </c:pt>
                <c:pt idx="73">
                  <c:v>-4.7749178799117544</c:v>
                </c:pt>
                <c:pt idx="74">
                  <c:v>-4.2944857442778925</c:v>
                </c:pt>
                <c:pt idx="75">
                  <c:v>-3.582757025541639</c:v>
                </c:pt>
                <c:pt idx="76">
                  <c:v>-2.880601966411632</c:v>
                </c:pt>
                <c:pt idx="77">
                  <c:v>-2.3080234788720873</c:v>
                </c:pt>
                <c:pt idx="78">
                  <c:v>-1.9248577296160647</c:v>
                </c:pt>
                <c:pt idx="79">
                  <c:v>-1.8029488636221345</c:v>
                </c:pt>
                <c:pt idx="80">
                  <c:v>-1.6501946368334757</c:v>
                </c:pt>
                <c:pt idx="81">
                  <c:v>-1.5523935231177575</c:v>
                </c:pt>
                <c:pt idx="82">
                  <c:v>-1.3471944337607624</c:v>
                </c:pt>
                <c:pt idx="83">
                  <c:v>-1.262811165076414</c:v>
                </c:pt>
                <c:pt idx="84">
                  <c:v>-1.4184332632287919</c:v>
                </c:pt>
                <c:pt idx="85">
                  <c:v>-1.605562448240164</c:v>
                </c:pt>
                <c:pt idx="86">
                  <c:v>-1.8774663687107704</c:v>
                </c:pt>
                <c:pt idx="87">
                  <c:v>-1.9901265187237982</c:v>
                </c:pt>
                <c:pt idx="88">
                  <c:v>-2.0987904366117505</c:v>
                </c:pt>
                <c:pt idx="89">
                  <c:v>-1.5976149826879578</c:v>
                </c:pt>
                <c:pt idx="90">
                  <c:v>-1.480310966278239</c:v>
                </c:pt>
                <c:pt idx="91">
                  <c:v>-1.4241860421250294</c:v>
                </c:pt>
                <c:pt idx="92">
                  <c:v>-1.1079151067671091</c:v>
                </c:pt>
                <c:pt idx="93">
                  <c:v>-0.87621662343235585</c:v>
                </c:pt>
                <c:pt idx="94">
                  <c:v>-0.77484354818795964</c:v>
                </c:pt>
                <c:pt idx="95">
                  <c:v>-1.0463621525043436</c:v>
                </c:pt>
                <c:pt idx="96">
                  <c:v>-1.4067102082792076</c:v>
                </c:pt>
                <c:pt idx="97">
                  <c:v>-1.680980506014123</c:v>
                </c:pt>
                <c:pt idx="98">
                  <c:v>-2.5021212748262656</c:v>
                </c:pt>
                <c:pt idx="99">
                  <c:v>-3.1025920050941522</c:v>
                </c:pt>
                <c:pt idx="100">
                  <c:v>-3.9022475116562418</c:v>
                </c:pt>
                <c:pt idx="101">
                  <c:v>-4.8169377517074281</c:v>
                </c:pt>
                <c:pt idx="102">
                  <c:v>-5.2632969112722208</c:v>
                </c:pt>
                <c:pt idx="103">
                  <c:v>-5.0089823278967742</c:v>
                </c:pt>
                <c:pt idx="104">
                  <c:v>-4.6840466021422458</c:v>
                </c:pt>
                <c:pt idx="105">
                  <c:v>-4.1391648044469207</c:v>
                </c:pt>
                <c:pt idx="106">
                  <c:v>-3.8828709195922215</c:v>
                </c:pt>
                <c:pt idx="107">
                  <c:v>-3.5795880078730988</c:v>
                </c:pt>
                <c:pt idx="108">
                  <c:v>-3.6609522450404484</c:v>
                </c:pt>
                <c:pt idx="109">
                  <c:v>-3.8744318924503318</c:v>
                </c:pt>
                <c:pt idx="110">
                  <c:v>-3.96004207896857</c:v>
                </c:pt>
                <c:pt idx="111">
                  <c:v>-3.9660324863094729</c:v>
                </c:pt>
                <c:pt idx="112">
                  <c:v>-3.9877510962054998</c:v>
                </c:pt>
                <c:pt idx="113">
                  <c:v>-3.9688952937456179</c:v>
                </c:pt>
                <c:pt idx="114">
                  <c:v>-3.9144766987272419</c:v>
                </c:pt>
                <c:pt idx="115">
                  <c:v>-4.0442116832714987</c:v>
                </c:pt>
                <c:pt idx="116">
                  <c:v>-3.8596540593871111</c:v>
                </c:pt>
                <c:pt idx="117">
                  <c:v>-3.2251470428465154</c:v>
                </c:pt>
                <c:pt idx="118">
                  <c:v>-2.6122979895130243</c:v>
                </c:pt>
                <c:pt idx="119">
                  <c:v>-2.3416920589581309</c:v>
                </c:pt>
                <c:pt idx="120">
                  <c:v>-2.06709548021621</c:v>
                </c:pt>
                <c:pt idx="121">
                  <c:v>-1.8012765597749194</c:v>
                </c:pt>
                <c:pt idx="122">
                  <c:v>-1.8381275302579638</c:v>
                </c:pt>
                <c:pt idx="123">
                  <c:v>-2.2329466378414224</c:v>
                </c:pt>
                <c:pt idx="124">
                  <c:v>-2.6923297376536652</c:v>
                </c:pt>
                <c:pt idx="125">
                  <c:v>-2.8452671550261357</c:v>
                </c:pt>
                <c:pt idx="126">
                  <c:v>-2.8457136540499164</c:v>
                </c:pt>
                <c:pt idx="127">
                  <c:v>-3.0720952284525538</c:v>
                </c:pt>
                <c:pt idx="128">
                  <c:v>-3.3763873995263509</c:v>
                </c:pt>
                <c:pt idx="129">
                  <c:v>-3.2037799848460224</c:v>
                </c:pt>
                <c:pt idx="130">
                  <c:v>-2.6882182783602957</c:v>
                </c:pt>
                <c:pt idx="131">
                  <c:v>-2.3254480721010111</c:v>
                </c:pt>
                <c:pt idx="132">
                  <c:v>-2.2037853968597005</c:v>
                </c:pt>
                <c:pt idx="133">
                  <c:v>-1.6254595356665504</c:v>
                </c:pt>
                <c:pt idx="134">
                  <c:v>-0.85628161552185134</c:v>
                </c:pt>
                <c:pt idx="135">
                  <c:v>-0.36195382491820283</c:v>
                </c:pt>
                <c:pt idx="136">
                  <c:v>-0.14922460065702126</c:v>
                </c:pt>
                <c:pt idx="137">
                  <c:v>0.1994290605237552</c:v>
                </c:pt>
                <c:pt idx="138">
                  <c:v>3.2369347083943012E-2</c:v>
                </c:pt>
                <c:pt idx="139">
                  <c:v>-0.15313178848381881</c:v>
                </c:pt>
                <c:pt idx="140">
                  <c:v>-0.44908701676646956</c:v>
                </c:pt>
                <c:pt idx="141">
                  <c:v>-0.63276604728116581</c:v>
                </c:pt>
                <c:pt idx="142">
                  <c:v>-1.8010119082930487E-2</c:v>
                </c:pt>
                <c:pt idx="143">
                  <c:v>0.86429734738669595</c:v>
                </c:pt>
                <c:pt idx="144">
                  <c:v>1.4627513755622203</c:v>
                </c:pt>
                <c:pt idx="145">
                  <c:v>2.1821925500523207</c:v>
                </c:pt>
                <c:pt idx="146">
                  <c:v>3.3543793101222832</c:v>
                </c:pt>
                <c:pt idx="147">
                  <c:v>3.5772107681813736</c:v>
                </c:pt>
                <c:pt idx="148">
                  <c:v>3.8394609331202219</c:v>
                </c:pt>
                <c:pt idx="149">
                  <c:v>3.9461303109712276</c:v>
                </c:pt>
                <c:pt idx="150">
                  <c:v>4.1299182245471115</c:v>
                </c:pt>
                <c:pt idx="151">
                  <c:v>3.9651945873254135</c:v>
                </c:pt>
                <c:pt idx="152">
                  <c:v>3.9145969275382981</c:v>
                </c:pt>
                <c:pt idx="153">
                  <c:v>3.8981503630038219</c:v>
                </c:pt>
                <c:pt idx="154">
                  <c:v>3.9078500590180738</c:v>
                </c:pt>
                <c:pt idx="155">
                  <c:v>4.1676677688979566</c:v>
                </c:pt>
                <c:pt idx="156">
                  <c:v>4.6125087920927967</c:v>
                </c:pt>
                <c:pt idx="157">
                  <c:v>5.6312018012386602</c:v>
                </c:pt>
                <c:pt idx="158">
                  <c:v>6.21198747163794</c:v>
                </c:pt>
                <c:pt idx="159">
                  <c:v>6.9216971852370079</c:v>
                </c:pt>
                <c:pt idx="160">
                  <c:v>7.3589717792506235</c:v>
                </c:pt>
                <c:pt idx="161">
                  <c:v>7.6424322528595781</c:v>
                </c:pt>
                <c:pt idx="162">
                  <c:v>7.7104148774494092</c:v>
                </c:pt>
                <c:pt idx="163">
                  <c:v>7.7523908382824516</c:v>
                </c:pt>
                <c:pt idx="164">
                  <c:v>7.4903219661342177</c:v>
                </c:pt>
                <c:pt idx="165">
                  <c:v>7.2642529413328134</c:v>
                </c:pt>
                <c:pt idx="166">
                  <c:v>7.0681674895216702</c:v>
                </c:pt>
                <c:pt idx="167">
                  <c:v>6.5835060387918816</c:v>
                </c:pt>
                <c:pt idx="168">
                  <c:v>6.3289877393449387</c:v>
                </c:pt>
                <c:pt idx="169">
                  <c:v>6.052667274087753</c:v>
                </c:pt>
                <c:pt idx="170">
                  <c:v>5.8900496186971623</c:v>
                </c:pt>
                <c:pt idx="171">
                  <c:v>5.8375138531496304</c:v>
                </c:pt>
                <c:pt idx="172">
                  <c:v>5.7282335370865098</c:v>
                </c:pt>
                <c:pt idx="173">
                  <c:v>5.4943730782098328</c:v>
                </c:pt>
                <c:pt idx="174">
                  <c:v>5.4176519428709753</c:v>
                </c:pt>
                <c:pt idx="175">
                  <c:v>5.6292504614189625</c:v>
                </c:pt>
                <c:pt idx="176">
                  <c:v>5.7436453068748392</c:v>
                </c:pt>
                <c:pt idx="177">
                  <c:v>5.5332863361422824</c:v>
                </c:pt>
                <c:pt idx="178">
                  <c:v>5.168209805384322</c:v>
                </c:pt>
                <c:pt idx="179">
                  <c:v>4.9684693917662344</c:v>
                </c:pt>
                <c:pt idx="180">
                  <c:v>4.9930776786264914</c:v>
                </c:pt>
                <c:pt idx="181">
                  <c:v>5.1333482432192454</c:v>
                </c:pt>
                <c:pt idx="182">
                  <c:v>5.2812713551569459</c:v>
                </c:pt>
                <c:pt idx="183">
                  <c:v>5.352934518582174</c:v>
                </c:pt>
                <c:pt idx="184">
                  <c:v>5.60175398259247</c:v>
                </c:pt>
                <c:pt idx="185">
                  <c:v>5.7360512380695354</c:v>
                </c:pt>
                <c:pt idx="186">
                  <c:v>5.8413148856590169</c:v>
                </c:pt>
                <c:pt idx="187">
                  <c:v>5.7351674313697458</c:v>
                </c:pt>
                <c:pt idx="188">
                  <c:v>5.6488676602727992</c:v>
                </c:pt>
                <c:pt idx="189">
                  <c:v>5.4921499745385063</c:v>
                </c:pt>
                <c:pt idx="190">
                  <c:v>5.3315062039541772</c:v>
                </c:pt>
                <c:pt idx="191">
                  <c:v>4.9127510423402327</c:v>
                </c:pt>
                <c:pt idx="192">
                  <c:v>4.6124414309065855</c:v>
                </c:pt>
                <c:pt idx="193">
                  <c:v>4.4785528016533931</c:v>
                </c:pt>
                <c:pt idx="194">
                  <c:v>4.3393688009376206</c:v>
                </c:pt>
                <c:pt idx="195">
                  <c:v>4.26064209039464</c:v>
                </c:pt>
                <c:pt idx="196">
                  <c:v>4.5333132762610262</c:v>
                </c:pt>
                <c:pt idx="197">
                  <c:v>4.9744851366832563</c:v>
                </c:pt>
                <c:pt idx="198">
                  <c:v>5.2299390428638617</c:v>
                </c:pt>
                <c:pt idx="199">
                  <c:v>5.5124748492119693</c:v>
                </c:pt>
                <c:pt idx="200">
                  <c:v>5.8193906536247368</c:v>
                </c:pt>
                <c:pt idx="201">
                  <c:v>5.8603145385222319</c:v>
                </c:pt>
                <c:pt idx="202">
                  <c:v>5.8096387840855641</c:v>
                </c:pt>
                <c:pt idx="203">
                  <c:v>4.4178029219589803</c:v>
                </c:pt>
                <c:pt idx="204">
                  <c:v>3.5171018570796377</c:v>
                </c:pt>
                <c:pt idx="205">
                  <c:v>2.0557878961960796</c:v>
                </c:pt>
                <c:pt idx="206">
                  <c:v>1.220903306943228</c:v>
                </c:pt>
                <c:pt idx="207">
                  <c:v>0.41008599847509686</c:v>
                </c:pt>
                <c:pt idx="208">
                  <c:v>-0.50744990985151617</c:v>
                </c:pt>
                <c:pt idx="209">
                  <c:v>-1.1734686424737788</c:v>
                </c:pt>
                <c:pt idx="210">
                  <c:v>-1.4346118815086584</c:v>
                </c:pt>
                <c:pt idx="211">
                  <c:v>-1.8111245402224085</c:v>
                </c:pt>
                <c:pt idx="212">
                  <c:v>-1.7288922980155803</c:v>
                </c:pt>
                <c:pt idx="213">
                  <c:v>-1.9096061561382385</c:v>
                </c:pt>
                <c:pt idx="214">
                  <c:v>-1.9767796215490421</c:v>
                </c:pt>
                <c:pt idx="215">
                  <c:v>-1.6630633380783024</c:v>
                </c:pt>
                <c:pt idx="216">
                  <c:v>-1.1941054141274208</c:v>
                </c:pt>
                <c:pt idx="217">
                  <c:v>-1.0428237880789766</c:v>
                </c:pt>
                <c:pt idx="218">
                  <c:v>-1.0161179695159035</c:v>
                </c:pt>
                <c:pt idx="219">
                  <c:v>-0.88709069890933279</c:v>
                </c:pt>
                <c:pt idx="220">
                  <c:v>-1.2489400943154578</c:v>
                </c:pt>
                <c:pt idx="221">
                  <c:v>-1.640258679385056</c:v>
                </c:pt>
                <c:pt idx="222">
                  <c:v>-1.9576705773240519</c:v>
                </c:pt>
                <c:pt idx="223">
                  <c:v>-2.1696865021785925</c:v>
                </c:pt>
                <c:pt idx="224">
                  <c:v>-2.5057139475525219</c:v>
                </c:pt>
                <c:pt idx="225">
                  <c:v>-2.5960407044973408</c:v>
                </c:pt>
                <c:pt idx="226">
                  <c:v>-2.1657720302575285</c:v>
                </c:pt>
                <c:pt idx="227">
                  <c:v>-1.7928176896964487</c:v>
                </c:pt>
                <c:pt idx="228">
                  <c:v>-1.5799011244169492</c:v>
                </c:pt>
                <c:pt idx="229">
                  <c:v>-1.320893546213199</c:v>
                </c:pt>
                <c:pt idx="230">
                  <c:v>-1.3877007878346035</c:v>
                </c:pt>
                <c:pt idx="231">
                  <c:v>-1.2598979054828874</c:v>
                </c:pt>
                <c:pt idx="232">
                  <c:v>-1.0983441041476567</c:v>
                </c:pt>
                <c:pt idx="233">
                  <c:v>-0.6098521617437882</c:v>
                </c:pt>
                <c:pt idx="234">
                  <c:v>-0.25926899135043868</c:v>
                </c:pt>
                <c:pt idx="235">
                  <c:v>0.2090143357822285</c:v>
                </c:pt>
                <c:pt idx="236">
                  <c:v>0.5208714799940708</c:v>
                </c:pt>
                <c:pt idx="237">
                  <c:v>0.39151885531680364</c:v>
                </c:pt>
                <c:pt idx="238">
                  <c:v>0.32799165529536367</c:v>
                </c:pt>
                <c:pt idx="239">
                  <c:v>0.27208867345188992</c:v>
                </c:pt>
                <c:pt idx="240">
                  <c:v>0.31373632387703765</c:v>
                </c:pt>
                <c:pt idx="241">
                  <c:v>0.21276241667311524</c:v>
                </c:pt>
                <c:pt idx="242">
                  <c:v>-0.28358765212402659</c:v>
                </c:pt>
                <c:pt idx="243">
                  <c:v>-0.72108599488956315</c:v>
                </c:pt>
                <c:pt idx="244">
                  <c:v>-0.86019625210030881</c:v>
                </c:pt>
                <c:pt idx="245">
                  <c:v>-1.0702661544494276</c:v>
                </c:pt>
                <c:pt idx="246">
                  <c:v>-1.0072694550996175</c:v>
                </c:pt>
                <c:pt idx="247">
                  <c:v>-0.8818188279155379</c:v>
                </c:pt>
                <c:pt idx="248">
                  <c:v>-0.8676131362139472</c:v>
                </c:pt>
                <c:pt idx="249">
                  <c:v>-1.1672797522743394</c:v>
                </c:pt>
                <c:pt idx="250">
                  <c:v>-1.3656250525806399</c:v>
                </c:pt>
                <c:pt idx="251">
                  <c:v>-1.2964582644721077</c:v>
                </c:pt>
                <c:pt idx="252">
                  <c:v>-1.0464106867292458</c:v>
                </c:pt>
                <c:pt idx="253">
                  <c:v>-1.0459869641474597</c:v>
                </c:pt>
                <c:pt idx="254">
                  <c:v>-1.2602876149549047</c:v>
                </c:pt>
                <c:pt idx="255">
                  <c:v>-1.6084686078672803</c:v>
                </c:pt>
                <c:pt idx="256">
                  <c:v>-2.2290837036491098</c:v>
                </c:pt>
                <c:pt idx="257">
                  <c:v>-2.584618793465097</c:v>
                </c:pt>
                <c:pt idx="258">
                  <c:v>-2.9972503448199177</c:v>
                </c:pt>
                <c:pt idx="259">
                  <c:v>-3.2289445762822879</c:v>
                </c:pt>
                <c:pt idx="260">
                  <c:v>-3.5778908308321888</c:v>
                </c:pt>
                <c:pt idx="261">
                  <c:v>-3.713983869800586</c:v>
                </c:pt>
                <c:pt idx="262">
                  <c:v>-3.645863215205452</c:v>
                </c:pt>
                <c:pt idx="263">
                  <c:v>-3.6514568537396599</c:v>
                </c:pt>
                <c:pt idx="264">
                  <c:v>-3.3685292844574519</c:v>
                </c:pt>
                <c:pt idx="265">
                  <c:v>-3.0263093451684995</c:v>
                </c:pt>
                <c:pt idx="266">
                  <c:v>-2.1150394856666708</c:v>
                </c:pt>
                <c:pt idx="267">
                  <c:v>-1.5317364392117838</c:v>
                </c:pt>
                <c:pt idx="268">
                  <c:v>-1.1402399049327414</c:v>
                </c:pt>
                <c:pt idx="269">
                  <c:v>-0.80376552730751882</c:v>
                </c:pt>
                <c:pt idx="270">
                  <c:v>-0.66021704879995013</c:v>
                </c:pt>
                <c:pt idx="271">
                  <c:v>-0.43253414343013219</c:v>
                </c:pt>
                <c:pt idx="272">
                  <c:v>-0.27155711906999613</c:v>
                </c:pt>
                <c:pt idx="273">
                  <c:v>-0.21732660574997453</c:v>
                </c:pt>
                <c:pt idx="274">
                  <c:v>0.26877794577711711</c:v>
                </c:pt>
                <c:pt idx="275">
                  <c:v>0.64177976881654786</c:v>
                </c:pt>
                <c:pt idx="276">
                  <c:v>2.0530857011828516</c:v>
                </c:pt>
                <c:pt idx="277">
                  <c:v>3.278204757011963</c:v>
                </c:pt>
                <c:pt idx="278">
                  <c:v>3.9924922821542737</c:v>
                </c:pt>
                <c:pt idx="279">
                  <c:v>4.6996692060446321</c:v>
                </c:pt>
                <c:pt idx="280">
                  <c:v>5.0829027594511444</c:v>
                </c:pt>
                <c:pt idx="281">
                  <c:v>5.0284800134368197</c:v>
                </c:pt>
                <c:pt idx="282">
                  <c:v>4.6979951837852809</c:v>
                </c:pt>
                <c:pt idx="283">
                  <c:v>4.4740769248413699</c:v>
                </c:pt>
                <c:pt idx="284">
                  <c:v>4.3880546202574919</c:v>
                </c:pt>
                <c:pt idx="285">
                  <c:v>4.490822847489369</c:v>
                </c:pt>
                <c:pt idx="286">
                  <c:v>4.7714438477709109</c:v>
                </c:pt>
                <c:pt idx="287">
                  <c:v>4.4223982628316776</c:v>
                </c:pt>
                <c:pt idx="288">
                  <c:v>4.5516372118070763</c:v>
                </c:pt>
                <c:pt idx="289">
                  <c:v>4.4717915198442029</c:v>
                </c:pt>
                <c:pt idx="290">
                  <c:v>4.0359945643764377</c:v>
                </c:pt>
                <c:pt idx="291">
                  <c:v>3.7666266412678056</c:v>
                </c:pt>
                <c:pt idx="292">
                  <c:v>3.6466759705557479</c:v>
                </c:pt>
                <c:pt idx="293">
                  <c:v>3.744074436857602</c:v>
                </c:pt>
                <c:pt idx="294">
                  <c:v>4.6488273727139813</c:v>
                </c:pt>
                <c:pt idx="295">
                  <c:v>4.9824220959893069</c:v>
                </c:pt>
                <c:pt idx="296">
                  <c:v>4.3501966273760786</c:v>
                </c:pt>
                <c:pt idx="297">
                  <c:v>3.2181658855580508</c:v>
                </c:pt>
                <c:pt idx="298">
                  <c:v>2.1430060065204657</c:v>
                </c:pt>
                <c:pt idx="299">
                  <c:v>1.4620915029266826</c:v>
                </c:pt>
                <c:pt idx="300">
                  <c:v>1.2422058775705977</c:v>
                </c:pt>
                <c:pt idx="301">
                  <c:v>1.026258953116951</c:v>
                </c:pt>
                <c:pt idx="302">
                  <c:v>1.1102178134098608</c:v>
                </c:pt>
                <c:pt idx="303">
                  <c:v>1.1697272587855423</c:v>
                </c:pt>
                <c:pt idx="304">
                  <c:v>1.0785767985097436</c:v>
                </c:pt>
                <c:pt idx="305">
                  <c:v>1.0132187250912921</c:v>
                </c:pt>
                <c:pt idx="306">
                  <c:v>1.0501807048905789</c:v>
                </c:pt>
                <c:pt idx="307">
                  <c:v>1.5984537009738347</c:v>
                </c:pt>
                <c:pt idx="308">
                  <c:v>1.9387991685493944</c:v>
                </c:pt>
                <c:pt idx="309">
                  <c:v>1.7366333762675481</c:v>
                </c:pt>
                <c:pt idx="310">
                  <c:v>1.9796472612174512</c:v>
                </c:pt>
                <c:pt idx="311">
                  <c:v>2.2479954928879806</c:v>
                </c:pt>
                <c:pt idx="312">
                  <c:v>2.2690888881525666</c:v>
                </c:pt>
                <c:pt idx="313">
                  <c:v>2.7934317033808611</c:v>
                </c:pt>
                <c:pt idx="314">
                  <c:v>1.7237466531650512</c:v>
                </c:pt>
                <c:pt idx="315">
                  <c:v>0.84848062632175925</c:v>
                </c:pt>
                <c:pt idx="316">
                  <c:v>0.14827527051778588</c:v>
                </c:pt>
                <c:pt idx="317">
                  <c:v>-7.2549726428576378E-2</c:v>
                </c:pt>
                <c:pt idx="318">
                  <c:v>-1.9776721455684765E-2</c:v>
                </c:pt>
                <c:pt idx="319">
                  <c:v>0.27068391459374652</c:v>
                </c:pt>
                <c:pt idx="320">
                  <c:v>0.98736180420974051</c:v>
                </c:pt>
                <c:pt idx="321">
                  <c:v>1.251227822521912</c:v>
                </c:pt>
                <c:pt idx="322">
                  <c:v>1.1740718217975541</c:v>
                </c:pt>
                <c:pt idx="323">
                  <c:v>1.2757408033178876</c:v>
                </c:pt>
                <c:pt idx="324">
                  <c:v>1.1350456657247605</c:v>
                </c:pt>
                <c:pt idx="325">
                  <c:v>1.8383181856648889</c:v>
                </c:pt>
                <c:pt idx="326">
                  <c:v>2.3205024313653553</c:v>
                </c:pt>
                <c:pt idx="327">
                  <c:v>2.491552738607993</c:v>
                </c:pt>
                <c:pt idx="328">
                  <c:v>2.6386542301672193</c:v>
                </c:pt>
                <c:pt idx="329">
                  <c:v>2.7294185984240471</c:v>
                </c:pt>
                <c:pt idx="330">
                  <c:v>2.5851522932301236</c:v>
                </c:pt>
                <c:pt idx="331">
                  <c:v>2.8534889225712732</c:v>
                </c:pt>
                <c:pt idx="332">
                  <c:v>2.5517755817693342</c:v>
                </c:pt>
                <c:pt idx="333">
                  <c:v>2.1522933280724601</c:v>
                </c:pt>
                <c:pt idx="334">
                  <c:v>2.1147241170213533</c:v>
                </c:pt>
                <c:pt idx="335">
                  <c:v>2.1465462551776682</c:v>
                </c:pt>
                <c:pt idx="336">
                  <c:v>2.2539106511101181</c:v>
                </c:pt>
                <c:pt idx="337">
                  <c:v>1.9422000137225268</c:v>
                </c:pt>
                <c:pt idx="338">
                  <c:v>1.6910056395445281</c:v>
                </c:pt>
                <c:pt idx="339">
                  <c:v>1.3345313504929663</c:v>
                </c:pt>
                <c:pt idx="340">
                  <c:v>0.78237022544686852</c:v>
                </c:pt>
                <c:pt idx="341">
                  <c:v>0.24592068046268878</c:v>
                </c:pt>
                <c:pt idx="342">
                  <c:v>0.37963205484305718</c:v>
                </c:pt>
                <c:pt idx="343">
                  <c:v>0.80952407688073436</c:v>
                </c:pt>
                <c:pt idx="344">
                  <c:v>1.3461115690540737</c:v>
                </c:pt>
                <c:pt idx="345">
                  <c:v>1.6371004980325097</c:v>
                </c:pt>
                <c:pt idx="346">
                  <c:v>1.578392673180474</c:v>
                </c:pt>
                <c:pt idx="347">
                  <c:v>1.3444946033029055</c:v>
                </c:pt>
                <c:pt idx="348">
                  <c:v>1.1666599946717611</c:v>
                </c:pt>
                <c:pt idx="349">
                  <c:v>1.0443490050641913</c:v>
                </c:pt>
                <c:pt idx="350">
                  <c:v>0.76830080517146371</c:v>
                </c:pt>
                <c:pt idx="351">
                  <c:v>0.46509152257556252</c:v>
                </c:pt>
                <c:pt idx="352">
                  <c:v>0.38098064279154187</c:v>
                </c:pt>
                <c:pt idx="353">
                  <c:v>0.21740681227367986</c:v>
                </c:pt>
                <c:pt idx="354">
                  <c:v>6.3639203608431671E-2</c:v>
                </c:pt>
                <c:pt idx="355">
                  <c:v>-0.12297233256640538</c:v>
                </c:pt>
                <c:pt idx="356">
                  <c:v>-0.47438624458300183</c:v>
                </c:pt>
                <c:pt idx="357">
                  <c:v>-0.87353519280588898</c:v>
                </c:pt>
                <c:pt idx="358">
                  <c:v>-1.3821158765382506</c:v>
                </c:pt>
                <c:pt idx="359">
                  <c:v>-2.1118344649150345</c:v>
                </c:pt>
                <c:pt idx="360">
                  <c:v>-2.5565788351257765</c:v>
                </c:pt>
                <c:pt idx="361">
                  <c:v>-2.7610186826113363</c:v>
                </c:pt>
                <c:pt idx="362">
                  <c:v>-2.98944285163725</c:v>
                </c:pt>
                <c:pt idx="363">
                  <c:v>-3.5826590199437192</c:v>
                </c:pt>
                <c:pt idx="364">
                  <c:v>-4.3240943766517148</c:v>
                </c:pt>
                <c:pt idx="365">
                  <c:v>-5.0695027686405751</c:v>
                </c:pt>
                <c:pt idx="366">
                  <c:v>-5.7688454943453849</c:v>
                </c:pt>
                <c:pt idx="367">
                  <c:v>-6.0866912709591361</c:v>
                </c:pt>
                <c:pt idx="368">
                  <c:v>-6.1107961811726454</c:v>
                </c:pt>
                <c:pt idx="369">
                  <c:v>-6.5322938039192309</c:v>
                </c:pt>
                <c:pt idx="370">
                  <c:v>-6.7817031231203941</c:v>
                </c:pt>
                <c:pt idx="371">
                  <c:v>-6.4275742065615873</c:v>
                </c:pt>
                <c:pt idx="372">
                  <c:v>-6.0274153778438517</c:v>
                </c:pt>
                <c:pt idx="373">
                  <c:v>-5.2208246672776113</c:v>
                </c:pt>
                <c:pt idx="374">
                  <c:v>-4.7575319491156733</c:v>
                </c:pt>
                <c:pt idx="375">
                  <c:v>-4.3842110793407869</c:v>
                </c:pt>
                <c:pt idx="376">
                  <c:v>-4.0856353428579837</c:v>
                </c:pt>
                <c:pt idx="377">
                  <c:v>-3.9535246052391244</c:v>
                </c:pt>
                <c:pt idx="378">
                  <c:v>-3.6972723224296828</c:v>
                </c:pt>
                <c:pt idx="379">
                  <c:v>-3.0259946384914542</c:v>
                </c:pt>
                <c:pt idx="380">
                  <c:v>-2.3443269985000939</c:v>
                </c:pt>
                <c:pt idx="381">
                  <c:v>-1.6263899358457934</c:v>
                </c:pt>
                <c:pt idx="382">
                  <c:v>-1.2256541752381054</c:v>
                </c:pt>
                <c:pt idx="383">
                  <c:v>-0.95515573971658796</c:v>
                </c:pt>
                <c:pt idx="384">
                  <c:v>-0.61507684305757948</c:v>
                </c:pt>
                <c:pt idx="385">
                  <c:v>-0.60487170358914</c:v>
                </c:pt>
                <c:pt idx="386">
                  <c:v>-0.69607996521818905</c:v>
                </c:pt>
                <c:pt idx="387">
                  <c:v>-0.48598866062303614</c:v>
                </c:pt>
                <c:pt idx="388">
                  <c:v>-0.39960956259983504</c:v>
                </c:pt>
                <c:pt idx="389">
                  <c:v>-0.61775004634120023</c:v>
                </c:pt>
                <c:pt idx="390">
                  <c:v>-0.463327347889674</c:v>
                </c:pt>
                <c:pt idx="391">
                  <c:v>-0.27723175966821145</c:v>
                </c:pt>
                <c:pt idx="392">
                  <c:v>0.14694263862116941</c:v>
                </c:pt>
                <c:pt idx="393">
                  <c:v>0.55258420265278119</c:v>
                </c:pt>
                <c:pt idx="394">
                  <c:v>0.58170412657898396</c:v>
                </c:pt>
                <c:pt idx="395">
                  <c:v>0.82284703989341779</c:v>
                </c:pt>
                <c:pt idx="396">
                  <c:v>1.1092940854828726</c:v>
                </c:pt>
                <c:pt idx="397">
                  <c:v>0.88552132535517103</c:v>
                </c:pt>
                <c:pt idx="398">
                  <c:v>1.4092831648521837</c:v>
                </c:pt>
                <c:pt idx="399">
                  <c:v>1.8235206953430065</c:v>
                </c:pt>
                <c:pt idx="400">
                  <c:v>1.9310455902250396</c:v>
                </c:pt>
                <c:pt idx="401">
                  <c:v>1.9063309569820035</c:v>
                </c:pt>
                <c:pt idx="402">
                  <c:v>1.6482630140482115</c:v>
                </c:pt>
                <c:pt idx="403">
                  <c:v>1.7009076397945933</c:v>
                </c:pt>
                <c:pt idx="404">
                  <c:v>2.0322855358660377</c:v>
                </c:pt>
                <c:pt idx="405">
                  <c:v>2.2671567018950327</c:v>
                </c:pt>
                <c:pt idx="406">
                  <c:v>2.4069884507565575</c:v>
                </c:pt>
                <c:pt idx="407">
                  <c:v>2.6670049098274831</c:v>
                </c:pt>
                <c:pt idx="408">
                  <c:v>3.0118382619789941</c:v>
                </c:pt>
                <c:pt idx="409">
                  <c:v>3.2588519907361047</c:v>
                </c:pt>
                <c:pt idx="410">
                  <c:v>3.4830496187852873</c:v>
                </c:pt>
                <c:pt idx="411">
                  <c:v>3.568753747669632</c:v>
                </c:pt>
                <c:pt idx="412">
                  <c:v>3.5553452589303447</c:v>
                </c:pt>
                <c:pt idx="413">
                  <c:v>3.3838674371667707</c:v>
                </c:pt>
                <c:pt idx="414">
                  <c:v>3.2739760675552247</c:v>
                </c:pt>
                <c:pt idx="415">
                  <c:v>3.2558677173745991</c:v>
                </c:pt>
                <c:pt idx="416">
                  <c:v>3.381670375012277</c:v>
                </c:pt>
                <c:pt idx="417">
                  <c:v>3.4919525668935307</c:v>
                </c:pt>
                <c:pt idx="418">
                  <c:v>3.5864249101977634</c:v>
                </c:pt>
                <c:pt idx="419">
                  <c:v>3.4113656360321443</c:v>
                </c:pt>
                <c:pt idx="420">
                  <c:v>3.1092950863464353</c:v>
                </c:pt>
                <c:pt idx="421">
                  <c:v>2.814860381192716</c:v>
                </c:pt>
                <c:pt idx="422">
                  <c:v>2.0271994540074161</c:v>
                </c:pt>
                <c:pt idx="423">
                  <c:v>1.5856166825202536</c:v>
                </c:pt>
                <c:pt idx="424">
                  <c:v>0.97986816716684189</c:v>
                </c:pt>
                <c:pt idx="425">
                  <c:v>0.22847126007042107</c:v>
                </c:pt>
                <c:pt idx="426">
                  <c:v>-0.26551174417977563</c:v>
                </c:pt>
                <c:pt idx="427">
                  <c:v>-0.51549259657883795</c:v>
                </c:pt>
                <c:pt idx="428">
                  <c:v>-1.0109990467880721</c:v>
                </c:pt>
                <c:pt idx="429">
                  <c:v>-1.2887776155071151</c:v>
                </c:pt>
                <c:pt idx="430">
                  <c:v>-1.4430625042127758</c:v>
                </c:pt>
                <c:pt idx="431">
                  <c:v>-1.5315414055723977</c:v>
                </c:pt>
                <c:pt idx="432">
                  <c:v>-1.492468847884652</c:v>
                </c:pt>
                <c:pt idx="433">
                  <c:v>-1.6067855750764579</c:v>
                </c:pt>
                <c:pt idx="434">
                  <c:v>-1.4435091012230714</c:v>
                </c:pt>
                <c:pt idx="435">
                  <c:v>-1.4786228712670209</c:v>
                </c:pt>
                <c:pt idx="436">
                  <c:v>-1.4174883848767195</c:v>
                </c:pt>
                <c:pt idx="437">
                  <c:v>-1.6222691902988231</c:v>
                </c:pt>
                <c:pt idx="438">
                  <c:v>-1.8152767251417572</c:v>
                </c:pt>
                <c:pt idx="439">
                  <c:v>-1.8580572527237109</c:v>
                </c:pt>
                <c:pt idx="440">
                  <c:v>-2.2644743925360444</c:v>
                </c:pt>
                <c:pt idx="441">
                  <c:v>-2.5347502212489985</c:v>
                </c:pt>
                <c:pt idx="442">
                  <c:v>-2.8707811386594813</c:v>
                </c:pt>
                <c:pt idx="443">
                  <c:v>-3.1484032974436786</c:v>
                </c:pt>
                <c:pt idx="444">
                  <c:v>-3.0747636406798051</c:v>
                </c:pt>
                <c:pt idx="445">
                  <c:v>-2.7347352641191378</c:v>
                </c:pt>
                <c:pt idx="446">
                  <c:v>-2.0821804361685281</c:v>
                </c:pt>
                <c:pt idx="447">
                  <c:v>-1.4921482440571481</c:v>
                </c:pt>
                <c:pt idx="448">
                  <c:v>-1.0064860052911513</c:v>
                </c:pt>
                <c:pt idx="449">
                  <c:v>-0.39434053611222453</c:v>
                </c:pt>
                <c:pt idx="450">
                  <c:v>6.422745867030244E-2</c:v>
                </c:pt>
                <c:pt idx="451">
                  <c:v>0.39963853767454793</c:v>
                </c:pt>
                <c:pt idx="452">
                  <c:v>0.86767128005487848</c:v>
                </c:pt>
                <c:pt idx="453">
                  <c:v>0.97399127730375312</c:v>
                </c:pt>
                <c:pt idx="454">
                  <c:v>0.95205975062066273</c:v>
                </c:pt>
                <c:pt idx="455">
                  <c:v>1.2598677026423957</c:v>
                </c:pt>
                <c:pt idx="456">
                  <c:v>1.1994908251364791</c:v>
                </c:pt>
                <c:pt idx="457">
                  <c:v>0.81544066953921401</c:v>
                </c:pt>
                <c:pt idx="458">
                  <c:v>0.51163566820747519</c:v>
                </c:pt>
                <c:pt idx="459">
                  <c:v>-5.1307118228578474E-2</c:v>
                </c:pt>
                <c:pt idx="460">
                  <c:v>-0.65610494671000197</c:v>
                </c:pt>
                <c:pt idx="461">
                  <c:v>-0.89591971322153086</c:v>
                </c:pt>
                <c:pt idx="462">
                  <c:v>-0.55827122871386337</c:v>
                </c:pt>
                <c:pt idx="463">
                  <c:v>-0.86651505163558795</c:v>
                </c:pt>
                <c:pt idx="464">
                  <c:v>-0.99842670718243198</c:v>
                </c:pt>
                <c:pt idx="465">
                  <c:v>-1.1350705774008247</c:v>
                </c:pt>
                <c:pt idx="466">
                  <c:v>-0.61255428680379964</c:v>
                </c:pt>
                <c:pt idx="467">
                  <c:v>-0.18741982224145204</c:v>
                </c:pt>
                <c:pt idx="468">
                  <c:v>0.19885270494836504</c:v>
                </c:pt>
                <c:pt idx="469">
                  <c:v>0.4553471042571573</c:v>
                </c:pt>
                <c:pt idx="470">
                  <c:v>0.48120058400900234</c:v>
                </c:pt>
                <c:pt idx="471">
                  <c:v>0.47124304724474086</c:v>
                </c:pt>
                <c:pt idx="472">
                  <c:v>0.3104929196118178</c:v>
                </c:pt>
                <c:pt idx="473">
                  <c:v>0.29428705984685166</c:v>
                </c:pt>
                <c:pt idx="474">
                  <c:v>0.69225355649996345</c:v>
                </c:pt>
                <c:pt idx="475">
                  <c:v>0.64117598485779581</c:v>
                </c:pt>
                <c:pt idx="476">
                  <c:v>1.0365861383021411</c:v>
                </c:pt>
                <c:pt idx="477">
                  <c:v>1.4901230261768319</c:v>
                </c:pt>
                <c:pt idx="478">
                  <c:v>1.7822089294839998</c:v>
                </c:pt>
                <c:pt idx="479">
                  <c:v>1.3326214300296897</c:v>
                </c:pt>
                <c:pt idx="480">
                  <c:v>0.73784351530019876</c:v>
                </c:pt>
                <c:pt idx="481">
                  <c:v>0.82104778706138859</c:v>
                </c:pt>
                <c:pt idx="482">
                  <c:v>0.94309047534079582</c:v>
                </c:pt>
                <c:pt idx="483">
                  <c:v>1.2425473909404445</c:v>
                </c:pt>
                <c:pt idx="484">
                  <c:v>1.3481327534081515</c:v>
                </c:pt>
                <c:pt idx="485">
                  <c:v>1.4952650715419509</c:v>
                </c:pt>
                <c:pt idx="486">
                  <c:v>1.5727588812304134</c:v>
                </c:pt>
                <c:pt idx="487">
                  <c:v>1.5501371209437593</c:v>
                </c:pt>
                <c:pt idx="488">
                  <c:v>2.0739504184862199</c:v>
                </c:pt>
                <c:pt idx="489">
                  <c:v>2.6210525699113987</c:v>
                </c:pt>
                <c:pt idx="490">
                  <c:v>2.6823884142483507</c:v>
                </c:pt>
                <c:pt idx="491">
                  <c:v>3.0341200482530439</c:v>
                </c:pt>
                <c:pt idx="492">
                  <c:v>3.351697595712551</c:v>
                </c:pt>
                <c:pt idx="493">
                  <c:v>3.2583843055943476</c:v>
                </c:pt>
                <c:pt idx="494">
                  <c:v>3.1784564081445978</c:v>
                </c:pt>
                <c:pt idx="495">
                  <c:v>2.6504393214458446</c:v>
                </c:pt>
                <c:pt idx="496">
                  <c:v>2.405178762676826</c:v>
                </c:pt>
                <c:pt idx="497">
                  <c:v>1.9742175982545405</c:v>
                </c:pt>
                <c:pt idx="498">
                  <c:v>1.442561784553277</c:v>
                </c:pt>
                <c:pt idx="499">
                  <c:v>0.96969683895201797</c:v>
                </c:pt>
                <c:pt idx="500">
                  <c:v>0.39671493753843379</c:v>
                </c:pt>
                <c:pt idx="501">
                  <c:v>-0.24578330359798883</c:v>
                </c:pt>
                <c:pt idx="502">
                  <c:v>-1.0175892383504674</c:v>
                </c:pt>
                <c:pt idx="503">
                  <c:v>-1.3785472870785611</c:v>
                </c:pt>
                <c:pt idx="504">
                  <c:v>-1.5347560456308997</c:v>
                </c:pt>
                <c:pt idx="505">
                  <c:v>-1.263127511213213</c:v>
                </c:pt>
                <c:pt idx="506">
                  <c:v>-1.1603629613280191</c:v>
                </c:pt>
                <c:pt idx="507">
                  <c:v>-1.1120960010324552</c:v>
                </c:pt>
                <c:pt idx="508">
                  <c:v>-0.84701965321073658</c:v>
                </c:pt>
                <c:pt idx="509">
                  <c:v>-0.73418753280100191</c:v>
                </c:pt>
                <c:pt idx="510">
                  <c:v>-0.59833117028284732</c:v>
                </c:pt>
                <c:pt idx="511">
                  <c:v>-0.58000118631247233</c:v>
                </c:pt>
                <c:pt idx="512">
                  <c:v>-0.92518423378504622</c:v>
                </c:pt>
                <c:pt idx="513">
                  <c:v>-0.95773295492409716</c:v>
                </c:pt>
                <c:pt idx="514">
                  <c:v>-0.94519724692850104</c:v>
                </c:pt>
                <c:pt idx="515">
                  <c:v>-0.66773824782166002</c:v>
                </c:pt>
                <c:pt idx="516">
                  <c:v>-0.14758959327559751</c:v>
                </c:pt>
                <c:pt idx="517">
                  <c:v>0.35574726818668978</c:v>
                </c:pt>
                <c:pt idx="518">
                  <c:v>0.63994854405387969</c:v>
                </c:pt>
                <c:pt idx="519">
                  <c:v>1.0715028366101933</c:v>
                </c:pt>
                <c:pt idx="520">
                  <c:v>1.356720554862477</c:v>
                </c:pt>
                <c:pt idx="521">
                  <c:v>1.8463159688223527</c:v>
                </c:pt>
                <c:pt idx="522">
                  <c:v>2.2846449573228824</c:v>
                </c:pt>
                <c:pt idx="523">
                  <c:v>2.9378697208794051</c:v>
                </c:pt>
                <c:pt idx="524">
                  <c:v>3.3994233707213652</c:v>
                </c:pt>
                <c:pt idx="525">
                  <c:v>4.0158608642360605</c:v>
                </c:pt>
                <c:pt idx="526">
                  <c:v>4.3286154718132934</c:v>
                </c:pt>
                <c:pt idx="527">
                  <c:v>4.3286154718132934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D1-46AD-ABED-05E2D8744437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Data!$Z$2:$Z$529</c:f>
              <c:numCache>
                <c:formatCode>General</c:formatCode>
                <c:ptCount val="528"/>
                <c:pt idx="34">
                  <c:v>-1.4808756515174777</c:v>
                </c:pt>
                <c:pt idx="35">
                  <c:v>-1.1809995430344078</c:v>
                </c:pt>
                <c:pt idx="36">
                  <c:v>-0.87541607228671781</c:v>
                </c:pt>
                <c:pt idx="37">
                  <c:v>-0.63388611523052374</c:v>
                </c:pt>
                <c:pt idx="38">
                  <c:v>-0.42090548959820318</c:v>
                </c:pt>
                <c:pt idx="39">
                  <c:v>-0.28245184981546317</c:v>
                </c:pt>
                <c:pt idx="40">
                  <c:v>-0.22205382934628576</c:v>
                </c:pt>
                <c:pt idx="41">
                  <c:v>-0.20988918996582065</c:v>
                </c:pt>
                <c:pt idx="42">
                  <c:v>-0.20258854446611799</c:v>
                </c:pt>
                <c:pt idx="43">
                  <c:v>-0.19203530550598277</c:v>
                </c:pt>
                <c:pt idx="44">
                  <c:v>-0.20859597193378993</c:v>
                </c:pt>
                <c:pt idx="45">
                  <c:v>-0.2178331800867459</c:v>
                </c:pt>
                <c:pt idx="46">
                  <c:v>-0.18528294665979086</c:v>
                </c:pt>
                <c:pt idx="47">
                  <c:v>-0.13596194625320765</c:v>
                </c:pt>
                <c:pt idx="48">
                  <c:v>-0.26108302024820518</c:v>
                </c:pt>
                <c:pt idx="49">
                  <c:v>-0.50641538253562235</c:v>
                </c:pt>
                <c:pt idx="50">
                  <c:v>-0.85440083784931253</c:v>
                </c:pt>
                <c:pt idx="51">
                  <c:v>-1.2554724111622029</c:v>
                </c:pt>
                <c:pt idx="52">
                  <c:v>-1.5974865801501328</c:v>
                </c:pt>
                <c:pt idx="53">
                  <c:v>-1.8557067920868238</c:v>
                </c:pt>
                <c:pt idx="54">
                  <c:v>-2.0583187764321251</c:v>
                </c:pt>
                <c:pt idx="55">
                  <c:v>-2.2251229955261307</c:v>
                </c:pt>
                <c:pt idx="56">
                  <c:v>-2.419645150850803</c:v>
                </c:pt>
                <c:pt idx="57">
                  <c:v>-2.6158283380617764</c:v>
                </c:pt>
                <c:pt idx="58">
                  <c:v>-2.7425613648734855</c:v>
                </c:pt>
                <c:pt idx="59">
                  <c:v>-2.8139867789414019</c:v>
                </c:pt>
                <c:pt idx="60">
                  <c:v>-2.8681897091186017</c:v>
                </c:pt>
                <c:pt idx="61">
                  <c:v>-2.9417862799268213</c:v>
                </c:pt>
                <c:pt idx="62">
                  <c:v>-3.0520751442165457</c:v>
                </c:pt>
                <c:pt idx="63">
                  <c:v>-3.2595757730294292</c:v>
                </c:pt>
                <c:pt idx="64">
                  <c:v>-3.5639451084135807</c:v>
                </c:pt>
                <c:pt idx="65">
                  <c:v>-3.891071035216183</c:v>
                </c:pt>
                <c:pt idx="66">
                  <c:v>-4.1764490310521847</c:v>
                </c:pt>
                <c:pt idx="67">
                  <c:v>-4.4234661745780031</c:v>
                </c:pt>
                <c:pt idx="68">
                  <c:v>-4.6242061788195485</c:v>
                </c:pt>
                <c:pt idx="69">
                  <c:v>-4.7945018763270699</c:v>
                </c:pt>
                <c:pt idx="70">
                  <c:v>-4.9443679732172505</c:v>
                </c:pt>
                <c:pt idx="71">
                  <c:v>-5.0750672817964162</c:v>
                </c:pt>
                <c:pt idx="72">
                  <c:v>-5.1032206800288078</c:v>
                </c:pt>
                <c:pt idx="73">
                  <c:v>-5.0375601200053977</c:v>
                </c:pt>
                <c:pt idx="74">
                  <c:v>-4.8889452448598965</c:v>
                </c:pt>
                <c:pt idx="75">
                  <c:v>-4.6277076009962457</c:v>
                </c:pt>
                <c:pt idx="76">
                  <c:v>-4.2782864740793229</c:v>
                </c:pt>
                <c:pt idx="77">
                  <c:v>-3.884233875037876</c:v>
                </c:pt>
                <c:pt idx="78">
                  <c:v>-3.4923586459535141</c:v>
                </c:pt>
                <c:pt idx="79">
                  <c:v>-3.1544766894872387</c:v>
                </c:pt>
                <c:pt idx="80">
                  <c:v>-2.8536202789564862</c:v>
                </c:pt>
                <c:pt idx="81">
                  <c:v>-2.5933749277887408</c:v>
                </c:pt>
                <c:pt idx="82">
                  <c:v>-2.3441388289831453</c:v>
                </c:pt>
                <c:pt idx="83">
                  <c:v>-2.1278732962017992</c:v>
                </c:pt>
                <c:pt idx="84">
                  <c:v>-1.9859852896071979</c:v>
                </c:pt>
                <c:pt idx="85">
                  <c:v>-1.9099007213337913</c:v>
                </c:pt>
                <c:pt idx="86">
                  <c:v>-1.9034138508091873</c:v>
                </c:pt>
                <c:pt idx="87">
                  <c:v>-1.9207563843921096</c:v>
                </c:pt>
                <c:pt idx="88">
                  <c:v>-1.9563631948360378</c:v>
                </c:pt>
                <c:pt idx="89">
                  <c:v>-1.884613552406422</c:v>
                </c:pt>
                <c:pt idx="90">
                  <c:v>-1.8037530351807856</c:v>
                </c:pt>
                <c:pt idx="91">
                  <c:v>-1.7278396365696345</c:v>
                </c:pt>
                <c:pt idx="92">
                  <c:v>-1.6038547306091295</c:v>
                </c:pt>
                <c:pt idx="93">
                  <c:v>-1.4583271091737751</c:v>
                </c:pt>
                <c:pt idx="94">
                  <c:v>-1.3216303969766121</c:v>
                </c:pt>
                <c:pt idx="95">
                  <c:v>-1.2665767480821586</c:v>
                </c:pt>
                <c:pt idx="96">
                  <c:v>-1.2946034401215685</c:v>
                </c:pt>
                <c:pt idx="97">
                  <c:v>-1.3718788533000796</c:v>
                </c:pt>
                <c:pt idx="98">
                  <c:v>-1.5979273376053169</c:v>
                </c:pt>
                <c:pt idx="99">
                  <c:v>-1.8988602711030842</c:v>
                </c:pt>
                <c:pt idx="100">
                  <c:v>-2.2995377192137161</c:v>
                </c:pt>
                <c:pt idx="101">
                  <c:v>-2.8030177257124587</c:v>
                </c:pt>
                <c:pt idx="102">
                  <c:v>-3.2950735628244114</c:v>
                </c:pt>
                <c:pt idx="103">
                  <c:v>-3.637855315838884</c:v>
                </c:pt>
                <c:pt idx="104">
                  <c:v>-3.8470935730995568</c:v>
                </c:pt>
                <c:pt idx="105">
                  <c:v>-3.9055078193690296</c:v>
                </c:pt>
                <c:pt idx="106">
                  <c:v>-3.9009804394136678</c:v>
                </c:pt>
                <c:pt idx="107">
                  <c:v>-3.8367019531055542</c:v>
                </c:pt>
                <c:pt idx="108">
                  <c:v>-3.8015520114925332</c:v>
                </c:pt>
                <c:pt idx="109">
                  <c:v>-3.816127987684093</c:v>
                </c:pt>
                <c:pt idx="110">
                  <c:v>-3.8449108059409887</c:v>
                </c:pt>
                <c:pt idx="111">
                  <c:v>-3.8691351420146853</c:v>
                </c:pt>
                <c:pt idx="112">
                  <c:v>-3.8928583328528488</c:v>
                </c:pt>
                <c:pt idx="113">
                  <c:v>-3.9080657250314026</c:v>
                </c:pt>
                <c:pt idx="114">
                  <c:v>-3.9093479197705707</c:v>
                </c:pt>
                <c:pt idx="115">
                  <c:v>-3.9363206724707567</c:v>
                </c:pt>
                <c:pt idx="116">
                  <c:v>-3.9209873498540277</c:v>
                </c:pt>
                <c:pt idx="117">
                  <c:v>-3.7818192884525255</c:v>
                </c:pt>
                <c:pt idx="118">
                  <c:v>-3.5479150286646255</c:v>
                </c:pt>
                <c:pt idx="119">
                  <c:v>-3.3066704347233267</c:v>
                </c:pt>
                <c:pt idx="120">
                  <c:v>-3.0587554438219033</c:v>
                </c:pt>
                <c:pt idx="121">
                  <c:v>-2.8072596670125067</c:v>
                </c:pt>
                <c:pt idx="122">
                  <c:v>-2.6134332396615982</c:v>
                </c:pt>
                <c:pt idx="123">
                  <c:v>-2.5373359192975631</c:v>
                </c:pt>
                <c:pt idx="124">
                  <c:v>-2.5683346829687834</c:v>
                </c:pt>
                <c:pt idx="125">
                  <c:v>-2.6237211773802542</c:v>
                </c:pt>
                <c:pt idx="126">
                  <c:v>-2.6681196727141869</c:v>
                </c:pt>
                <c:pt idx="127">
                  <c:v>-2.7489147838618604</c:v>
                </c:pt>
                <c:pt idx="128">
                  <c:v>-2.8744093069947585</c:v>
                </c:pt>
                <c:pt idx="129">
                  <c:v>-2.9402834425650113</c:v>
                </c:pt>
                <c:pt idx="130">
                  <c:v>-2.8898704097240682</c:v>
                </c:pt>
                <c:pt idx="131">
                  <c:v>-2.7769859421994569</c:v>
                </c:pt>
                <c:pt idx="132">
                  <c:v>-2.6623458331315057</c:v>
                </c:pt>
                <c:pt idx="133">
                  <c:v>-2.454968573638515</c:v>
                </c:pt>
                <c:pt idx="134">
                  <c:v>-2.1352311820151826</c:v>
                </c:pt>
                <c:pt idx="135">
                  <c:v>-1.7805757105957867</c:v>
                </c:pt>
                <c:pt idx="136">
                  <c:v>-1.4543054886080335</c:v>
                </c:pt>
                <c:pt idx="137">
                  <c:v>-1.123558578781676</c:v>
                </c:pt>
                <c:pt idx="138">
                  <c:v>-0.89237299360855216</c:v>
                </c:pt>
                <c:pt idx="139">
                  <c:v>-0.74452475258360562</c:v>
                </c:pt>
                <c:pt idx="140">
                  <c:v>-0.68543720542017839</c:v>
                </c:pt>
                <c:pt idx="141">
                  <c:v>-0.67490297379237585</c:v>
                </c:pt>
                <c:pt idx="142">
                  <c:v>-0.54352440285048687</c:v>
                </c:pt>
                <c:pt idx="143">
                  <c:v>-0.26196005280305029</c:v>
                </c:pt>
                <c:pt idx="144">
                  <c:v>8.2982232870003836E-2</c:v>
                </c:pt>
                <c:pt idx="145">
                  <c:v>0.5028242963064673</c:v>
                </c:pt>
                <c:pt idx="146">
                  <c:v>1.0731352990696306</c:v>
                </c:pt>
                <c:pt idx="147">
                  <c:v>1.5739503928919794</c:v>
                </c:pt>
                <c:pt idx="148">
                  <c:v>2.0270525009376281</c:v>
                </c:pt>
                <c:pt idx="149">
                  <c:v>2.4108680629443482</c:v>
                </c:pt>
                <c:pt idx="150">
                  <c:v>2.754678095264901</c:v>
                </c:pt>
                <c:pt idx="151">
                  <c:v>2.9967813936770038</c:v>
                </c:pt>
                <c:pt idx="152">
                  <c:v>3.1803445004492628</c:v>
                </c:pt>
                <c:pt idx="153">
                  <c:v>3.323905672960175</c:v>
                </c:pt>
                <c:pt idx="154">
                  <c:v>3.440694550171755</c:v>
                </c:pt>
                <c:pt idx="155">
                  <c:v>3.5860891939169957</c:v>
                </c:pt>
                <c:pt idx="156">
                  <c:v>3.7913731135521562</c:v>
                </c:pt>
                <c:pt idx="157">
                  <c:v>4.1593388510894576</c:v>
                </c:pt>
                <c:pt idx="158">
                  <c:v>4.5698685751991546</c:v>
                </c:pt>
                <c:pt idx="159">
                  <c:v>5.0402342972067249</c:v>
                </c:pt>
                <c:pt idx="160">
                  <c:v>5.5039817936155044</c:v>
                </c:pt>
                <c:pt idx="161">
                  <c:v>5.9316718854643193</c:v>
                </c:pt>
                <c:pt idx="162">
                  <c:v>6.2874204838613377</c:v>
                </c:pt>
                <c:pt idx="163">
                  <c:v>6.5804145547455608</c:v>
                </c:pt>
                <c:pt idx="164">
                  <c:v>6.7623960370232927</c:v>
                </c:pt>
                <c:pt idx="165">
                  <c:v>6.8627674178851965</c:v>
                </c:pt>
                <c:pt idx="166">
                  <c:v>6.9038474322124923</c:v>
                </c:pt>
                <c:pt idx="167">
                  <c:v>6.8397791535283705</c:v>
                </c:pt>
                <c:pt idx="168">
                  <c:v>6.7376208706916847</c:v>
                </c:pt>
                <c:pt idx="169">
                  <c:v>6.6006301513708987</c:v>
                </c:pt>
                <c:pt idx="170">
                  <c:v>6.4585140448361518</c:v>
                </c:pt>
                <c:pt idx="171">
                  <c:v>6.3343140064988477</c:v>
                </c:pt>
                <c:pt idx="172">
                  <c:v>6.2130979126163801</c:v>
                </c:pt>
                <c:pt idx="173">
                  <c:v>6.069352945735071</c:v>
                </c:pt>
                <c:pt idx="174">
                  <c:v>5.9390127451622519</c:v>
                </c:pt>
                <c:pt idx="175">
                  <c:v>5.8770602884135945</c:v>
                </c:pt>
                <c:pt idx="176">
                  <c:v>5.8503772921058435</c:v>
                </c:pt>
                <c:pt idx="177">
                  <c:v>5.7869591009131316</c:v>
                </c:pt>
                <c:pt idx="178">
                  <c:v>5.6632092418073698</c:v>
                </c:pt>
                <c:pt idx="179">
                  <c:v>5.5242612717991424</c:v>
                </c:pt>
                <c:pt idx="180">
                  <c:v>5.4180245531646118</c:v>
                </c:pt>
                <c:pt idx="181">
                  <c:v>5.3610892911755386</c:v>
                </c:pt>
                <c:pt idx="182">
                  <c:v>5.3451257039718207</c:v>
                </c:pt>
                <c:pt idx="183">
                  <c:v>5.3466874668938917</c:v>
                </c:pt>
                <c:pt idx="184">
                  <c:v>5.3977007700336079</c:v>
                </c:pt>
                <c:pt idx="185">
                  <c:v>5.4653708636407936</c:v>
                </c:pt>
                <c:pt idx="186">
                  <c:v>5.5405596680444384</c:v>
                </c:pt>
                <c:pt idx="187">
                  <c:v>5.5794812207095008</c:v>
                </c:pt>
                <c:pt idx="188">
                  <c:v>5.5933585086221607</c:v>
                </c:pt>
                <c:pt idx="189">
                  <c:v>5.5731168018054298</c:v>
                </c:pt>
                <c:pt idx="190">
                  <c:v>5.5247946822351794</c:v>
                </c:pt>
                <c:pt idx="191">
                  <c:v>5.4023859542561912</c:v>
                </c:pt>
                <c:pt idx="192">
                  <c:v>5.2443970495862704</c:v>
                </c:pt>
                <c:pt idx="193">
                  <c:v>5.0912281999996951</c:v>
                </c:pt>
                <c:pt idx="194">
                  <c:v>4.9408563201872804</c:v>
                </c:pt>
                <c:pt idx="195">
                  <c:v>4.8048134742287525</c:v>
                </c:pt>
                <c:pt idx="196">
                  <c:v>4.7505134346352076</c:v>
                </c:pt>
                <c:pt idx="197">
                  <c:v>4.7953077750448179</c:v>
                </c:pt>
                <c:pt idx="198">
                  <c:v>4.882234028608627</c:v>
                </c:pt>
                <c:pt idx="199">
                  <c:v>5.008282192729296</c:v>
                </c:pt>
                <c:pt idx="200">
                  <c:v>5.1705038849083849</c:v>
                </c:pt>
                <c:pt idx="201">
                  <c:v>5.3084660156311543</c:v>
                </c:pt>
                <c:pt idx="202">
                  <c:v>5.4087005693220362</c:v>
                </c:pt>
                <c:pt idx="203">
                  <c:v>5.2105210398494259</c:v>
                </c:pt>
                <c:pt idx="204">
                  <c:v>4.8718372032954687</c:v>
                </c:pt>
                <c:pt idx="205">
                  <c:v>4.3086273418755905</c:v>
                </c:pt>
                <c:pt idx="206">
                  <c:v>3.6910825348891181</c:v>
                </c:pt>
                <c:pt idx="207">
                  <c:v>3.034883227606314</c:v>
                </c:pt>
                <c:pt idx="208">
                  <c:v>2.3264166001147482</c:v>
                </c:pt>
                <c:pt idx="209">
                  <c:v>1.6264395515970427</c:v>
                </c:pt>
                <c:pt idx="210">
                  <c:v>1.0142292649759026</c:v>
                </c:pt>
                <c:pt idx="211">
                  <c:v>0.44915850393624046</c:v>
                </c:pt>
                <c:pt idx="212">
                  <c:v>1.3548343545876307E-2</c:v>
                </c:pt>
                <c:pt idx="213">
                  <c:v>-0.37108255639094667</c:v>
                </c:pt>
                <c:pt idx="214">
                  <c:v>-0.69222196942256575</c:v>
                </c:pt>
                <c:pt idx="215">
                  <c:v>-0.88639024315371318</c:v>
                </c:pt>
                <c:pt idx="216">
                  <c:v>-0.94793327734845478</c:v>
                </c:pt>
                <c:pt idx="217">
                  <c:v>-0.96691137949455919</c:v>
                </c:pt>
                <c:pt idx="218">
                  <c:v>-0.97675269749882809</c:v>
                </c:pt>
                <c:pt idx="219">
                  <c:v>-0.95882029778092914</c:v>
                </c:pt>
                <c:pt idx="220">
                  <c:v>-1.0168442570878349</c:v>
                </c:pt>
                <c:pt idx="221">
                  <c:v>-1.1415271415472792</c:v>
                </c:pt>
                <c:pt idx="222">
                  <c:v>-1.3047558287026337</c:v>
                </c:pt>
                <c:pt idx="223">
                  <c:v>-1.4777419633978255</c:v>
                </c:pt>
                <c:pt idx="224">
                  <c:v>-1.6833363602287648</c:v>
                </c:pt>
                <c:pt idx="225">
                  <c:v>-1.8658772290824801</c:v>
                </c:pt>
                <c:pt idx="226">
                  <c:v>-1.9258561893174899</c:v>
                </c:pt>
                <c:pt idx="227">
                  <c:v>-1.8992484893932817</c:v>
                </c:pt>
                <c:pt idx="228">
                  <c:v>-1.8353790163980153</c:v>
                </c:pt>
                <c:pt idx="229">
                  <c:v>-1.7324819223610521</c:v>
                </c:pt>
                <c:pt idx="230">
                  <c:v>-1.6635256954557625</c:v>
                </c:pt>
                <c:pt idx="231">
                  <c:v>-1.5828001374611875</c:v>
                </c:pt>
                <c:pt idx="232">
                  <c:v>-1.4859089307984816</c:v>
                </c:pt>
                <c:pt idx="233">
                  <c:v>-1.3106975769875429</c:v>
                </c:pt>
                <c:pt idx="234">
                  <c:v>-1.100411859860122</c:v>
                </c:pt>
                <c:pt idx="235">
                  <c:v>-0.83852662073165196</c:v>
                </c:pt>
                <c:pt idx="236">
                  <c:v>-0.56664700058650741</c:v>
                </c:pt>
                <c:pt idx="237">
                  <c:v>-0.37501382940584521</c:v>
                </c:pt>
                <c:pt idx="238">
                  <c:v>-0.23441273246560346</c:v>
                </c:pt>
                <c:pt idx="239">
                  <c:v>-0.1331124512821048</c:v>
                </c:pt>
                <c:pt idx="240">
                  <c:v>-4.3742696250276325E-2</c:v>
                </c:pt>
                <c:pt idx="241">
                  <c:v>7.5583263344019894E-3</c:v>
                </c:pt>
                <c:pt idx="242">
                  <c:v>-5.0670869357283724E-2</c:v>
                </c:pt>
                <c:pt idx="243">
                  <c:v>-0.1847538944637396</c:v>
                </c:pt>
                <c:pt idx="244">
                  <c:v>-0.31984236599105342</c:v>
                </c:pt>
                <c:pt idx="245">
                  <c:v>-0.46992712368272826</c:v>
                </c:pt>
                <c:pt idx="246">
                  <c:v>-0.57739558996610607</c:v>
                </c:pt>
                <c:pt idx="247">
                  <c:v>-0.6382802375559925</c:v>
                </c:pt>
                <c:pt idx="248">
                  <c:v>-0.68414681728758342</c:v>
                </c:pt>
                <c:pt idx="249">
                  <c:v>-0.78077340428493469</c:v>
                </c:pt>
                <c:pt idx="250">
                  <c:v>-0.89774373394407569</c:v>
                </c:pt>
                <c:pt idx="251">
                  <c:v>-0.97748664004968222</c:v>
                </c:pt>
                <c:pt idx="252">
                  <c:v>-0.99127144938559497</c:v>
                </c:pt>
                <c:pt idx="253">
                  <c:v>-1.002214552337968</c:v>
                </c:pt>
                <c:pt idx="254">
                  <c:v>-1.0538291648613554</c:v>
                </c:pt>
                <c:pt idx="255">
                  <c:v>-1.1647570534625404</c:v>
                </c:pt>
                <c:pt idx="256">
                  <c:v>-1.3776223834998544</c:v>
                </c:pt>
                <c:pt idx="257">
                  <c:v>-1.6190216654929031</c:v>
                </c:pt>
                <c:pt idx="258">
                  <c:v>-1.8946674013583062</c:v>
                </c:pt>
                <c:pt idx="259">
                  <c:v>-2.1615228363431029</c:v>
                </c:pt>
                <c:pt idx="260">
                  <c:v>-2.4447964352409199</c:v>
                </c:pt>
                <c:pt idx="261">
                  <c:v>-2.6986339221528532</c:v>
                </c:pt>
                <c:pt idx="262">
                  <c:v>-2.8880797807633729</c:v>
                </c:pt>
                <c:pt idx="263">
                  <c:v>-3.0407551953586305</c:v>
                </c:pt>
                <c:pt idx="264">
                  <c:v>-3.1063100131783949</c:v>
                </c:pt>
                <c:pt idx="265">
                  <c:v>-3.0903098795764157</c:v>
                </c:pt>
                <c:pt idx="266">
                  <c:v>-2.8952558007944669</c:v>
                </c:pt>
                <c:pt idx="267">
                  <c:v>-2.6225519284779302</c:v>
                </c:pt>
                <c:pt idx="268">
                  <c:v>-2.3260895237688923</c:v>
                </c:pt>
                <c:pt idx="269">
                  <c:v>-2.0216247244766179</c:v>
                </c:pt>
                <c:pt idx="270">
                  <c:v>-1.7493431893412845</c:v>
                </c:pt>
                <c:pt idx="271">
                  <c:v>-1.4859813801590542</c:v>
                </c:pt>
                <c:pt idx="272">
                  <c:v>-1.2430965279412427</c:v>
                </c:pt>
                <c:pt idx="273">
                  <c:v>-1.037942543502989</c:v>
                </c:pt>
                <c:pt idx="274">
                  <c:v>-0.77659844564696778</c:v>
                </c:pt>
                <c:pt idx="275">
                  <c:v>-0.4929228027542647</c:v>
                </c:pt>
                <c:pt idx="276">
                  <c:v>1.6278898033158573E-2</c:v>
                </c:pt>
                <c:pt idx="277">
                  <c:v>0.66866406982891946</c:v>
                </c:pt>
                <c:pt idx="278">
                  <c:v>1.3334297122939904</c:v>
                </c:pt>
                <c:pt idx="279">
                  <c:v>2.0066776110441191</c:v>
                </c:pt>
                <c:pt idx="280">
                  <c:v>2.6219226407255243</c:v>
                </c:pt>
                <c:pt idx="281">
                  <c:v>3.1032341152677834</c:v>
                </c:pt>
                <c:pt idx="282">
                  <c:v>3.4221863289712831</c:v>
                </c:pt>
                <c:pt idx="283">
                  <c:v>3.6325644481453008</c:v>
                </c:pt>
                <c:pt idx="284">
                  <c:v>3.7836624825677392</c:v>
                </c:pt>
                <c:pt idx="285">
                  <c:v>3.9250945555520653</c:v>
                </c:pt>
                <c:pt idx="286">
                  <c:v>4.0943644139958346</c:v>
                </c:pt>
                <c:pt idx="287">
                  <c:v>4.1599711837630036</c:v>
                </c:pt>
                <c:pt idx="288">
                  <c:v>4.2383043893718186</c:v>
                </c:pt>
                <c:pt idx="289">
                  <c:v>4.2850018154662957</c:v>
                </c:pt>
                <c:pt idx="290">
                  <c:v>4.2352003652483248</c:v>
                </c:pt>
                <c:pt idx="291">
                  <c:v>4.1414856204522215</c:v>
                </c:pt>
                <c:pt idx="292">
                  <c:v>4.0425236904729269</c:v>
                </c:pt>
                <c:pt idx="293">
                  <c:v>3.9828338397498624</c:v>
                </c:pt>
                <c:pt idx="294">
                  <c:v>4.1160325463426863</c:v>
                </c:pt>
                <c:pt idx="295">
                  <c:v>4.2893104562720108</c:v>
                </c:pt>
                <c:pt idx="296">
                  <c:v>4.3014876904928245</c:v>
                </c:pt>
                <c:pt idx="297">
                  <c:v>4.0848233295058698</c:v>
                </c:pt>
                <c:pt idx="298">
                  <c:v>3.696459864908789</c:v>
                </c:pt>
                <c:pt idx="299">
                  <c:v>3.2495861925123681</c:v>
                </c:pt>
                <c:pt idx="300">
                  <c:v>2.8481101295240139</c:v>
                </c:pt>
                <c:pt idx="301">
                  <c:v>2.4837398942426017</c:v>
                </c:pt>
                <c:pt idx="302">
                  <c:v>2.2090354780760535</c:v>
                </c:pt>
                <c:pt idx="303">
                  <c:v>2.0011738342179513</c:v>
                </c:pt>
                <c:pt idx="304">
                  <c:v>1.8166544270763099</c:v>
                </c:pt>
                <c:pt idx="305">
                  <c:v>1.6559672866793065</c:v>
                </c:pt>
                <c:pt idx="306">
                  <c:v>1.534809970321561</c:v>
                </c:pt>
                <c:pt idx="307">
                  <c:v>1.5475387164520158</c:v>
                </c:pt>
                <c:pt idx="308">
                  <c:v>1.6257908068714917</c:v>
                </c:pt>
                <c:pt idx="309">
                  <c:v>1.6479593207507031</c:v>
                </c:pt>
                <c:pt idx="310">
                  <c:v>1.7142969088440527</c:v>
                </c:pt>
                <c:pt idx="311">
                  <c:v>1.8210366256528385</c:v>
                </c:pt>
                <c:pt idx="312">
                  <c:v>1.9106470781527842</c:v>
                </c:pt>
                <c:pt idx="313">
                  <c:v>2.0872040031983996</c:v>
                </c:pt>
                <c:pt idx="314">
                  <c:v>2.0145125331917297</c:v>
                </c:pt>
                <c:pt idx="315">
                  <c:v>1.7813061518177358</c:v>
                </c:pt>
                <c:pt idx="316">
                  <c:v>1.4546999755577459</c:v>
                </c:pt>
                <c:pt idx="317">
                  <c:v>1.1492500351604813</c:v>
                </c:pt>
                <c:pt idx="318">
                  <c:v>0.91544468383724809</c:v>
                </c:pt>
                <c:pt idx="319">
                  <c:v>0.78649252998854791</c:v>
                </c:pt>
                <c:pt idx="320">
                  <c:v>0.82666638483278643</c:v>
                </c:pt>
                <c:pt idx="321">
                  <c:v>0.91157867237061163</c:v>
                </c:pt>
                <c:pt idx="322">
                  <c:v>0.96407730225600019</c:v>
                </c:pt>
                <c:pt idx="323">
                  <c:v>1.0264100024683778</c:v>
                </c:pt>
                <c:pt idx="324">
                  <c:v>1.0481371351196545</c:v>
                </c:pt>
                <c:pt idx="325">
                  <c:v>1.2061733452287013</c:v>
                </c:pt>
                <c:pt idx="326">
                  <c:v>1.4290391624560321</c:v>
                </c:pt>
                <c:pt idx="327">
                  <c:v>1.6415418776864243</c:v>
                </c:pt>
                <c:pt idx="328">
                  <c:v>1.8409643481825833</c:v>
                </c:pt>
                <c:pt idx="329">
                  <c:v>2.018655198230876</c:v>
                </c:pt>
                <c:pt idx="330">
                  <c:v>2.1319546172307255</c:v>
                </c:pt>
                <c:pt idx="331">
                  <c:v>2.2762614782988351</c:v>
                </c:pt>
                <c:pt idx="332">
                  <c:v>2.3313642989929351</c:v>
                </c:pt>
                <c:pt idx="333">
                  <c:v>2.2955501048088403</c:v>
                </c:pt>
                <c:pt idx="334">
                  <c:v>2.2593849072513428</c:v>
                </c:pt>
                <c:pt idx="335">
                  <c:v>2.2368171768366079</c:v>
                </c:pt>
                <c:pt idx="336">
                  <c:v>2.24023587169131</c:v>
                </c:pt>
                <c:pt idx="337">
                  <c:v>2.1806287000975537</c:v>
                </c:pt>
                <c:pt idx="338">
                  <c:v>2.0827040879869489</c:v>
                </c:pt>
                <c:pt idx="339">
                  <c:v>1.9330695404881526</c:v>
                </c:pt>
                <c:pt idx="340">
                  <c:v>1.7029296774798959</c:v>
                </c:pt>
                <c:pt idx="341">
                  <c:v>1.4115278780764546</c:v>
                </c:pt>
                <c:pt idx="342">
                  <c:v>1.2051487134297754</c:v>
                </c:pt>
                <c:pt idx="343">
                  <c:v>1.1260237861199673</c:v>
                </c:pt>
                <c:pt idx="344">
                  <c:v>1.1700413427067886</c:v>
                </c:pt>
                <c:pt idx="345">
                  <c:v>1.263453173771933</c:v>
                </c:pt>
                <c:pt idx="346">
                  <c:v>1.3264410736536414</c:v>
                </c:pt>
                <c:pt idx="347">
                  <c:v>1.3300517795834943</c:v>
                </c:pt>
                <c:pt idx="348">
                  <c:v>1.2973734226011477</c:v>
                </c:pt>
                <c:pt idx="349">
                  <c:v>1.2467685390937564</c:v>
                </c:pt>
                <c:pt idx="350">
                  <c:v>1.151074992309298</c:v>
                </c:pt>
                <c:pt idx="351">
                  <c:v>1.0138782983625509</c:v>
                </c:pt>
                <c:pt idx="352">
                  <c:v>0.88729876724834922</c:v>
                </c:pt>
                <c:pt idx="353">
                  <c:v>0.75332037625341541</c:v>
                </c:pt>
                <c:pt idx="354">
                  <c:v>0.61538414172441869</c:v>
                </c:pt>
                <c:pt idx="355">
                  <c:v>0.46771284686625392</c:v>
                </c:pt>
                <c:pt idx="356">
                  <c:v>0.27929302857640276</c:v>
                </c:pt>
                <c:pt idx="357">
                  <c:v>4.8727384299944415E-2</c:v>
                </c:pt>
                <c:pt idx="358">
                  <c:v>-0.23744126786769462</c:v>
                </c:pt>
                <c:pt idx="359">
                  <c:v>-0.61231990727716257</c:v>
                </c:pt>
                <c:pt idx="360">
                  <c:v>-1.0011716928468855</c:v>
                </c:pt>
                <c:pt idx="361">
                  <c:v>-1.3531410907997756</c:v>
                </c:pt>
                <c:pt idx="362">
                  <c:v>-1.6804014429672707</c:v>
                </c:pt>
                <c:pt idx="363">
                  <c:v>-2.0608529583625605</c:v>
                </c:pt>
                <c:pt idx="364">
                  <c:v>-2.5135012420203915</c:v>
                </c:pt>
                <c:pt idx="365">
                  <c:v>-3.0247015473444288</c:v>
                </c:pt>
                <c:pt idx="366">
                  <c:v>-3.5735303367446201</c:v>
                </c:pt>
                <c:pt idx="367">
                  <c:v>-4.0761625235875236</c:v>
                </c:pt>
                <c:pt idx="368">
                  <c:v>-4.4830892551045487</c:v>
                </c:pt>
                <c:pt idx="369">
                  <c:v>-4.8929301648674848</c:v>
                </c:pt>
                <c:pt idx="370">
                  <c:v>-5.270684756518067</c:v>
                </c:pt>
                <c:pt idx="371">
                  <c:v>-5.5020626465267712</c:v>
                </c:pt>
                <c:pt idx="372">
                  <c:v>-5.6071331927901884</c:v>
                </c:pt>
                <c:pt idx="373">
                  <c:v>-5.5298714876876733</c:v>
                </c:pt>
                <c:pt idx="374">
                  <c:v>-5.3754035799732733</c:v>
                </c:pt>
                <c:pt idx="375">
                  <c:v>-5.1771650798467768</c:v>
                </c:pt>
                <c:pt idx="376">
                  <c:v>-4.9588591324490183</c:v>
                </c:pt>
                <c:pt idx="377">
                  <c:v>-4.7577922270070392</c:v>
                </c:pt>
                <c:pt idx="378">
                  <c:v>-4.5456882460915686</c:v>
                </c:pt>
                <c:pt idx="379">
                  <c:v>-4.2417495245715457</c:v>
                </c:pt>
                <c:pt idx="380">
                  <c:v>-3.8622650193572556</c:v>
                </c:pt>
                <c:pt idx="381">
                  <c:v>-3.4150900026549635</c:v>
                </c:pt>
                <c:pt idx="382">
                  <c:v>-2.9772028371715917</c:v>
                </c:pt>
                <c:pt idx="383">
                  <c:v>-2.5727934176805913</c:v>
                </c:pt>
                <c:pt idx="384">
                  <c:v>-2.1812501027559894</c:v>
                </c:pt>
                <c:pt idx="385">
                  <c:v>-1.8659744229226196</c:v>
                </c:pt>
                <c:pt idx="386">
                  <c:v>-1.6319955313817336</c:v>
                </c:pt>
                <c:pt idx="387">
                  <c:v>-1.402794157229994</c:v>
                </c:pt>
                <c:pt idx="388">
                  <c:v>-1.2021572383039623</c:v>
                </c:pt>
                <c:pt idx="389">
                  <c:v>-1.08527579991141</c:v>
                </c:pt>
                <c:pt idx="390">
                  <c:v>-0.96088610950706288</c:v>
                </c:pt>
                <c:pt idx="391">
                  <c:v>-0.82415523953929271</c:v>
                </c:pt>
                <c:pt idx="392">
                  <c:v>-0.62993566390720035</c:v>
                </c:pt>
                <c:pt idx="393">
                  <c:v>-0.39343169059520411</c:v>
                </c:pt>
                <c:pt idx="394">
                  <c:v>-0.1984045271603665</c:v>
                </c:pt>
                <c:pt idx="395">
                  <c:v>5.8457862503903668E-3</c:v>
                </c:pt>
                <c:pt idx="396">
                  <c:v>0.22653544609688681</c:v>
                </c:pt>
                <c:pt idx="397">
                  <c:v>0.35833262194854365</c:v>
                </c:pt>
                <c:pt idx="398">
                  <c:v>0.56852273052927171</c:v>
                </c:pt>
                <c:pt idx="399">
                  <c:v>0.8195223234920187</c:v>
                </c:pt>
                <c:pt idx="400">
                  <c:v>1.041826976838623</c:v>
                </c:pt>
                <c:pt idx="401">
                  <c:v>1.2147277728672992</c:v>
                </c:pt>
                <c:pt idx="402">
                  <c:v>1.3014348211034816</c:v>
                </c:pt>
                <c:pt idx="403">
                  <c:v>1.3813293848417041</c:v>
                </c:pt>
                <c:pt idx="404">
                  <c:v>1.5115206150465708</c:v>
                </c:pt>
                <c:pt idx="405">
                  <c:v>1.6626478324162632</c:v>
                </c:pt>
                <c:pt idx="406">
                  <c:v>1.8115159560843221</c:v>
                </c:pt>
                <c:pt idx="407">
                  <c:v>1.9826137468329543</c:v>
                </c:pt>
                <c:pt idx="408">
                  <c:v>2.1884586498621621</c:v>
                </c:pt>
                <c:pt idx="409">
                  <c:v>2.4025373180369507</c:v>
                </c:pt>
                <c:pt idx="410">
                  <c:v>2.6186397781866182</c:v>
                </c:pt>
                <c:pt idx="411">
                  <c:v>2.8086625720832212</c:v>
                </c:pt>
                <c:pt idx="412">
                  <c:v>2.9579991094526461</c:v>
                </c:pt>
                <c:pt idx="413">
                  <c:v>3.0431727749954716</c:v>
                </c:pt>
                <c:pt idx="414">
                  <c:v>3.0893334335074223</c:v>
                </c:pt>
                <c:pt idx="415">
                  <c:v>3.1226402902808577</c:v>
                </c:pt>
                <c:pt idx="416">
                  <c:v>3.1744463072271421</c:v>
                </c:pt>
                <c:pt idx="417">
                  <c:v>3.2379475591604199</c:v>
                </c:pt>
                <c:pt idx="418">
                  <c:v>3.3076430293678887</c:v>
                </c:pt>
                <c:pt idx="419">
                  <c:v>3.3283875507007399</c:v>
                </c:pt>
                <c:pt idx="420">
                  <c:v>3.284569057829879</c:v>
                </c:pt>
                <c:pt idx="421">
                  <c:v>3.1906273225024466</c:v>
                </c:pt>
                <c:pt idx="422">
                  <c:v>2.9579417488034405</c:v>
                </c:pt>
                <c:pt idx="423">
                  <c:v>2.6834767355468032</c:v>
                </c:pt>
                <c:pt idx="424">
                  <c:v>2.3427550218708109</c:v>
                </c:pt>
                <c:pt idx="425">
                  <c:v>1.9198982695107329</c:v>
                </c:pt>
                <c:pt idx="426">
                  <c:v>1.4828162667726312</c:v>
                </c:pt>
                <c:pt idx="427">
                  <c:v>1.0831544941023374</c:v>
                </c:pt>
                <c:pt idx="428">
                  <c:v>0.66432378592425556</c:v>
                </c:pt>
                <c:pt idx="429">
                  <c:v>0.2737035056379814</c:v>
                </c:pt>
                <c:pt idx="430">
                  <c:v>-6.9649696332170052E-2</c:v>
                </c:pt>
                <c:pt idx="431">
                  <c:v>-0.36202803818021562</c:v>
                </c:pt>
                <c:pt idx="432">
                  <c:v>-0.58811620012110288</c:v>
                </c:pt>
                <c:pt idx="433">
                  <c:v>-0.79185007511217398</c:v>
                </c:pt>
                <c:pt idx="434">
                  <c:v>-0.92218188033435355</c:v>
                </c:pt>
                <c:pt idx="435">
                  <c:v>-1.033470078520887</c:v>
                </c:pt>
                <c:pt idx="436">
                  <c:v>-1.1102737397920537</c:v>
                </c:pt>
                <c:pt idx="437">
                  <c:v>-1.2126728298934075</c:v>
                </c:pt>
                <c:pt idx="438">
                  <c:v>-1.3331936089430774</c:v>
                </c:pt>
                <c:pt idx="439">
                  <c:v>-1.438166337699204</c:v>
                </c:pt>
                <c:pt idx="440">
                  <c:v>-1.6034279486665721</c:v>
                </c:pt>
                <c:pt idx="441">
                  <c:v>-1.7896924031830577</c:v>
                </c:pt>
                <c:pt idx="442">
                  <c:v>-2.0059101502783423</c:v>
                </c:pt>
                <c:pt idx="443">
                  <c:v>-2.2344087797114098</c:v>
                </c:pt>
                <c:pt idx="444">
                  <c:v>-2.4024797519050889</c:v>
                </c:pt>
                <c:pt idx="445">
                  <c:v>-2.4689308543478985</c:v>
                </c:pt>
                <c:pt idx="446">
                  <c:v>-2.3915807707120242</c:v>
                </c:pt>
                <c:pt idx="447">
                  <c:v>-2.2116942653810492</c:v>
                </c:pt>
                <c:pt idx="448">
                  <c:v>-1.9706526133630697</c:v>
                </c:pt>
                <c:pt idx="449">
                  <c:v>-1.6553901979129007</c:v>
                </c:pt>
                <c:pt idx="450">
                  <c:v>-1.31146666659626</c:v>
                </c:pt>
                <c:pt idx="451">
                  <c:v>-0.96924562574209849</c:v>
                </c:pt>
                <c:pt idx="452">
                  <c:v>-0.6018622445827031</c:v>
                </c:pt>
                <c:pt idx="453">
                  <c:v>-0.28669154020541188</c:v>
                </c:pt>
                <c:pt idx="454">
                  <c:v>-3.8941282040196951E-2</c:v>
                </c:pt>
                <c:pt idx="455">
                  <c:v>0.2208205148963216</c:v>
                </c:pt>
                <c:pt idx="456">
                  <c:v>0.41655457694435311</c:v>
                </c:pt>
                <c:pt idx="457">
                  <c:v>0.49633179546332534</c:v>
                </c:pt>
                <c:pt idx="458">
                  <c:v>0.49939257001215531</c:v>
                </c:pt>
                <c:pt idx="459">
                  <c:v>0.38925263236400859</c:v>
                </c:pt>
                <c:pt idx="460">
                  <c:v>0.18018111654920646</c:v>
                </c:pt>
                <c:pt idx="461">
                  <c:v>-3.5039049404941014E-2</c:v>
                </c:pt>
                <c:pt idx="462">
                  <c:v>-0.13968548526672547</c:v>
                </c:pt>
                <c:pt idx="463">
                  <c:v>-0.28505139854049799</c:v>
                </c:pt>
                <c:pt idx="464">
                  <c:v>-0.42772646026888483</c:v>
                </c:pt>
                <c:pt idx="465">
                  <c:v>-0.56919528369527284</c:v>
                </c:pt>
                <c:pt idx="466">
                  <c:v>-0.5778670843169782</c:v>
                </c:pt>
                <c:pt idx="467">
                  <c:v>-0.49977763190187297</c:v>
                </c:pt>
                <c:pt idx="468">
                  <c:v>-0.36005156453182535</c:v>
                </c:pt>
                <c:pt idx="469">
                  <c:v>-0.19697183077402883</c:v>
                </c:pt>
                <c:pt idx="470">
                  <c:v>-6.1337347817422588E-2</c:v>
                </c:pt>
                <c:pt idx="471">
                  <c:v>4.5178731195010105E-2</c:v>
                </c:pt>
                <c:pt idx="472">
                  <c:v>9.8241568878371655E-2</c:v>
                </c:pt>
                <c:pt idx="473">
                  <c:v>0.13745066707206766</c:v>
                </c:pt>
                <c:pt idx="474">
                  <c:v>0.24841124495764683</c:v>
                </c:pt>
                <c:pt idx="475">
                  <c:v>0.32696419293767665</c:v>
                </c:pt>
                <c:pt idx="476">
                  <c:v>0.4688885820105696</c:v>
                </c:pt>
                <c:pt idx="477">
                  <c:v>0.67313547084382208</c:v>
                </c:pt>
                <c:pt idx="478">
                  <c:v>0.89495016257185767</c:v>
                </c:pt>
                <c:pt idx="479">
                  <c:v>0.98248441606342407</c:v>
                </c:pt>
                <c:pt idx="480">
                  <c:v>0.93355623591077908</c:v>
                </c:pt>
                <c:pt idx="481">
                  <c:v>0.91105454614090098</c:v>
                </c:pt>
                <c:pt idx="482">
                  <c:v>0.91746173198087999</c:v>
                </c:pt>
                <c:pt idx="483">
                  <c:v>0.98247886377279292</c:v>
                </c:pt>
                <c:pt idx="484">
                  <c:v>1.0556096416998648</c:v>
                </c:pt>
                <c:pt idx="485">
                  <c:v>1.1435407276682821</c:v>
                </c:pt>
                <c:pt idx="486">
                  <c:v>1.2293843583807085</c:v>
                </c:pt>
                <c:pt idx="487">
                  <c:v>1.2935349108933187</c:v>
                </c:pt>
                <c:pt idx="488">
                  <c:v>1.4496180124118991</c:v>
                </c:pt>
                <c:pt idx="489">
                  <c:v>1.6839049239117991</c:v>
                </c:pt>
                <c:pt idx="490">
                  <c:v>1.8836016219791096</c:v>
                </c:pt>
                <c:pt idx="491">
                  <c:v>2.1137053072338965</c:v>
                </c:pt>
                <c:pt idx="492">
                  <c:v>2.3613037649296276</c:v>
                </c:pt>
                <c:pt idx="493">
                  <c:v>2.5407198730625717</c:v>
                </c:pt>
                <c:pt idx="494">
                  <c:v>2.6682671800789772</c:v>
                </c:pt>
                <c:pt idx="495">
                  <c:v>2.6647016083523511</c:v>
                </c:pt>
                <c:pt idx="496">
                  <c:v>2.6127970392172459</c:v>
                </c:pt>
                <c:pt idx="497">
                  <c:v>2.4850811510247048</c:v>
                </c:pt>
                <c:pt idx="498">
                  <c:v>2.2765772777304196</c:v>
                </c:pt>
                <c:pt idx="499">
                  <c:v>2.0152011899747393</c:v>
                </c:pt>
                <c:pt idx="500">
                  <c:v>1.6915039394874782</c:v>
                </c:pt>
                <c:pt idx="501">
                  <c:v>1.304046490870385</c:v>
                </c:pt>
                <c:pt idx="502">
                  <c:v>0.83971934502621448</c:v>
                </c:pt>
                <c:pt idx="503">
                  <c:v>0.39606601860525942</c:v>
                </c:pt>
                <c:pt idx="504">
                  <c:v>9.9016057580276207E-3</c:v>
                </c:pt>
                <c:pt idx="505">
                  <c:v>-0.24470421763622052</c:v>
                </c:pt>
                <c:pt idx="506">
                  <c:v>-0.42783596637458027</c:v>
                </c:pt>
                <c:pt idx="507">
                  <c:v>-0.56468797330615528</c:v>
                </c:pt>
                <c:pt idx="508">
                  <c:v>-0.62115430928707149</c:v>
                </c:pt>
                <c:pt idx="509">
                  <c:v>-0.64376095398985766</c:v>
                </c:pt>
                <c:pt idx="510">
                  <c:v>-0.63467499724845566</c:v>
                </c:pt>
                <c:pt idx="511">
                  <c:v>-0.62374023506125909</c:v>
                </c:pt>
                <c:pt idx="512">
                  <c:v>-0.68402903480601651</c:v>
                </c:pt>
                <c:pt idx="513">
                  <c:v>-0.73876981882963266</c:v>
                </c:pt>
                <c:pt idx="514">
                  <c:v>-0.78005530444940629</c:v>
                </c:pt>
                <c:pt idx="515">
                  <c:v>-0.757591893123857</c:v>
                </c:pt>
                <c:pt idx="516">
                  <c:v>-0.63559143315420519</c:v>
                </c:pt>
                <c:pt idx="517">
                  <c:v>-0.43732369288602624</c:v>
                </c:pt>
                <c:pt idx="518">
                  <c:v>-0.22186924549804507</c:v>
                </c:pt>
                <c:pt idx="519">
                  <c:v>3.6805170923602609E-2</c:v>
                </c:pt>
                <c:pt idx="520">
                  <c:v>0.30078824771137747</c:v>
                </c:pt>
                <c:pt idx="521">
                  <c:v>0.60989379193357252</c:v>
                </c:pt>
                <c:pt idx="522">
                  <c:v>0.9448440250114345</c:v>
                </c:pt>
                <c:pt idx="523">
                  <c:v>1.3434491641850288</c:v>
                </c:pt>
                <c:pt idx="524">
                  <c:v>1.7546440054922963</c:v>
                </c:pt>
                <c:pt idx="525">
                  <c:v>2.2068873772410491</c:v>
                </c:pt>
                <c:pt idx="526">
                  <c:v>2.6312329961554979</c:v>
                </c:pt>
                <c:pt idx="527">
                  <c:v>2.9707094912870571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D1-46AD-ABED-05E2D8744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187055"/>
        <c:axId val="271185615"/>
      </c:lineChart>
      <c:dateAx>
        <c:axId val="271187055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185615"/>
        <c:crosses val="autoZero"/>
        <c:auto val="1"/>
        <c:lblOffset val="100"/>
        <c:baseTimeUnit val="days"/>
      </c:dateAx>
      <c:valAx>
        <c:axId val="271185615"/>
        <c:scaling>
          <c:orientation val="minMax"/>
          <c:max val="8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187055"/>
        <c:crosses val="autoZero"/>
        <c:crossBetween val="between"/>
      </c:valAx>
      <c:valAx>
        <c:axId val="271195215"/>
        <c:scaling>
          <c:orientation val="minMax"/>
          <c:max val="2"/>
          <c:min val="-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178895"/>
        <c:crosses val="max"/>
        <c:crossBetween val="between"/>
      </c:valAx>
      <c:dateAx>
        <c:axId val="2711788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71195215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Dividends!$A$2:$A$81</c:f>
              <c:numCache>
                <c:formatCode>m/d/yyyy</c:formatCode>
                <c:ptCount val="80"/>
                <c:pt idx="0">
                  <c:v>36843</c:v>
                </c:pt>
                <c:pt idx="1">
                  <c:v>37208</c:v>
                </c:pt>
                <c:pt idx="2">
                  <c:v>37573</c:v>
                </c:pt>
                <c:pt idx="3">
                  <c:v>37937</c:v>
                </c:pt>
                <c:pt idx="4">
                  <c:v>38301</c:v>
                </c:pt>
                <c:pt idx="5">
                  <c:v>38666</c:v>
                </c:pt>
                <c:pt idx="6">
                  <c:v>39034</c:v>
                </c:pt>
                <c:pt idx="7">
                  <c:v>39399</c:v>
                </c:pt>
                <c:pt idx="8">
                  <c:v>39506</c:v>
                </c:pt>
                <c:pt idx="9">
                  <c:v>39604</c:v>
                </c:pt>
                <c:pt idx="10">
                  <c:v>39688</c:v>
                </c:pt>
                <c:pt idx="11">
                  <c:v>39778</c:v>
                </c:pt>
                <c:pt idx="12">
                  <c:v>39870</c:v>
                </c:pt>
                <c:pt idx="13">
                  <c:v>39968</c:v>
                </c:pt>
                <c:pt idx="14">
                  <c:v>40053</c:v>
                </c:pt>
                <c:pt idx="15">
                  <c:v>40144</c:v>
                </c:pt>
                <c:pt idx="16">
                  <c:v>40234</c:v>
                </c:pt>
                <c:pt idx="17">
                  <c:v>40325</c:v>
                </c:pt>
                <c:pt idx="18">
                  <c:v>40420</c:v>
                </c:pt>
                <c:pt idx="19">
                  <c:v>40511</c:v>
                </c:pt>
                <c:pt idx="20">
                  <c:v>40599</c:v>
                </c:pt>
                <c:pt idx="21">
                  <c:v>40690</c:v>
                </c:pt>
                <c:pt idx="22">
                  <c:v>40785</c:v>
                </c:pt>
                <c:pt idx="23">
                  <c:v>40876</c:v>
                </c:pt>
                <c:pt idx="24">
                  <c:v>40967</c:v>
                </c:pt>
                <c:pt idx="25">
                  <c:v>41060</c:v>
                </c:pt>
                <c:pt idx="26">
                  <c:v>41151</c:v>
                </c:pt>
                <c:pt idx="27">
                  <c:v>41242</c:v>
                </c:pt>
                <c:pt idx="28">
                  <c:v>41332</c:v>
                </c:pt>
                <c:pt idx="29">
                  <c:v>41424</c:v>
                </c:pt>
                <c:pt idx="30">
                  <c:v>41515</c:v>
                </c:pt>
                <c:pt idx="31">
                  <c:v>41605</c:v>
                </c:pt>
                <c:pt idx="32">
                  <c:v>41697</c:v>
                </c:pt>
                <c:pt idx="33">
                  <c:v>41788</c:v>
                </c:pt>
                <c:pt idx="34">
                  <c:v>41879</c:v>
                </c:pt>
                <c:pt idx="35">
                  <c:v>41969</c:v>
                </c:pt>
                <c:pt idx="36">
                  <c:v>42061</c:v>
                </c:pt>
                <c:pt idx="37">
                  <c:v>42152</c:v>
                </c:pt>
                <c:pt idx="38">
                  <c:v>42244</c:v>
                </c:pt>
                <c:pt idx="39">
                  <c:v>42335</c:v>
                </c:pt>
                <c:pt idx="40">
                  <c:v>42426</c:v>
                </c:pt>
                <c:pt idx="41">
                  <c:v>42523</c:v>
                </c:pt>
                <c:pt idx="42">
                  <c:v>42612</c:v>
                </c:pt>
                <c:pt idx="43">
                  <c:v>42703</c:v>
                </c:pt>
                <c:pt idx="44">
                  <c:v>42793</c:v>
                </c:pt>
                <c:pt idx="45">
                  <c:v>42887</c:v>
                </c:pt>
                <c:pt idx="46">
                  <c:v>42977</c:v>
                </c:pt>
                <c:pt idx="47">
                  <c:v>43069</c:v>
                </c:pt>
                <c:pt idx="48">
                  <c:v>43159</c:v>
                </c:pt>
                <c:pt idx="49">
                  <c:v>43252</c:v>
                </c:pt>
                <c:pt idx="50">
                  <c:v>43343</c:v>
                </c:pt>
                <c:pt idx="51">
                  <c:v>43434</c:v>
                </c:pt>
                <c:pt idx="52">
                  <c:v>43524</c:v>
                </c:pt>
                <c:pt idx="53">
                  <c:v>43616</c:v>
                </c:pt>
                <c:pt idx="54">
                  <c:v>43707</c:v>
                </c:pt>
                <c:pt idx="55">
                  <c:v>43798</c:v>
                </c:pt>
                <c:pt idx="56">
                  <c:v>43889</c:v>
                </c:pt>
                <c:pt idx="57">
                  <c:v>43980</c:v>
                </c:pt>
                <c:pt idx="58">
                  <c:v>44074</c:v>
                </c:pt>
                <c:pt idx="59">
                  <c:v>44165</c:v>
                </c:pt>
                <c:pt idx="60">
                  <c:v>44253</c:v>
                </c:pt>
                <c:pt idx="61">
                  <c:v>44344</c:v>
                </c:pt>
                <c:pt idx="62">
                  <c:v>44439</c:v>
                </c:pt>
                <c:pt idx="63">
                  <c:v>44530</c:v>
                </c:pt>
                <c:pt idx="64">
                  <c:v>44620</c:v>
                </c:pt>
                <c:pt idx="65">
                  <c:v>44715</c:v>
                </c:pt>
                <c:pt idx="66">
                  <c:v>44804</c:v>
                </c:pt>
                <c:pt idx="67">
                  <c:v>44895</c:v>
                </c:pt>
                <c:pt idx="68">
                  <c:v>44985</c:v>
                </c:pt>
                <c:pt idx="69">
                  <c:v>45079</c:v>
                </c:pt>
                <c:pt idx="70">
                  <c:v>45169</c:v>
                </c:pt>
                <c:pt idx="71">
                  <c:v>45260</c:v>
                </c:pt>
                <c:pt idx="72">
                  <c:v>45351</c:v>
                </c:pt>
                <c:pt idx="73">
                  <c:v>45446</c:v>
                </c:pt>
                <c:pt idx="74">
                  <c:v>45538</c:v>
                </c:pt>
                <c:pt idx="75">
                  <c:v>45628</c:v>
                </c:pt>
                <c:pt idx="76">
                  <c:v>45719</c:v>
                </c:pt>
                <c:pt idx="77">
                  <c:v>45810</c:v>
                </c:pt>
                <c:pt idx="78">
                  <c:v>45902</c:v>
                </c:pt>
                <c:pt idx="79">
                  <c:v>45992</c:v>
                </c:pt>
              </c:numCache>
            </c:numRef>
          </c:cat>
          <c:val>
            <c:numRef>
              <c:f>Dividends!$B$2:$B$81</c:f>
              <c:numCache>
                <c:formatCode>General</c:formatCode>
                <c:ptCount val="80"/>
                <c:pt idx="0">
                  <c:v>0.215</c:v>
                </c:pt>
                <c:pt idx="1">
                  <c:v>0.22500000000000001</c:v>
                </c:pt>
                <c:pt idx="2">
                  <c:v>0.23499999999999999</c:v>
                </c:pt>
                <c:pt idx="3">
                  <c:v>0.4</c:v>
                </c:pt>
                <c:pt idx="4">
                  <c:v>0.55000000000000004</c:v>
                </c:pt>
                <c:pt idx="5">
                  <c:v>0.67</c:v>
                </c:pt>
                <c:pt idx="6">
                  <c:v>1</c:v>
                </c:pt>
                <c:pt idx="7">
                  <c:v>1.5</c:v>
                </c:pt>
                <c:pt idx="8">
                  <c:v>0.375</c:v>
                </c:pt>
                <c:pt idx="9">
                  <c:v>0.375</c:v>
                </c:pt>
                <c:pt idx="10">
                  <c:v>0.375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0.61</c:v>
                </c:pt>
                <c:pt idx="20">
                  <c:v>0.61</c:v>
                </c:pt>
                <c:pt idx="21">
                  <c:v>0.61</c:v>
                </c:pt>
                <c:pt idx="22">
                  <c:v>0.61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0.77</c:v>
                </c:pt>
                <c:pt idx="28">
                  <c:v>0.77</c:v>
                </c:pt>
                <c:pt idx="29">
                  <c:v>0.77</c:v>
                </c:pt>
                <c:pt idx="30">
                  <c:v>0.77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0.85</c:v>
                </c:pt>
                <c:pt idx="36">
                  <c:v>0.85</c:v>
                </c:pt>
                <c:pt idx="37">
                  <c:v>0.85</c:v>
                </c:pt>
                <c:pt idx="38">
                  <c:v>0.85</c:v>
                </c:pt>
                <c:pt idx="39">
                  <c:v>0.89</c:v>
                </c:pt>
                <c:pt idx="40">
                  <c:v>0.89</c:v>
                </c:pt>
                <c:pt idx="41">
                  <c:v>0.89</c:v>
                </c:pt>
                <c:pt idx="42">
                  <c:v>0.89</c:v>
                </c:pt>
                <c:pt idx="43">
                  <c:v>0.94</c:v>
                </c:pt>
                <c:pt idx="44">
                  <c:v>0.94</c:v>
                </c:pt>
                <c:pt idx="45">
                  <c:v>0.94</c:v>
                </c:pt>
                <c:pt idx="46">
                  <c:v>0.94</c:v>
                </c:pt>
                <c:pt idx="47">
                  <c:v>1.01</c:v>
                </c:pt>
                <c:pt idx="48">
                  <c:v>1.01</c:v>
                </c:pt>
                <c:pt idx="49">
                  <c:v>1.01</c:v>
                </c:pt>
                <c:pt idx="50">
                  <c:v>1.01</c:v>
                </c:pt>
                <c:pt idx="51">
                  <c:v>1.1599999999999999</c:v>
                </c:pt>
                <c:pt idx="52">
                  <c:v>1.1599999999999999</c:v>
                </c:pt>
                <c:pt idx="53">
                  <c:v>1.1599999999999999</c:v>
                </c:pt>
                <c:pt idx="54">
                  <c:v>1.1599999999999999</c:v>
                </c:pt>
                <c:pt idx="55">
                  <c:v>1.25</c:v>
                </c:pt>
                <c:pt idx="56">
                  <c:v>1.25</c:v>
                </c:pt>
                <c:pt idx="57">
                  <c:v>1.25</c:v>
                </c:pt>
                <c:pt idx="58">
                  <c:v>1.25</c:v>
                </c:pt>
                <c:pt idx="59">
                  <c:v>1.29</c:v>
                </c:pt>
                <c:pt idx="60">
                  <c:v>1.29</c:v>
                </c:pt>
                <c:pt idx="61">
                  <c:v>1.29</c:v>
                </c:pt>
                <c:pt idx="62">
                  <c:v>1.29</c:v>
                </c:pt>
                <c:pt idx="63">
                  <c:v>1.38</c:v>
                </c:pt>
                <c:pt idx="64">
                  <c:v>1.38</c:v>
                </c:pt>
                <c:pt idx="65">
                  <c:v>1.38</c:v>
                </c:pt>
                <c:pt idx="66">
                  <c:v>1.38</c:v>
                </c:pt>
                <c:pt idx="67">
                  <c:v>1.52</c:v>
                </c:pt>
                <c:pt idx="68">
                  <c:v>1.52</c:v>
                </c:pt>
                <c:pt idx="69">
                  <c:v>1.52</c:v>
                </c:pt>
                <c:pt idx="70">
                  <c:v>1.52</c:v>
                </c:pt>
                <c:pt idx="71">
                  <c:v>1.67</c:v>
                </c:pt>
                <c:pt idx="72">
                  <c:v>1.67</c:v>
                </c:pt>
                <c:pt idx="73">
                  <c:v>1.67</c:v>
                </c:pt>
                <c:pt idx="74">
                  <c:v>1.67</c:v>
                </c:pt>
                <c:pt idx="75">
                  <c:v>1.77</c:v>
                </c:pt>
                <c:pt idx="76">
                  <c:v>1.77</c:v>
                </c:pt>
                <c:pt idx="77">
                  <c:v>1.77</c:v>
                </c:pt>
                <c:pt idx="78">
                  <c:v>1.77</c:v>
                </c:pt>
                <c:pt idx="79">
                  <c:v>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D-4CAB-A835-ABFA3C8E4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5145695"/>
        <c:axId val="1485129375"/>
      </c:barChart>
      <c:dateAx>
        <c:axId val="14851456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29375"/>
        <c:crosses val="autoZero"/>
        <c:auto val="1"/>
        <c:lblOffset val="100"/>
        <c:baseTimeUnit val="months"/>
      </c:dateAx>
      <c:valAx>
        <c:axId val="148512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4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Forecast!$B$2:$B$120</c:f>
              <c:numCache>
                <c:formatCode>General</c:formatCode>
                <c:ptCount val="119"/>
                <c:pt idx="0">
                  <c:v>293.04000000000002</c:v>
                </c:pt>
                <c:pt idx="1">
                  <c:v>292.89600000000002</c:v>
                </c:pt>
                <c:pt idx="2">
                  <c:v>294.28499999999997</c:v>
                </c:pt>
                <c:pt idx="3">
                  <c:v>297.67399999999998</c:v>
                </c:pt>
                <c:pt idx="4">
                  <c:v>294.96199999999999</c:v>
                </c:pt>
                <c:pt idx="5">
                  <c:v>287.87</c:v>
                </c:pt>
                <c:pt idx="6">
                  <c:v>289.72000000000003</c:v>
                </c:pt>
                <c:pt idx="7">
                  <c:v>295.0575</c:v>
                </c:pt>
                <c:pt idx="8">
                  <c:v>293.81599999999997</c:v>
                </c:pt>
                <c:pt idx="9">
                  <c:v>292.01400000000001</c:v>
                </c:pt>
                <c:pt idx="10">
                  <c:v>286.572</c:v>
                </c:pt>
                <c:pt idx="11">
                  <c:v>282.41199999999998</c:v>
                </c:pt>
                <c:pt idx="12">
                  <c:v>280.30250000000001</c:v>
                </c:pt>
                <c:pt idx="13">
                  <c:v>274.05599999999998</c:v>
                </c:pt>
                <c:pt idx="14">
                  <c:v>268.33600000000001</c:v>
                </c:pt>
                <c:pt idx="15">
                  <c:v>268.916</c:v>
                </c:pt>
                <c:pt idx="16">
                  <c:v>275.58</c:v>
                </c:pt>
                <c:pt idx="17">
                  <c:v>272.92399999999998</c:v>
                </c:pt>
                <c:pt idx="18">
                  <c:v>269.64800000000002</c:v>
                </c:pt>
                <c:pt idx="19">
                  <c:v>272.34800000000001</c:v>
                </c:pt>
                <c:pt idx="20">
                  <c:v>263.11</c:v>
                </c:pt>
                <c:pt idx="21">
                  <c:v>253.4675</c:v>
                </c:pt>
                <c:pt idx="22">
                  <c:v>259.87799999999999</c:v>
                </c:pt>
                <c:pt idx="23">
                  <c:v>253.97</c:v>
                </c:pt>
                <c:pt idx="24">
                  <c:v>254.3725</c:v>
                </c:pt>
                <c:pt idx="25">
                  <c:v>257.72000000000003</c:v>
                </c:pt>
                <c:pt idx="26">
                  <c:v>249.7175</c:v>
                </c:pt>
                <c:pt idx="27">
                  <c:v>250.572</c:v>
                </c:pt>
                <c:pt idx="28">
                  <c:v>257.32</c:v>
                </c:pt>
                <c:pt idx="29">
                  <c:v>254.084</c:v>
                </c:pt>
                <c:pt idx="30">
                  <c:v>267.74</c:v>
                </c:pt>
                <c:pt idx="31">
                  <c:v>269.39600000000002</c:v>
                </c:pt>
                <c:pt idx="32">
                  <c:v>272.85599999999999</c:v>
                </c:pt>
                <c:pt idx="33">
                  <c:v>288.32400000000001</c:v>
                </c:pt>
                <c:pt idx="34">
                  <c:v>288.37799999999999</c:v>
                </c:pt>
                <c:pt idx="35">
                  <c:v>287.75749999999999</c:v>
                </c:pt>
                <c:pt idx="36">
                  <c:v>292.334</c:v>
                </c:pt>
                <c:pt idx="37">
                  <c:v>294.63</c:v>
                </c:pt>
                <c:pt idx="38">
                  <c:v>301.428</c:v>
                </c:pt>
                <c:pt idx="39">
                  <c:v>303.69200000000001</c:v>
                </c:pt>
                <c:pt idx="40">
                  <c:v>303.13200000000001</c:v>
                </c:pt>
                <c:pt idx="41">
                  <c:v>313.47199999999998</c:v>
                </c:pt>
                <c:pt idx="42">
                  <c:v>304.46800000000002</c:v>
                </c:pt>
                <c:pt idx="43">
                  <c:v>294.12599999999998</c:v>
                </c:pt>
                <c:pt idx="44">
                  <c:v>295.56</c:v>
                </c:pt>
                <c:pt idx="45">
                  <c:v>297.74399999999997</c:v>
                </c:pt>
                <c:pt idx="46">
                  <c:v>290.298</c:v>
                </c:pt>
                <c:pt idx="47">
                  <c:v>295.90249999999997</c:v>
                </c:pt>
                <c:pt idx="48">
                  <c:v>296.096</c:v>
                </c:pt>
                <c:pt idx="49">
                  <c:v>298.28199999999998</c:v>
                </c:pt>
                <c:pt idx="50">
                  <c:v>293.51600000000002</c:v>
                </c:pt>
                <c:pt idx="51">
                  <c:v>293.42500000000001</c:v>
                </c:pt>
                <c:pt idx="52">
                  <c:v>291.69499999999999</c:v>
                </c:pt>
                <c:pt idx="53">
                  <c:v>287.6825</c:v>
                </c:pt>
                <c:pt idx="54">
                  <c:v>281.64</c:v>
                </c:pt>
                <c:pt idx="55">
                  <c:v>283.46249999999998</c:v>
                </c:pt>
                <c:pt idx="56">
                  <c:v>290.67399999999998</c:v>
                </c:pt>
                <c:pt idx="57">
                  <c:v>291.46199999999999</c:v>
                </c:pt>
                <c:pt idx="58">
                  <c:v>308.95999999999998</c:v>
                </c:pt>
                <c:pt idx="59">
                  <c:v>303.65750000000003</c:v>
                </c:pt>
                <c:pt idx="60">
                  <c:v>308.16800000000001</c:v>
                </c:pt>
                <c:pt idx="61">
                  <c:v>309.834</c:v>
                </c:pt>
                <c:pt idx="62">
                  <c:v>304.14799999999997</c:v>
                </c:pt>
                <c:pt idx="63">
                  <c:v>305.38600000000002</c:v>
                </c:pt>
                <c:pt idx="64">
                  <c:v>309.19</c:v>
                </c:pt>
                <c:pt idx="65">
                  <c:v>311.19200000000001</c:v>
                </c:pt>
                <c:pt idx="66">
                  <c:v>304.072</c:v>
                </c:pt>
                <c:pt idx="67">
                  <c:v>312.23750000000001</c:v>
                </c:pt>
                <c:pt idx="68">
                  <c:v>315.84800000000001</c:v>
                </c:pt>
                <c:pt idx="69">
                  <c:v>315.31200000000001</c:v>
                </c:pt>
                <c:pt idx="70">
                  <c:v>315.56200000000001</c:v>
                </c:pt>
                <c:pt idx="71">
                  <c:v>312.24</c:v>
                </c:pt>
                <c:pt idx="72">
                  <c:v>317.27</c:v>
                </c:pt>
                <c:pt idx="73">
                  <c:v>313.375</c:v>
                </c:pt>
                <c:pt idx="74">
                  <c:v>310.596</c:v>
                </c:pt>
                <c:pt idx="75">
                  <c:v>302.40000000000003</c:v>
                </c:pt>
                <c:pt idx="76">
                  <c:v>291.42250000000001</c:v>
                </c:pt>
                <c:pt idx="77">
                  <c:v>288.74400000000003</c:v>
                </c:pt>
                <c:pt idx="78">
                  <c:v>294.59249999999997</c:v>
                </c:pt>
                <c:pt idx="79">
                  <c:v>295.30399999999997</c:v>
                </c:pt>
                <c:pt idx="80">
                  <c:v>299.56799999999998</c:v>
                </c:pt>
                <c:pt idx="81">
                  <c:v>297.19600000000003</c:v>
                </c:pt>
                <c:pt idx="82">
                  <c:v>301.69200000000001</c:v>
                </c:pt>
                <c:pt idx="83">
                  <c:v>304.80400000000003</c:v>
                </c:pt>
                <c:pt idx="84">
                  <c:v>305.79000000000002</c:v>
                </c:pt>
                <c:pt idx="85">
                  <c:v>312</c:v>
                </c:pt>
                <c:pt idx="86">
                  <c:v>312.714</c:v>
                </c:pt>
                <c:pt idx="87">
                  <c:v>315.88</c:v>
                </c:pt>
                <c:pt idx="88">
                  <c:v>309.01799999999997</c:v>
                </c:pt>
                <c:pt idx="89">
                  <c:v>302.77</c:v>
                </c:pt>
                <c:pt idx="90">
                  <c:v>303.61</c:v>
                </c:pt>
                <c:pt idx="91">
                  <c:v>301.65199999999999</c:v>
                </c:pt>
                <c:pt idx="92">
                  <c:v>295.51600000000002</c:v>
                </c:pt>
                <c:pt idx="93">
                  <c:v>304.66800000000001</c:v>
                </c:pt>
                <c:pt idx="94">
                  <c:v>307.62400000000002</c:v>
                </c:pt>
                <c:pt idx="95">
                  <c:v>303.92200000000003</c:v>
                </c:pt>
                <c:pt idx="96">
                  <c:v>299.86400000000003</c:v>
                </c:pt>
                <c:pt idx="97">
                  <c:v>305.49599999999998</c:v>
                </c:pt>
                <c:pt idx="98">
                  <c:v>305.14800000000002</c:v>
                </c:pt>
                <c:pt idx="99">
                  <c:v>309.89249999999998</c:v>
                </c:pt>
                <c:pt idx="100">
                  <c:v>306.35399999999998</c:v>
                </c:pt>
                <c:pt idx="101">
                  <c:v>311.50799999999998</c:v>
                </c:pt>
                <c:pt idx="102">
                  <c:v>317.48199999999997</c:v>
                </c:pt>
                <c:pt idx="103">
                  <c:v>312.76749999999998</c:v>
                </c:pt>
                <c:pt idx="104">
                  <c:v>306.36249999999995</c:v>
                </c:pt>
                <c:pt idx="105">
                  <c:v>304.59800000000001</c:v>
                </c:pt>
                <c:pt idx="106">
                  <c:v>308.07400000000001</c:v>
                </c:pt>
                <c:pt idx="107">
                  <c:v>305.95249999999999</c:v>
                </c:pt>
                <c:pt idx="108">
                  <c:v>314.07799999999997</c:v>
                </c:pt>
                <c:pt idx="109">
                  <c:v>322.46800000000002</c:v>
                </c:pt>
                <c:pt idx="110">
                  <c:v>325.60000000000002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3B-4555-93A8-8818EFE4E698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Forecast!$C$2:$C$120</c:f>
              <c:numCache>
                <c:formatCode>General</c:formatCode>
                <c:ptCount val="119"/>
                <c:pt idx="110">
                  <c:v>322.79214701166757</c:v>
                </c:pt>
                <c:pt idx="111">
                  <c:v>324.80055140383092</c:v>
                </c:pt>
                <c:pt idx="112">
                  <c:v>338.51288742464152</c:v>
                </c:pt>
                <c:pt idx="113">
                  <c:v>334.10520382905435</c:v>
                </c:pt>
                <c:pt idx="114">
                  <c:v>340.98419974058493</c:v>
                </c:pt>
                <c:pt idx="115">
                  <c:v>330.72253920996974</c:v>
                </c:pt>
                <c:pt idx="116">
                  <c:v>338.81328566423201</c:v>
                </c:pt>
                <c:pt idx="117">
                  <c:v>343.56454366856053</c:v>
                </c:pt>
                <c:pt idx="118">
                  <c:v>339.76454120475586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3B-4555-93A8-8818EFE4E698}"/>
            </c:ext>
          </c:extLst>
        </c:ser>
        <c:ser>
          <c:idx val="2"/>
          <c:order val="2"/>
          <c:tx>
            <c:strRef>
              <c:f>Forecast!$E$1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Forecast!$E$2:$E$120</c:f>
              <c:numCache>
                <c:formatCode>General</c:formatCode>
                <c:ptCount val="119"/>
                <c:pt idx="110">
                  <c:v>311.38558880046901</c:v>
                </c:pt>
                <c:pt idx="111">
                  <c:v>311.50845005545773</c:v>
                </c:pt>
                <c:pt idx="112">
                  <c:v>324.12241559819472</c:v>
                </c:pt>
                <c:pt idx="113">
                  <c:v>317.36350262403732</c:v>
                </c:pt>
                <c:pt idx="114">
                  <c:v>323.18581113659928</c:v>
                </c:pt>
                <c:pt idx="115">
                  <c:v>312.88222992379269</c:v>
                </c:pt>
                <c:pt idx="116">
                  <c:v>317.61574799994219</c:v>
                </c:pt>
                <c:pt idx="117">
                  <c:v>324.30566771321384</c:v>
                </c:pt>
                <c:pt idx="118">
                  <c:v>319.61094590881629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3B-4555-93A8-8818EFE4E698}"/>
            </c:ext>
          </c:extLst>
        </c:ser>
        <c:ser>
          <c:idx val="3"/>
          <c:order val="3"/>
          <c:tx>
            <c:strRef>
              <c:f>Forecast!$F$1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Forecast!$F$2:$F$120</c:f>
              <c:numCache>
                <c:formatCode>General</c:formatCode>
                <c:ptCount val="119"/>
                <c:pt idx="110">
                  <c:v>334.19870522286612</c:v>
                </c:pt>
                <c:pt idx="111">
                  <c:v>338.09265275220412</c:v>
                </c:pt>
                <c:pt idx="112">
                  <c:v>352.90335925108832</c:v>
                </c:pt>
                <c:pt idx="113">
                  <c:v>350.84690503407137</c:v>
                </c:pt>
                <c:pt idx="114">
                  <c:v>358.78258834457057</c:v>
                </c:pt>
                <c:pt idx="115">
                  <c:v>348.56284849614678</c:v>
                </c:pt>
                <c:pt idx="116">
                  <c:v>360.01082332852184</c:v>
                </c:pt>
                <c:pt idx="117">
                  <c:v>362.82341962390723</c:v>
                </c:pt>
                <c:pt idx="118">
                  <c:v>359.91813650069543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3B-4555-93A8-8818EFE4E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2511727"/>
        <c:axId val="1552510767"/>
      </c:lineChart>
      <c:dateAx>
        <c:axId val="1552511727"/>
        <c:scaling>
          <c:orientation val="minMax"/>
          <c:min val="4565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510767"/>
        <c:crosses val="autoZero"/>
        <c:auto val="1"/>
        <c:lblOffset val="100"/>
        <c:baseTimeUnit val="days"/>
      </c:dateAx>
      <c:valAx>
        <c:axId val="1552510767"/>
        <c:scaling>
          <c:orientation val="minMax"/>
          <c:min val="2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51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4</xdr:row>
      <xdr:rowOff>180975</xdr:rowOff>
    </xdr:from>
    <xdr:to>
      <xdr:col>12</xdr:col>
      <xdr:colOff>333375</xdr:colOff>
      <xdr:row>19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0B4639-9D68-4C06-B852-531ADB4B9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104775</xdr:colOff>
      <xdr:row>20</xdr:row>
      <xdr:rowOff>133350</xdr:rowOff>
    </xdr:from>
    <xdr:to>
      <xdr:col>12</xdr:col>
      <xdr:colOff>361950</xdr:colOff>
      <xdr:row>35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727D66D-AA00-48A3-8A28-6BB63E4B0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142875</xdr:colOff>
      <xdr:row>36</xdr:row>
      <xdr:rowOff>171450</xdr:rowOff>
    </xdr:from>
    <xdr:to>
      <xdr:col>12</xdr:col>
      <xdr:colOff>381000</xdr:colOff>
      <xdr:row>51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C5C0EF9-F629-4016-9187-5E269E13D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190501</xdr:colOff>
      <xdr:row>53</xdr:row>
      <xdr:rowOff>38101</xdr:rowOff>
    </xdr:from>
    <xdr:to>
      <xdr:col>12</xdr:col>
      <xdr:colOff>419101</xdr:colOff>
      <xdr:row>66</xdr:row>
      <xdr:rowOff>133351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5BF39C5-5681-4568-BD2B-41A43BDA3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228600</xdr:colOff>
      <xdr:row>68</xdr:row>
      <xdr:rowOff>9525</xdr:rowOff>
    </xdr:from>
    <xdr:to>
      <xdr:col>12</xdr:col>
      <xdr:colOff>504825</xdr:colOff>
      <xdr:row>80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2F8B810-19F6-4E54-90B7-4E206EB23B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228601</xdr:colOff>
      <xdr:row>81</xdr:row>
      <xdr:rowOff>180975</xdr:rowOff>
    </xdr:from>
    <xdr:to>
      <xdr:col>12</xdr:col>
      <xdr:colOff>552451</xdr:colOff>
      <xdr:row>94</xdr:row>
      <xdr:rowOff>28575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8B16C03-74FA-4212-ADDA-11ED925E6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47AF03-6368-47DD-ACB2-0B3E2236A5B7}" autoFormatId="16" applyNumberFormats="0" applyBorderFormats="0" applyFontFormats="0" applyPatternFormats="0" applyAlignmentFormats="0" applyWidthHeightFormats="0">
  <queryTableRefresh nextId="7" unboundColumnsRight="4">
    <queryTableFields count="6">
      <queryTableField id="1" name="Week" tableColumnId="1"/>
      <queryTableField id="2" name="Average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28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  <v t="i">763</v>
    <v t="i">764</v>
    <v t="i">765</v>
    <v t="i">766</v>
    <v t="i">767</v>
    <v t="i">770</v>
  </a>
  <a r="1" c="528">
    <v>297.04000000000002</v>
    <v>294.39</v>
    <v>291.74</v>
    <v>288.99</v>
    <v>291.89999999999998</v>
    <v>290.87</v>
    <v>294.08999999999997</v>
    <v>294.14999999999998</v>
    <v>293.47000000000003</v>
    <v>291.08999999999997</v>
    <v>291.16000000000003</v>
    <v>294.36</v>
    <v>300.52999999999997</v>
    <v>298.41000000000003</v>
    <v>300.05</v>
    <v>300.44</v>
    <v>297.20999999999998</v>
    <v>292.26</v>
    <v>292.31</v>
    <v>294.64999999999998</v>
    <v>292.72000000000003</v>
    <v>298.08</v>
    <v>297.05</v>
    <v>285.97000000000003</v>
    <v>284.64999999999998</v>
    <v>287.33</v>
    <v>291.93</v>
    <v>289.47000000000003</v>
    <v>289.44</v>
    <v>287.11</v>
    <v>288.17</v>
    <v>291.86</v>
    <v>292.02</v>
    <v>292.64999999999998</v>
    <v>293.91000000000003</v>
    <v>295.92</v>
    <v>297.75</v>
    <v>297.12</v>
    <v>293.76</v>
    <v>295.19</v>
    <v>292.27999999999997</v>
    <v>290.73</v>
    <v>290.94</v>
    <v>292.54000000000002</v>
    <v>292.93</v>
    <v>291.11</v>
    <v>292.55</v>
    <v>294.82</v>
    <v>294.31</v>
    <v>282.86</v>
    <v>281.73</v>
    <v>279.14</v>
    <v>278.58</v>
    <v>282.87</v>
    <v>284.45</v>
    <v>283.52999999999997</v>
    <v>282.63</v>
    <v>278.62</v>
    <v>278.62</v>
    <v>282.02</v>
    <v>281.95</v>
    <v>280.22000000000003</v>
    <v>277.74</v>
    <v>275.54000000000002</v>
    <v>270.08999999999997</v>
    <v>266.69</v>
    <v>267.56</v>
    <v>269.44</v>
    <v>268.67</v>
    <v>268.62</v>
    <v>267.39</v>
    <v>266.23</v>
    <v>265.43</v>
    <v>269.95</v>
    <v>270.98</v>
    <v>271.99</v>
    <v>275.58</v>
    <v>276.88</v>
    <v>276.75</v>
    <v>275.60000000000002</v>
    <v>273.08999999999997</v>
    <v>273.55</v>
    <v>273.04000000000002</v>
    <v>274.43</v>
    <v>273.27999999999997</v>
    <v>270.32</v>
    <v>269.3</v>
    <v>267.5</v>
    <v>268.49</v>
    <v>267.95</v>
    <v>275</v>
    <v>271.32</v>
    <v>270.66000000000003</v>
    <v>273.87</v>
    <v>273.51</v>
    <v>272.38</v>
    <v>267.87</v>
    <v>265.87</v>
    <v>265.77</v>
    <v>257.93</v>
    <v>258.11</v>
    <v>253.54</v>
    <v>249.37</v>
    <v>252.07</v>
    <v>258.89</v>
    <v>259.75</v>
    <v>262.72000000000003</v>
    <v>259.99</v>
    <v>260.72000000000003</v>
    <v>256.20999999999998</v>
    <v>253.81</v>
    <v>254.28</v>
    <v>254.48</v>
    <v>253.7</v>
    <v>253.58</v>
    <v>253.51</v>
    <v>250.79</v>
    <v>253.8</v>
    <v>259.39</v>
    <v>260.38</v>
    <v>257.38</v>
    <v>257.83</v>
    <v>258.17</v>
    <v>254.84</v>
    <v>249.99</v>
    <v>247.79</v>
    <v>250</v>
    <v>251.09</v>
    <v>247.85</v>
    <v>245.82</v>
    <v>250.49</v>
    <v>254.8</v>
    <v>253.9</v>
    <v>251.53</v>
    <v>257.27</v>
    <v>261</v>
    <v>259.52</v>
    <v>257.27999999999997</v>
    <v>259.54000000000002</v>
    <v>254.05</v>
    <v>253.37</v>
    <v>251.46</v>
    <v>252</v>
    <v>261.42</v>
    <v>266.44</v>
    <v>265.39999999999998</v>
    <v>268.75</v>
    <v>276.69</v>
    <v>268.45</v>
    <v>270.06</v>
    <v>269.37</v>
    <v>271.19</v>
    <v>267.91000000000003</v>
    <v>269.45999999999998</v>
    <v>270.31</v>
    <v>271.14999999999998</v>
    <v>274.87</v>
    <v>278.49</v>
    <v>287.55</v>
    <v>285.63</v>
    <v>289.70999999999998</v>
    <v>289.20999999999998</v>
    <v>289.52</v>
    <v>288.68</v>
    <v>289.64</v>
    <v>287.05</v>
    <v>287.86</v>
    <v>288.66000000000003</v>
    <v>285.52</v>
    <v>288.02999999999997</v>
    <v>287.97000000000003</v>
    <v>289.51</v>
    <v>291.29000000000002</v>
    <v>291.27</v>
    <v>290.23</v>
    <v>292.35000000000002</v>
    <v>296.52999999999997</v>
    <v>296.69</v>
    <v>293.75</v>
    <v>292.02999999999997</v>
    <v>293.85000000000002</v>
    <v>296.83</v>
    <v>299.06</v>
    <v>300.27</v>
    <v>300.47000000000003</v>
    <v>303.64999999999998</v>
    <v>303.69</v>
    <v>304.51</v>
    <v>302.98</v>
    <v>303.76</v>
    <v>303.45</v>
    <v>303.76</v>
    <v>300.85000000000002</v>
    <v>301.89999999999998</v>
    <v>303.83</v>
    <v>304.04000000000002</v>
    <v>305.04000000000002</v>
    <v>309.83999999999997</v>
    <v>313.33999999999997</v>
    <v>312.92</v>
    <v>314.7</v>
    <v>316.56</v>
    <v>314.89</v>
    <v>314.69</v>
    <v>298.57</v>
    <v>301.58</v>
    <v>292.61</v>
    <v>296.79000000000002</v>
    <v>295</v>
    <v>291.52</v>
    <v>292.11</v>
    <v>295.20999999999998</v>
    <v>292.85000000000002</v>
    <v>297.32</v>
    <v>294</v>
    <v>294.66000000000003</v>
    <v>298.97000000000003</v>
    <v>301.52999999999997</v>
    <v>298.64999999999998</v>
    <v>297.35000000000002</v>
    <v>298.56</v>
    <v>292.63</v>
    <v>291.10000000000002</v>
    <v>290.73</v>
    <v>290.91000000000003</v>
    <v>288.47000000000003</v>
    <v>290.27999999999997</v>
    <v>296.19</v>
    <v>296.33</v>
    <v>295.08</v>
    <v>296.01</v>
    <v>292.44</v>
    <v>294.5</v>
    <v>295.08999999999997</v>
    <v>299.47000000000003</v>
    <v>298.98</v>
    <v>301.37</v>
    <v>300.70999999999998</v>
    <v>296.10000000000002</v>
    <v>296.63</v>
    <v>296.60000000000002</v>
    <v>297.70999999999998</v>
    <v>296.08</v>
    <v>290.88</v>
    <v>290.23</v>
    <v>292.68</v>
    <v>291.29000000000002</v>
    <v>293.99</v>
    <v>294.8</v>
    <v>293.62</v>
    <v>289.60000000000002</v>
    <v>289.89</v>
    <v>292.51</v>
    <v>294.77999999999997</v>
    <v>292.18</v>
    <v>289.33999999999997</v>
    <v>286.89999999999998</v>
    <v>282.31</v>
    <v>283.63</v>
    <v>281.58</v>
    <v>282.3</v>
    <v>279.74</v>
    <v>280.95</v>
    <v>282.61</v>
    <v>281.35000000000002</v>
    <v>284.43</v>
    <v>285.45999999999998</v>
    <v>293.08999999999997</v>
    <v>291.14999999999998</v>
    <v>290.11</v>
    <v>290.32</v>
    <v>288.7</v>
    <v>290.05</v>
    <v>289.77</v>
    <v>288.83</v>
    <v>294.36</v>
    <v>294.3</v>
    <v>308.42</v>
    <v>310.20999999999998</v>
    <v>307.60000000000002</v>
    <v>310.02</v>
    <v>308.55</v>
    <v>304.83</v>
    <v>301.94</v>
    <v>303.05</v>
    <v>304.81</v>
    <v>307.57</v>
    <v>310.72000000000003</v>
    <v>304.27</v>
    <v>309.95</v>
    <v>308.33</v>
    <v>304.29000000000002</v>
    <v>305.77</v>
    <v>307.45</v>
    <v>310.37</v>
    <v>321.29000000000002</v>
    <v>317.25</v>
    <v>306.76</v>
    <v>299.39999999999998</v>
    <v>297.5</v>
    <v>299.83</v>
    <v>303.97000000000003</v>
    <v>303.60000000000002</v>
    <v>306.92</v>
    <v>307</v>
    <v>305.44</v>
    <v>305.67</v>
    <v>306.92</v>
    <v>313.58</v>
    <v>312.69</v>
    <v>307.08999999999997</v>
    <v>312.37</v>
    <v>313.63</v>
    <v>311.58</v>
    <v>318.27</v>
    <v>300.11</v>
    <v>299.89</v>
    <v>299.83</v>
    <v>303.95999999999998</v>
    <v>306.77999999999997</v>
    <v>309.89999999999998</v>
    <v>316.07</v>
    <v>312.48</v>
    <v>309.10000000000002</v>
    <v>311.3</v>
    <v>308.72000000000003</v>
    <v>319.08</v>
    <v>318.48</v>
    <v>316.22000000000003</v>
    <v>316.74</v>
    <v>316.81</v>
    <v>314.5</v>
    <v>319.64999999999998</v>
    <v>313.64</v>
    <v>311.95999999999998</v>
    <v>315.72000000000003</v>
    <v>316.79000000000002</v>
    <v>318.13</v>
    <v>313.49</v>
    <v>313.68</v>
    <v>311.92</v>
    <v>308.69</v>
    <v>307.5</v>
    <v>314.48</v>
    <v>318.61</v>
    <v>321.23</v>
    <v>319.8</v>
    <v>316.44</v>
    <v>314.31</v>
    <v>314.57</v>
    <v>314.95</v>
    <v>312.83999999999997</v>
    <v>311.86</v>
    <v>313.85000000000002</v>
    <v>312.68</v>
    <v>312.39</v>
    <v>311.57</v>
    <v>308.98</v>
    <v>307.36</v>
    <v>304.77999999999997</v>
    <v>300.43</v>
    <v>301.72000000000003</v>
    <v>303.16000000000003</v>
    <v>301.91000000000003</v>
    <v>296.29000000000002</v>
    <v>292.31</v>
    <v>289.63</v>
    <v>287.45999999999998</v>
    <v>289.52</v>
    <v>291.47000000000003</v>
    <v>285.55</v>
    <v>285.63</v>
    <v>291.55</v>
    <v>292.17</v>
    <v>297.49</v>
    <v>294.63</v>
    <v>294.08</v>
    <v>293.52999999999997</v>
    <v>291.67</v>
    <v>293.02</v>
    <v>298.39</v>
    <v>299.91000000000003</v>
    <v>301.88</v>
    <v>299.62</v>
    <v>298.89999999999998</v>
    <v>300.37</v>
    <v>297.07</v>
    <v>295.74</v>
    <v>299.17</v>
    <v>298.12</v>
    <v>294.48</v>
    <v>298.47000000000003</v>
    <v>299.22000000000003</v>
    <v>302.67</v>
    <v>303.61</v>
    <v>300.07</v>
    <v>302.89</v>
    <v>304.23</v>
    <v>298.77</v>
    <v>307.66000000000003</v>
    <v>307.91000000000003</v>
    <v>305.45</v>
    <v>304.36</v>
    <v>301.64</v>
    <v>305.07</v>
    <v>308.95</v>
    <v>308.93</v>
    <v>308.7</v>
    <v>310.93</v>
    <v>313.08</v>
    <v>313.22000000000003</v>
    <v>314.07</v>
    <v>313.44</v>
    <v>312.94</v>
    <v>311.43</v>
    <v>312.22000000000003</v>
    <v>313.54000000000002</v>
    <v>315.76</v>
    <v>316.39</v>
    <v>316.99</v>
    <v>314.38</v>
    <v>312.8</v>
    <v>312.52</v>
    <v>305.94</v>
    <v>308.43</v>
    <v>305.39999999999998</v>
    <v>302.07</v>
    <v>303.29000000000002</v>
    <v>304.97000000000003</v>
    <v>301.14</v>
    <v>302.38</v>
    <v>302.99</v>
    <v>303.19</v>
    <v>304.33</v>
    <v>302.3</v>
    <v>305.24</v>
    <v>302.99</v>
    <v>303.89</v>
    <v>300.52</v>
    <v>299.88</v>
    <v>300.98</v>
    <v>296.04000000000002</v>
    <v>296.32</v>
    <v>294.39999999999998</v>
    <v>293.81</v>
    <v>297.01</v>
    <v>300.11</v>
    <v>304.56</v>
    <v>305.25</v>
    <v>305.33</v>
    <v>308.08999999999997</v>
    <v>307.77</v>
    <v>307.48</v>
    <v>310.11</v>
    <v>306.97000000000003</v>
    <v>305.79000000000002</v>
    <v>310</v>
    <v>306.39999999999998</v>
    <v>302.35000000000002</v>
    <v>302.43</v>
    <v>298.43</v>
    <v>296.37</v>
    <v>299.20999999999998</v>
    <v>305.67</v>
    <v>298.41000000000003</v>
    <v>299.66000000000003</v>
    <v>299.10000000000002</v>
    <v>306.83</v>
    <v>306.94</v>
    <v>307.58</v>
    <v>307.02999999999997</v>
    <v>304.89999999999998</v>
    <v>304.58999999999997</v>
    <v>302.74</v>
    <v>304.16000000000003</v>
    <v>309.35000000000002</v>
    <v>304.89999999999998</v>
    <v>310.45</v>
    <v>312.39999999999998</v>
    <v>311.82</v>
    <v>303.57</v>
    <v>300.72000000000003</v>
    <v>307.70999999999998</v>
    <v>308.54000000000002</v>
    <v>311.23</v>
    <v>309.79000000000002</v>
    <v>310.79000000000002</v>
    <v>310.52999999999997</v>
    <v>309.70999999999998</v>
    <v>316.72000000000003</v>
    <v>318.73</v>
    <v>314.5</v>
    <v>318.69</v>
    <v>319.64999999999998</v>
    <v>315.83999999999997</v>
    <v>316.22000000000003</v>
    <v>310.83999999999997</v>
    <v>313.33</v>
    <v>310.68</v>
    <v>308.52999999999997</v>
    <v>308.02999999999997</v>
    <v>305.63</v>
    <v>303.26</v>
    <v>299.86</v>
    <v>302.77</v>
    <v>304.16000000000003</v>
    <v>308.88</v>
    <v>307.32</v>
    <v>306.75</v>
    <v>309.44</v>
    <v>308.13</v>
    <v>308.62</v>
    <v>307.43</v>
    <v>302.83999999999997</v>
    <v>305.69</v>
    <v>306.02999999999997</v>
    <v>309.25</v>
    <v>312.95</v>
    <v>314.13</v>
    <v>312.8</v>
    <v>315.51</v>
    <v>315</v>
    <v>318.52999999999997</v>
    <v>319.48</v>
    <v>323.69</v>
    <v>323.48</v>
    <v>327.16000000000003</v>
    <v>325.60000000000002</v>
  </a>
  <a r="1" c="528">
    <v>4458519</v>
    <v>3114788</v>
    <v>4615370</v>
    <v>3407310</v>
    <v>3097218</v>
    <v>2176451</v>
    <v>2199689</v>
    <v>2047352</v>
    <v>1714818</v>
    <v>2859014</v>
    <v>2008289</v>
    <v>2221156</v>
    <v>4250885</v>
    <v>3250224</v>
    <v>1873976</v>
    <v>3209675</v>
    <v>3219625</v>
    <v>4210521</v>
    <v>3899706</v>
    <v>2524205</v>
    <v>3476264</v>
    <v>3380568</v>
    <v>3971607</v>
    <v>7581895</v>
    <v>5928192</v>
    <v>3954659</v>
    <v>4605245</v>
    <v>3323000</v>
    <v>2392314</v>
    <v>2756190</v>
    <v>2139326</v>
    <v>2401617</v>
    <v>2837573</v>
    <v>2263994</v>
    <v>2076811</v>
    <v>3146598</v>
    <v>2199138</v>
    <v>2595344</v>
    <v>2811237</v>
    <v>2507286</v>
    <v>3601848</v>
    <v>3028869</v>
    <v>2832011</v>
    <v>2969609</v>
    <v>2347965</v>
    <v>2237730</v>
    <v>2482336</v>
    <v>2893336</v>
    <v>2233076</v>
    <v>5441262</v>
    <v>4659308</v>
    <v>5071675</v>
    <v>3319435</v>
    <v>4055380</v>
    <v>2867302</v>
    <v>3653332</v>
    <v>2556320</v>
    <v>2985467</v>
    <v>2572061</v>
    <v>2604991</v>
    <v>3454073</v>
    <v>2408799</v>
    <v>2907899</v>
    <v>2747979</v>
    <v>4095144</v>
    <v>6816035</v>
    <v>3753206</v>
    <v>3935142</v>
    <v>3817458</v>
    <v>2519172</v>
    <v>2708630</v>
    <v>3686881</v>
    <v>2912853</v>
    <v>3383099</v>
    <v>3402674</v>
    <v>3017097</v>
    <v>3129435</v>
    <v>3275678</v>
    <v>4071571</v>
    <v>4179755</v>
    <v>3636458</v>
    <v>3187813</v>
    <v>6894367</v>
    <v>4843553</v>
    <v>3083956</v>
    <v>2642344</v>
    <v>2481336</v>
    <v>3160026</v>
    <v>3259842</v>
    <v>3139960</v>
    <v>4983501</v>
    <v>3840670</v>
    <v>3143235</v>
    <v>2982621</v>
    <v>2339864</v>
    <v>2454570</v>
    <v>2651117</v>
    <v>2362574</v>
    <v>1906061</v>
    <v>5636170</v>
    <v>3382879</v>
    <v>4324728</v>
    <v>4029317</v>
    <v>3599768</v>
    <v>6125399</v>
    <v>4342771</v>
    <v>4592727</v>
    <v>4136828</v>
    <v>3354270</v>
    <v>2290085</v>
    <v>2867127</v>
    <v>2729439</v>
    <v>3169566</v>
    <v>3152985</v>
    <v>2806560</v>
    <v>2532906</v>
    <v>2956314</v>
    <v>4046527</v>
    <v>8426647</v>
    <v>3901231</v>
    <v>4252250</v>
    <v>2796088</v>
    <v>2650996</v>
    <v>8958712</v>
    <v>3817576</v>
    <v>3944881</v>
    <v>2026070</v>
    <v>2814312</v>
    <v>3163853</v>
    <v>4930592</v>
    <v>4092739</v>
    <v>5548256</v>
    <v>4543006</v>
    <v>3393612</v>
    <v>4172974</v>
    <v>3711520</v>
    <v>3421839</v>
    <v>3470585</v>
    <v>2759527</v>
    <v>2653141</v>
    <v>5983281</v>
    <v>3323080</v>
    <v>4002852</v>
    <v>9380960</v>
    <v>4936596</v>
    <v>4652053</v>
    <v>4935952</v>
    <v>9585900</v>
    <v>6794876</v>
    <v>3369337</v>
    <v>3539980</v>
    <v>3227234</v>
    <v>2664877</v>
    <v>3008100</v>
    <v>2603592</v>
    <v>2242138</v>
    <v>2445218</v>
    <v>3286217</v>
    <v>5268793</v>
    <v>3697631</v>
    <v>2686435</v>
    <v>1746359</v>
    <v>2145946</v>
    <v>2018540</v>
    <v>2897582</v>
    <v>2603793</v>
    <v>1797229</v>
    <v>2528549</v>
    <v>2902782</v>
    <v>2558502</v>
    <v>2412493</v>
    <v>3863559</v>
    <v>3208635</v>
    <v>2497109</v>
    <v>2747627</v>
    <v>2274712</v>
    <v>2205535</v>
    <v>2916205</v>
    <v>2997493</v>
    <v>1788384</v>
    <v>2271388</v>
    <v>5817302</v>
    <v>2312365</v>
    <v>2408175</v>
    <v>1986241</v>
    <v>1971134</v>
    <v>3402999</v>
    <v>2286978</v>
    <v>3036208</v>
    <v>2352436</v>
    <v>1802561</v>
    <v>2432634</v>
    <v>2091776</v>
    <v>2038348</v>
    <v>1854155</v>
    <v>1739458</v>
    <v>1775710</v>
    <v>2376310</v>
    <v>3067090</v>
    <v>1821486</v>
    <v>3095192</v>
    <v>2531197</v>
    <v>2404056</v>
    <v>5889115</v>
    <v>18791952</v>
    <v>5522591</v>
    <v>8863234</v>
    <v>6655971</v>
    <v>9048877</v>
    <v>4924013</v>
    <v>4277428</v>
    <v>4131804</v>
    <v>2583053</v>
    <v>3032122</v>
    <v>4646422</v>
    <v>3357377</v>
    <v>3279284</v>
    <v>2872440</v>
    <v>2453194</v>
    <v>2327101</v>
    <v>1932557</v>
    <v>4039432</v>
    <v>2866132</v>
    <v>2353251</v>
    <v>2525012</v>
    <v>4475662</v>
    <v>2879063</v>
    <v>5021843</v>
    <v>2254326</v>
    <v>2240280</v>
    <v>1655907</v>
    <v>3150151</v>
    <v>3030992</v>
    <v>3742938</v>
    <v>2594816</v>
    <v>4158690</v>
    <v>2391898</v>
    <v>3522974</v>
    <v>3037616</v>
    <v>2040653</v>
    <v>2547703</v>
    <v>3180071</v>
    <v>3295881</v>
    <v>3800945</v>
    <v>3438533</v>
    <v>7677952</v>
    <v>2492226</v>
    <v>1460985</v>
    <v>1434337</v>
    <v>1617399</v>
    <v>1936678</v>
    <v>1915847</v>
    <v>3118262</v>
    <v>2240254</v>
    <v>2838933</v>
    <v>3419450</v>
    <v>2724217</v>
    <v>3946002</v>
    <v>3394291</v>
    <v>2238889</v>
    <v>2867781</v>
    <v>3403681</v>
    <v>3312793</v>
    <v>3858590</v>
    <v>3660600</v>
    <v>2279408</v>
    <v>2523397</v>
    <v>4343019</v>
    <v>3180370</v>
    <v>2358272</v>
    <v>2125150</v>
    <v>2557033</v>
    <v>3049143</v>
    <v>2977102</v>
    <v>2363168</v>
    <v>3589988</v>
    <v>2858016</v>
    <v>8051997</v>
    <v>4180762</v>
    <v>3110228</v>
    <v>3097175</v>
    <v>2674354</v>
    <v>3368090</v>
    <v>2990851</v>
    <v>3020024</v>
    <v>3036654</v>
    <v>3397553</v>
    <v>3891555</v>
    <v>4140908</v>
    <v>3350723</v>
    <v>4972872</v>
    <v>4371634</v>
    <v>3954691</v>
    <v>2327472</v>
    <v>2954920</v>
    <v>7607616</v>
    <v>4707592</v>
    <v>4513135</v>
    <v>4546240</v>
    <v>4178882</v>
    <v>2696979</v>
    <v>2758628</v>
    <v>2435418</v>
    <v>2812212</v>
    <v>2723487</v>
    <v>6016138</v>
    <v>3443511</v>
    <v>2657170</v>
    <v>2624998</v>
    <v>3119455</v>
    <v>3211862</v>
    <v>4418823</v>
    <v>2411454</v>
    <v>2776755</v>
    <v>7023851</v>
    <v>8831090</v>
    <v>7725857</v>
    <v>5562462</v>
    <v>8265701</v>
    <v>6049543</v>
    <v>4440059</v>
    <v>4068713</v>
    <v>2901367</v>
    <v>3099078</v>
    <v>2728460</v>
    <v>2669905</v>
    <v>4200708</v>
    <v>3210134</v>
    <v>2479485</v>
    <v>2283147</v>
    <v>2578256</v>
    <v>3164531</v>
    <v>5564594</v>
    <v>5186858</v>
    <v>3994578</v>
    <v>3534301</v>
    <v>2691660</v>
    <v>2726245</v>
    <v>2131496</v>
    <v>1917830</v>
    <v>4137861</v>
    <v>3018600</v>
    <v>2657043</v>
    <v>2928718</v>
    <v>2637287</v>
    <v>2749002</v>
    <v>2034967</v>
    <v>2386740</v>
    <v>2642001</v>
    <v>2701615</v>
    <v>2527016</v>
    <v>1935645</v>
    <v>2248937</v>
    <v>4062917</v>
    <v>2577048</v>
    <v>3028181</v>
    <v>2069546</v>
    <v>3817236</v>
    <v>2622767</v>
    <v>4059771</v>
    <v>4698701</v>
    <v>3312510</v>
    <v>2584667</v>
    <v>2435628</v>
    <v>4045666</v>
    <v>3378975</v>
    <v>4008675</v>
    <v>7084966</v>
    <v>5172494</v>
    <v>4461222</v>
    <v>4259763</v>
    <v>5354904</v>
    <v>7422178</v>
    <v>5054752</v>
    <v>5121903</v>
    <v>4021460</v>
    <v>1678645</v>
    <v>3404279</v>
    <v>3123607</v>
    <v>3266050</v>
    <v>5368072</v>
    <v>4524080</v>
    <v>5707576</v>
    <v>2937595</v>
    <v>2804844</v>
    <v>3134529</v>
    <v>3481263</v>
    <v>3037506</v>
    <v>2672021</v>
    <v>2467609</v>
    <v>4426029</v>
    <v>3401033</v>
    <v>3070470</v>
    <v>3148084</v>
    <v>2805919</v>
    <v>3639588</v>
    <v>3344793</v>
    <v>4734465</v>
    <v>4222907</v>
    <v>6474304</v>
    <v>3603475</v>
    <v>2622369</v>
    <v>2648956</v>
    <v>3440070</v>
    <v>2999334</v>
    <v>4699435</v>
    <v>3416604</v>
    <v>3272917</v>
    <v>2893574</v>
    <v>3880218</v>
    <v>2282444</v>
    <v>2796930</v>
    <v>2944405</v>
    <v>2807730</v>
    <v>3234836</v>
    <v>3471683</v>
    <v>2492471</v>
    <v>3228651</v>
    <v>3219733</v>
    <v>2881528</v>
    <v>2533259</v>
    <v>2873797</v>
    <v>2310842</v>
    <v>3479927</v>
    <v>2761496</v>
    <v>2072848</v>
    <v>3584545</v>
    <v>3578515</v>
    <v>2681606</v>
    <v>4654057</v>
    <v>5696853</v>
    <v>3657877</v>
    <v>2976905</v>
    <v>2427617</v>
    <v>2558353</v>
    <v>2284795</v>
    <v>3073835</v>
    <v>2640436</v>
    <v>3055347</v>
    <v>2690402</v>
    <v>2599053</v>
    <v>3814151</v>
    <v>2516057</v>
    <v>2464566</v>
    <v>2802739</v>
    <v>4016226</v>
    <v>3369584</v>
    <v>2992849</v>
    <v>2522103</v>
    <v>2021608</v>
    <v>2194185</v>
    <v>2329755</v>
    <v>2461407</v>
    <v>2735723</v>
    <v>2081527</v>
    <v>1994545</v>
    <v>2139674</v>
    <v>2336495</v>
    <v>2502261</v>
    <v>3128398</v>
    <v>3582719</v>
    <v>3899313</v>
    <v>4151259</v>
    <v>6070334</v>
    <v>3544869</v>
    <v>3250197</v>
    <v>3824334</v>
    <v>2755799</v>
    <v>2818642</v>
    <v>2294288</v>
    <v>3112574</v>
    <v>2435713</v>
    <v>2774197</v>
    <v>2008521</v>
    <v>4205133</v>
    <v>3348908</v>
    <v>3687330</v>
    <v>4189915</v>
    <v>2786843</v>
    <v>1850687</v>
    <v>3354081</v>
    <v>3947816</v>
    <v>4986897</v>
    <v>4632369</v>
    <v>3147587</v>
    <v>3575017</v>
    <v>2355256</v>
    <v>4104201</v>
    <v>4844183</v>
    <v>3771935</v>
    <v>3814860</v>
    <v>2972523</v>
    <v>3329002</v>
    <v>3335221</v>
    <v>7128705</v>
    <v>2514579</v>
    <v>2922808</v>
    <v>1011483</v>
    <v>1308854</v>
    <v>2148502</v>
    <v>1678742</v>
    <v>1903701</v>
    <v>3124487</v>
    <v>4573300</v>
    <v>3769102</v>
    <v>4100536</v>
    <v>3268280</v>
    <v>2971973</v>
    <v>3206608</v>
    <v>2967887</v>
    <v>2949126</v>
    <v>3189620</v>
    <v>2590593</v>
    <v>3017998</v>
    <v>3630850</v>
    <v>2809356</v>
    <v>2350447</v>
    <v>3385352</v>
    <v>2506830</v>
    <v>2184937</v>
    <v>3211259</v>
    <v>2983277</v>
    <v>3309834</v>
    <v>4043582</v>
    <v>4805925</v>
    <v>3936775</v>
    <v>2831866</v>
    <v>2674131</v>
  </a>
</arrayData>
</file>

<file path=xl/richData/rdrichvalue.xml><?xml version="1.0" encoding="utf-8"?>
<rvData xmlns="http://schemas.microsoft.com/office/spreadsheetml/2017/richdata" count="1564">
  <rv s="0">
    <fb>45293</fb>
    <v>0</v>
  </rv>
  <rv s="0">
    <fb>297.04000000000002</fb>
    <v>1</v>
  </rv>
  <rv s="0">
    <fb>4458519</fb>
    <v>2</v>
  </rv>
  <rv s="0">
    <fb>45294</fb>
    <v>0</v>
  </rv>
  <rv s="0">
    <fb>294.39</fb>
    <v>1</v>
  </rv>
  <rv s="0">
    <fb>3114788</fb>
    <v>2</v>
  </rv>
  <rv s="0">
    <fb>45295</fb>
    <v>0</v>
  </rv>
  <rv s="0">
    <fb>291.74</fb>
    <v>1</v>
  </rv>
  <rv s="0">
    <fb>4615370</fb>
    <v>2</v>
  </rv>
  <rv s="0">
    <fb>45296</fb>
    <v>0</v>
  </rv>
  <rv s="0">
    <fb>288.99</fb>
    <v>1</v>
  </rv>
  <rv s="0">
    <fb>3407310</fb>
    <v>2</v>
  </rv>
  <rv s="0">
    <fb>45299</fb>
    <v>0</v>
  </rv>
  <rv s="0">
    <fb>291.89999999999998</fb>
    <v>1</v>
  </rv>
  <rv s="0">
    <fb>3097218</fb>
    <v>2</v>
  </rv>
  <rv s="0">
    <fb>45300</fb>
    <v>0</v>
  </rv>
  <rv s="0">
    <fb>290.87</fb>
    <v>1</v>
  </rv>
  <rv s="0">
    <fb>2176451</fb>
    <v>2</v>
  </rv>
  <rv s="0">
    <fb>45301</fb>
    <v>0</v>
  </rv>
  <rv s="0">
    <fb>294.08999999999997</fb>
    <v>1</v>
  </rv>
  <rv s="0">
    <fb>2199689</fb>
    <v>2</v>
  </rv>
  <rv s="0">
    <fb>45302</fb>
    <v>0</v>
  </rv>
  <rv s="0">
    <fb>294.14999999999998</fb>
    <v>1</v>
  </rv>
  <rv s="0">
    <fb>2047352</fb>
    <v>2</v>
  </rv>
  <rv s="0">
    <fb>45303</fb>
    <v>0</v>
  </rv>
  <rv s="0">
    <fb>293.47000000000003</fb>
    <v>1</v>
  </rv>
  <rv s="0">
    <fb>1714818</fb>
    <v>2</v>
  </rv>
  <rv s="0">
    <fb>45307</fb>
    <v>0</v>
  </rv>
  <rv s="0">
    <fb>291.08999999999997</fb>
    <v>1</v>
  </rv>
  <rv s="0">
    <fb>2859014</fb>
    <v>2</v>
  </rv>
  <rv s="0">
    <fb>45308</fb>
    <v>0</v>
  </rv>
  <rv s="0">
    <fb>291.16000000000003</fb>
    <v>1</v>
  </rv>
  <rv s="0">
    <fb>2008289</fb>
    <v>2</v>
  </rv>
  <rv s="0">
    <fb>45309</fb>
    <v>0</v>
  </rv>
  <rv s="0">
    <fb>294.36</fb>
    <v>1</v>
  </rv>
  <rv s="0">
    <fb>2221156</fb>
    <v>2</v>
  </rv>
  <rv s="0">
    <fb>45310</fb>
    <v>0</v>
  </rv>
  <rv s="0">
    <fb>300.52999999999997</fb>
    <v>1</v>
  </rv>
  <rv s="0">
    <fb>4250885</fb>
    <v>2</v>
  </rv>
  <rv s="0">
    <fb>45313</fb>
    <v>0</v>
  </rv>
  <rv s="0">
    <fb>298.41000000000003</fb>
    <v>1</v>
  </rv>
  <rv s="0">
    <fb>3250224</fb>
    <v>2</v>
  </rv>
  <rv s="0">
    <fb>45314</fb>
    <v>0</v>
  </rv>
  <rv s="0">
    <fb>300.05</fb>
    <v>1</v>
  </rv>
  <rv s="0">
    <fb>1873976</fb>
    <v>2</v>
  </rv>
  <rv s="0">
    <fb>45315</fb>
    <v>0</v>
  </rv>
  <rv s="0">
    <fb>300.44</fb>
    <v>1</v>
  </rv>
  <rv s="0">
    <fb>3209675</fb>
    <v>2</v>
  </rv>
  <rv s="0">
    <fb>45316</fb>
    <v>0</v>
  </rv>
  <rv s="0">
    <fb>297.20999999999998</fb>
    <v>1</v>
  </rv>
  <rv s="0">
    <fb>3219625</fb>
    <v>2</v>
  </rv>
  <rv s="0">
    <fb>45317</fb>
    <v>0</v>
  </rv>
  <rv s="0">
    <fb>292.26</fb>
    <v>1</v>
  </rv>
  <rv s="0">
    <fb>4210521</fb>
    <v>2</v>
  </rv>
  <rv s="0">
    <fb>45320</fb>
    <v>0</v>
  </rv>
  <rv s="0">
    <fb>292.31</fb>
    <v>1</v>
  </rv>
  <rv s="0">
    <fb>3899706</fb>
    <v>2</v>
  </rv>
  <rv s="0">
    <fb>45321</fb>
    <v>0</v>
  </rv>
  <rv s="0">
    <fb>294.64999999999998</fb>
    <v>1</v>
  </rv>
  <rv s="0">
    <fb>2524205</fb>
    <v>2</v>
  </rv>
  <rv s="0">
    <fb>45322</fb>
    <v>0</v>
  </rv>
  <rv s="0">
    <fb>292.72000000000003</fb>
    <v>1</v>
  </rv>
  <rv s="0">
    <fb>3476264</fb>
    <v>2</v>
  </rv>
  <rv s="0">
    <fb>45323</fb>
    <v>0</v>
  </rv>
  <rv s="0">
    <fb>298.08</fb>
    <v>1</v>
  </rv>
  <rv s="0">
    <fb>3380568</fb>
    <v>2</v>
  </rv>
  <rv s="0">
    <fb>45324</fb>
    <v>0</v>
  </rv>
  <rv s="0">
    <fb>297.05</fb>
    <v>1</v>
  </rv>
  <rv s="0">
    <fb>3971607</fb>
    <v>2</v>
  </rv>
  <rv s="0">
    <fb>45327</fb>
    <v>0</v>
  </rv>
  <rv s="0">
    <fb>285.97000000000003</fb>
    <v>1</v>
  </rv>
  <rv s="0">
    <fb>7581895</fb>
    <v>2</v>
  </rv>
  <rv s="0">
    <fb>45328</fb>
    <v>0</v>
  </rv>
  <rv s="0">
    <fb>284.64999999999998</fb>
    <v>1</v>
  </rv>
  <rv s="0">
    <fb>5928192</fb>
    <v>2</v>
  </rv>
  <rv s="0">
    <fb>45329</fb>
    <v>0</v>
  </rv>
  <rv s="0">
    <fb>287.33</fb>
    <v>1</v>
  </rv>
  <rv s="0">
    <fb>3954659</fb>
    <v>2</v>
  </rv>
  <rv s="0">
    <fb>45330</fb>
    <v>0</v>
  </rv>
  <rv s="0">
    <fb>291.93</fb>
    <v>1</v>
  </rv>
  <rv s="0">
    <fb>4605245</fb>
    <v>2</v>
  </rv>
  <rv s="0">
    <fb>45331</fb>
    <v>0</v>
  </rv>
  <rv s="0">
    <fb>289.47000000000003</fb>
    <v>1</v>
  </rv>
  <rv s="0">
    <fb>3323000</fb>
    <v>2</v>
  </rv>
  <rv s="0">
    <fb>45334</fb>
    <v>0</v>
  </rv>
  <rv s="0">
    <fb>289.44</fb>
    <v>1</v>
  </rv>
  <rv s="0">
    <fb>2392314</fb>
    <v>2</v>
  </rv>
  <rv s="0">
    <fb>45335</fb>
    <v>0</v>
  </rv>
  <rv s="0">
    <fb>287.11</fb>
    <v>1</v>
  </rv>
  <rv s="0">
    <fb>2756190</fb>
    <v>2</v>
  </rv>
  <rv s="0">
    <fb>45336</fb>
    <v>0</v>
  </rv>
  <rv s="0">
    <fb>288.17</fb>
    <v>1</v>
  </rv>
  <rv s="0">
    <fb>2139326</fb>
    <v>2</v>
  </rv>
  <rv s="0">
    <fb>45337</fb>
    <v>0</v>
  </rv>
  <rv s="0">
    <fb>291.86</fb>
    <v>1</v>
  </rv>
  <rv s="0">
    <fb>2401617</fb>
    <v>2</v>
  </rv>
  <rv s="0">
    <fb>45338</fb>
    <v>0</v>
  </rv>
  <rv s="0">
    <fb>292.02</fb>
    <v>1</v>
  </rv>
  <rv s="0">
    <fb>2837573</fb>
    <v>2</v>
  </rv>
  <rv s="0">
    <fb>45342</fb>
    <v>0</v>
  </rv>
  <rv s="0">
    <fb>292.64999999999998</fb>
    <v>1</v>
  </rv>
  <rv s="0">
    <fb>2263994</fb>
    <v>2</v>
  </rv>
  <rv s="0">
    <fb>45343</fb>
    <v>0</v>
  </rv>
  <rv s="0">
    <fb>293.91000000000003</fb>
    <v>1</v>
  </rv>
  <rv s="0">
    <fb>2076811</fb>
    <v>2</v>
  </rv>
  <rv s="0">
    <fb>45344</fb>
    <v>0</v>
  </rv>
  <rv s="0">
    <fb>295.92</fb>
    <v>1</v>
  </rv>
  <rv s="0">
    <fb>3146598</fb>
    <v>2</v>
  </rv>
  <rv s="0">
    <fb>45345</fb>
    <v>0</v>
  </rv>
  <rv s="0">
    <fb>297.75</fb>
    <v>1</v>
  </rv>
  <rv s="0">
    <fb>2199138</fb>
    <v>2</v>
  </rv>
  <rv s="0">
    <fb>45348</fb>
    <v>0</v>
  </rv>
  <rv s="0">
    <fb>297.12</fb>
    <v>1</v>
  </rv>
  <rv s="0">
    <fb>2595344</fb>
    <v>2</v>
  </rv>
  <rv s="0">
    <fb>45349</fb>
    <v>0</v>
  </rv>
  <rv s="0">
    <fb>293.76</fb>
    <v>1</v>
  </rv>
  <rv s="0">
    <fb>2811237</fb>
    <v>2</v>
  </rv>
  <rv s="0">
    <fb>45350</fb>
    <v>0</v>
  </rv>
  <rv s="0">
    <fb>295.19</fb>
    <v>1</v>
  </rv>
  <rv s="0">
    <fb>2507286</fb>
    <v>2</v>
  </rv>
  <rv s="0">
    <fb>45351</fb>
    <v>0</v>
  </rv>
  <rv s="0">
    <fb>292.27999999999997</fb>
    <v>1</v>
  </rv>
  <rv s="0">
    <fb>3601848</fb>
    <v>2</v>
  </rv>
  <rv s="0">
    <fb>45352</fb>
    <v>0</v>
  </rv>
  <rv s="0">
    <fb>290.73</fb>
    <v>1</v>
  </rv>
  <rv s="0">
    <fb>3028869</fb>
    <v>2</v>
  </rv>
  <rv s="0">
    <fb>45355</fb>
    <v>0</v>
  </rv>
  <rv s="0">
    <fb>290.94</fb>
    <v>1</v>
  </rv>
  <rv s="0">
    <fb>2832011</fb>
    <v>2</v>
  </rv>
  <rv s="0">
    <fb>45356</fb>
    <v>0</v>
  </rv>
  <rv s="0">
    <fb>292.54000000000002</fb>
    <v>1</v>
  </rv>
  <rv s="0">
    <fb>2969609</fb>
    <v>2</v>
  </rv>
  <rv s="0">
    <fb>45357</fb>
    <v>0</v>
  </rv>
  <rv s="0">
    <fb>292.93</fb>
    <v>1</v>
  </rv>
  <rv s="0">
    <fb>2347965</fb>
    <v>2</v>
  </rv>
  <rv s="0">
    <fb>45358</fb>
    <v>0</v>
  </rv>
  <rv s="0">
    <fb>291.11</fb>
    <v>1</v>
  </rv>
  <rv s="0">
    <fb>2237730</fb>
    <v>2</v>
  </rv>
  <rv s="0">
    <fb>45359</fb>
    <v>0</v>
  </rv>
  <rv s="0">
    <fb>292.55</fb>
    <v>1</v>
  </rv>
  <rv s="0">
    <fb>2482336</fb>
    <v>2</v>
  </rv>
  <rv s="0">
    <fb>45362</fb>
    <v>0</v>
  </rv>
  <rv s="0">
    <fb>294.82</fb>
    <v>1</v>
  </rv>
  <rv s="0">
    <fb>2893336</fb>
    <v>2</v>
  </rv>
  <rv s="0">
    <fb>45363</fb>
    <v>0</v>
  </rv>
  <rv s="0">
    <fb>294.31</fb>
    <v>1</v>
  </rv>
  <rv s="0">
    <fb>2233076</fb>
    <v>2</v>
  </rv>
  <rv s="0">
    <fb>45364</fb>
    <v>0</v>
  </rv>
  <rv s="0">
    <fb>282.86</fb>
    <v>1</v>
  </rv>
  <rv s="0">
    <fb>5441262</fb>
    <v>2</v>
  </rv>
  <rv s="0">
    <fb>45365</fb>
    <v>0</v>
  </rv>
  <rv s="0">
    <fb>281.73</fb>
    <v>1</v>
  </rv>
  <rv s="0">
    <fb>4659308</fb>
    <v>2</v>
  </rv>
  <rv s="0">
    <fb>45366</fb>
    <v>0</v>
  </rv>
  <rv s="0">
    <fb>279.14</fb>
    <v>1</v>
  </rv>
  <rv s="0">
    <fb>5071675</fb>
    <v>2</v>
  </rv>
  <rv s="0">
    <fb>45369</fb>
    <v>0</v>
  </rv>
  <rv s="0">
    <fb>278.58</fb>
    <v>1</v>
  </rv>
  <rv s="0">
    <fb>3319435</fb>
    <v>2</v>
  </rv>
  <rv s="0">
    <fb>45370</fb>
    <v>0</v>
  </rv>
  <rv s="0">
    <fb>282.87</fb>
    <v>1</v>
  </rv>
  <rv s="0">
    <fb>4055380</fb>
    <v>2</v>
  </rv>
  <rv s="0">
    <fb>45371</fb>
    <v>0</v>
  </rv>
  <rv s="0">
    <fb>284.45</fb>
    <v>1</v>
  </rv>
  <rv s="0">
    <fb>2867302</fb>
    <v>2</v>
  </rv>
  <rv s="0">
    <fb>45372</fb>
    <v>0</v>
  </rv>
  <rv s="0">
    <fb>283.52999999999997</fb>
    <v>1</v>
  </rv>
  <rv s="0">
    <fb>3653332</fb>
    <v>2</v>
  </rv>
  <rv s="0">
    <fb>45373</fb>
    <v>0</v>
  </rv>
  <rv s="0">
    <fb>282.63</fb>
    <v>1</v>
  </rv>
  <rv s="0">
    <fb>2556320</fb>
    <v>2</v>
  </rv>
  <rv s="0">
    <fb>45376</fb>
    <v>0</v>
  </rv>
  <rv s="0">
    <fb>278.62</fb>
    <v>1</v>
  </rv>
  <rv s="0">
    <fb>2985467</fb>
    <v>2</v>
  </rv>
  <rv s="0">
    <fb>45377</fb>
    <v>0</v>
  </rv>
  <rv s="0">
    <fb>2572061</fb>
    <v>2</v>
  </rv>
  <rv s="0">
    <fb>45378</fb>
    <v>0</v>
  </rv>
  <rv s="0">
    <fb>282.02</fb>
    <v>1</v>
  </rv>
  <rv s="0">
    <fb>2604991</fb>
    <v>2</v>
  </rv>
  <rv s="0">
    <fb>45379</fb>
    <v>0</v>
  </rv>
  <rv s="0">
    <fb>281.95</fb>
    <v>1</v>
  </rv>
  <rv s="0">
    <fb>3454073</fb>
    <v>2</v>
  </rv>
  <rv s="0">
    <fb>45383</fb>
    <v>0</v>
  </rv>
  <rv s="0">
    <fb>280.22000000000003</fb>
    <v>1</v>
  </rv>
  <rv s="0">
    <fb>2408799</fb>
    <v>2</v>
  </rv>
  <rv s="0">
    <fb>45384</fb>
    <v>0</v>
  </rv>
  <rv s="0">
    <fb>277.74</fb>
    <v>1</v>
  </rv>
  <rv s="0">
    <fb>2907899</fb>
    <v>2</v>
  </rv>
  <rv s="0">
    <fb>45385</fb>
    <v>0</v>
  </rv>
  <rv s="0">
    <fb>275.54000000000002</fb>
    <v>1</v>
  </rv>
  <rv s="0">
    <fb>2747979</fb>
    <v>2</v>
  </rv>
  <rv s="0">
    <fb>45386</fb>
    <v>0</v>
  </rv>
  <rv s="0">
    <fb>270.08999999999997</fb>
    <v>1</v>
  </rv>
  <rv s="0">
    <fb>4095144</fb>
    <v>2</v>
  </rv>
  <rv s="0">
    <fb>45387</fb>
    <v>0</v>
  </rv>
  <rv s="0">
    <fb>266.69</fb>
    <v>1</v>
  </rv>
  <rv s="0">
    <fb>6816035</fb>
    <v>2</v>
  </rv>
  <rv s="0">
    <fb>45390</fb>
    <v>0</v>
  </rv>
  <rv s="0">
    <fb>267.56</fb>
    <v>1</v>
  </rv>
  <rv s="0">
    <fb>3753206</fb>
    <v>2</v>
  </rv>
  <rv s="0">
    <fb>45391</fb>
    <v>0</v>
  </rv>
  <rv s="0">
    <fb>269.44</fb>
    <v>1</v>
  </rv>
  <rv s="0">
    <fb>3935142</fb>
    <v>2</v>
  </rv>
  <rv s="0">
    <fb>45392</fb>
    <v>0</v>
  </rv>
  <rv s="0">
    <fb>268.67</fb>
    <v>1</v>
  </rv>
  <rv s="0">
    <fb>3817458</fb>
    <v>2</v>
  </rv>
  <rv s="0">
    <fb>45393</fb>
    <v>0</v>
  </rv>
  <rv s="0">
    <fb>268.62</fb>
    <v>1</v>
  </rv>
  <rv s="0">
    <fb>2519172</fb>
    <v>2</v>
  </rv>
  <rv s="0">
    <fb>45394</fb>
    <v>0</v>
  </rv>
  <rv s="0">
    <fb>267.39</fb>
    <v>1</v>
  </rv>
  <rv s="0">
    <fb>2708630</fb>
    <v>2</v>
  </rv>
  <rv s="0">
    <fb>45397</fb>
    <v>0</v>
  </rv>
  <rv s="0">
    <fb>266.23</fb>
    <v>1</v>
  </rv>
  <rv s="0">
    <fb>3686881</fb>
    <v>2</v>
  </rv>
  <rv s="0">
    <fb>45398</fb>
    <v>0</v>
  </rv>
  <rv s="0">
    <fb>265.43</fb>
    <v>1</v>
  </rv>
  <rv s="0">
    <fb>2912853</fb>
    <v>2</v>
  </rv>
  <rv s="0">
    <fb>45399</fb>
    <v>0</v>
  </rv>
  <rv s="0">
    <fb>269.95</fb>
    <v>1</v>
  </rv>
  <rv s="0">
    <fb>3383099</fb>
    <v>2</v>
  </rv>
  <rv s="0">
    <fb>45400</fb>
    <v>0</v>
  </rv>
  <rv s="0">
    <fb>270.98</fb>
    <v>1</v>
  </rv>
  <rv s="0">
    <fb>3402674</fb>
    <v>2</v>
  </rv>
  <rv s="0">
    <fb>45401</fb>
    <v>0</v>
  </rv>
  <rv s="0">
    <fb>271.99</fb>
    <v>1</v>
  </rv>
  <rv s="0">
    <fb>3017097</fb>
    <v>2</v>
  </rv>
  <rv s="0">
    <fb>45404</fb>
    <v>0</v>
  </rv>
  <rv s="0">
    <fb>275.58</fb>
    <v>1</v>
  </rv>
  <rv s="0">
    <fb>3129435</fb>
    <v>2</v>
  </rv>
  <rv s="0">
    <fb>45405</fb>
    <v>0</v>
  </rv>
  <rv s="0">
    <fb>276.88</fb>
    <v>1</v>
  </rv>
  <rv s="0">
    <fb>3275678</fb>
    <v>2</v>
  </rv>
  <rv s="0">
    <fb>45406</fb>
    <v>0</v>
  </rv>
  <rv s="0">
    <fb>276.75</fb>
    <v>1</v>
  </rv>
  <rv s="0">
    <fb>4071571</fb>
    <v>2</v>
  </rv>
  <rv s="0">
    <fb>45407</fb>
    <v>0</v>
  </rv>
  <rv s="0">
    <fb>275.60000000000002</fb>
    <v>1</v>
  </rv>
  <rv s="0">
    <fb>4179755</fb>
    <v>2</v>
  </rv>
  <rv s="0">
    <fb>45408</fb>
    <v>0</v>
  </rv>
  <rv s="0">
    <fb>273.08999999999997</fb>
    <v>1</v>
  </rv>
  <rv s="0">
    <fb>3636458</fb>
    <v>2</v>
  </rv>
  <rv s="0">
    <fb>45411</fb>
    <v>0</v>
  </rv>
  <rv s="0">
    <fb>273.55</fb>
    <v>1</v>
  </rv>
  <rv s="0">
    <fb>3187813</fb>
    <v>2</v>
  </rv>
  <rv s="0">
    <fb>45412</fb>
    <v>0</v>
  </rv>
  <rv s="0">
    <fb>273.04000000000002</fb>
    <v>1</v>
  </rv>
  <rv s="0">
    <fb>6894367</fb>
    <v>2</v>
  </rv>
  <rv s="0">
    <fb>45413</fb>
    <v>0</v>
  </rv>
  <rv s="0">
    <fb>274.43</fb>
    <v>1</v>
  </rv>
  <rv s="0">
    <fb>4843553</fb>
    <v>2</v>
  </rv>
  <rv s="0">
    <fb>45414</fb>
    <v>0</v>
  </rv>
  <rv s="0">
    <fb>273.27999999999997</fb>
    <v>1</v>
  </rv>
  <rv s="0">
    <fb>3083956</fb>
    <v>2</v>
  </rv>
  <rv s="0">
    <fb>45415</fb>
    <v>0</v>
  </rv>
  <rv s="0">
    <fb>270.32</fb>
    <v>1</v>
  </rv>
  <rv s="0">
    <fb>2642344</fb>
    <v>2</v>
  </rv>
  <rv s="0">
    <fb>45418</fb>
    <v>0</v>
  </rv>
  <rv s="0">
    <fb>269.3</fb>
    <v>1</v>
  </rv>
  <rv s="0">
    <fb>2481336</fb>
    <v>2</v>
  </rv>
  <rv s="0">
    <fb>45419</fb>
    <v>0</v>
  </rv>
  <rv s="0">
    <fb>267.5</fb>
    <v>1</v>
  </rv>
  <rv s="0">
    <fb>3160026</fb>
    <v>2</v>
  </rv>
  <rv s="0">
    <fb>45420</fb>
    <v>0</v>
  </rv>
  <rv s="0">
    <fb>268.49</fb>
    <v>1</v>
  </rv>
  <rv s="0">
    <fb>3259842</fb>
    <v>2</v>
  </rv>
  <rv s="0">
    <fb>45421</fb>
    <v>0</v>
  </rv>
  <rv s="0">
    <fb>267.95</fb>
    <v>1</v>
  </rv>
  <rv s="0">
    <fb>3139960</fb>
    <v>2</v>
  </rv>
  <rv s="0">
    <fb>45422</fb>
    <v>0</v>
  </rv>
  <rv s="0">
    <fb>275</fb>
    <v>1</v>
  </rv>
  <rv s="0">
    <fb>4983501</fb>
    <v>2</v>
  </rv>
  <rv s="0">
    <fb>45425</fb>
    <v>0</v>
  </rv>
  <rv s="0">
    <fb>271.32</fb>
    <v>1</v>
  </rv>
  <rv s="0">
    <fb>3840670</fb>
    <v>2</v>
  </rv>
  <rv s="0">
    <fb>45426</fb>
    <v>0</v>
  </rv>
  <rv s="0">
    <fb>270.66000000000003</fb>
    <v>1</v>
  </rv>
  <rv s="0">
    <fb>3143235</fb>
    <v>2</v>
  </rv>
  <rv s="0">
    <fb>45427</fb>
    <v>0</v>
  </rv>
  <rv s="0">
    <fb>273.87</fb>
    <v>1</v>
  </rv>
  <rv s="0">
    <fb>2982621</fb>
    <v>2</v>
  </rv>
  <rv s="0">
    <fb>45428</fb>
    <v>0</v>
  </rv>
  <rv s="0">
    <fb>273.51</fb>
    <v>1</v>
  </rv>
  <rv s="0">
    <fb>2339864</fb>
    <v>2</v>
  </rv>
  <rv s="0">
    <fb>45429</fb>
    <v>0</v>
  </rv>
  <rv s="0">
    <fb>272.38</fb>
    <v>1</v>
  </rv>
  <rv s="0">
    <fb>2454570</fb>
    <v>2</v>
  </rv>
  <rv s="0">
    <fb>45432</fb>
    <v>0</v>
  </rv>
  <rv s="0">
    <fb>267.87</fb>
    <v>1</v>
  </rv>
  <rv s="0">
    <fb>2651117</fb>
    <v>2</v>
  </rv>
  <rv s="0">
    <fb>45433</fb>
    <v>0</v>
  </rv>
  <rv s="0">
    <fb>265.87</fb>
    <v>1</v>
  </rv>
  <rv s="0">
    <fb>2362574</fb>
    <v>2</v>
  </rv>
  <rv s="0">
    <fb>45434</fb>
    <v>0</v>
  </rv>
  <rv s="0">
    <fb>265.77</fb>
    <v>1</v>
  </rv>
  <rv s="0">
    <fb>1906061</fb>
    <v>2</v>
  </rv>
  <rv s="0">
    <fb>45435</fb>
    <v>0</v>
  </rv>
  <rv s="0">
    <fb>257.93</fb>
    <v>1</v>
  </rv>
  <rv s="0">
    <fb>5636170</fb>
    <v>2</v>
  </rv>
  <rv s="0">
    <fb>45436</fb>
    <v>0</v>
  </rv>
  <rv s="0">
    <fb>258.11</fb>
    <v>1</v>
  </rv>
  <rv s="0">
    <fb>3382879</fb>
    <v>2</v>
  </rv>
  <rv s="0">
    <fb>45440</fb>
    <v>0</v>
  </rv>
  <rv s="0">
    <fb>253.54</fb>
    <v>1</v>
  </rv>
  <rv s="0">
    <fb>4324728</fb>
    <v>2</v>
  </rv>
  <rv s="0">
    <fb>45441</fb>
    <v>0</v>
  </rv>
  <rv s="0">
    <fb>249.37</fb>
    <v>1</v>
  </rv>
  <rv s="0">
    <fb>4029317</fb>
    <v>2</v>
  </rv>
  <rv s="0">
    <fb>45442</fb>
    <v>0</v>
  </rv>
  <rv s="0">
    <fb>252.07</fb>
    <v>1</v>
  </rv>
  <rv s="0">
    <fb>3599768</fb>
    <v>2</v>
  </rv>
  <rv s="0">
    <fb>45443</fb>
    <v>0</v>
  </rv>
  <rv s="0">
    <fb>258.89</fb>
    <v>1</v>
  </rv>
  <rv s="0">
    <fb>6125399</fb>
    <v>2</v>
  </rv>
  <rv s="0">
    <fb>45446</fb>
    <v>0</v>
  </rv>
  <rv s="0">
    <fb>259.75</fb>
    <v>1</v>
  </rv>
  <rv s="0">
    <fb>4342771</fb>
    <v>2</v>
  </rv>
  <rv s="0">
    <fb>45447</fb>
    <v>0</v>
  </rv>
  <rv s="0">
    <fb>262.72000000000003</fb>
    <v>1</v>
  </rv>
  <rv s="0">
    <fb>4592727</fb>
    <v>2</v>
  </rv>
  <rv s="0">
    <fb>45448</fb>
    <v>0</v>
  </rv>
  <rv s="0">
    <fb>259.99</fb>
    <v>1</v>
  </rv>
  <rv s="0">
    <fb>4136828</fb>
    <v>2</v>
  </rv>
  <rv s="0">
    <fb>45449</fb>
    <v>0</v>
  </rv>
  <rv s="0">
    <fb>260.72000000000003</fb>
    <v>1</v>
  </rv>
  <rv s="0">
    <fb>3354270</fb>
    <v>2</v>
  </rv>
  <rv s="0">
    <fb>45450</fb>
    <v>0</v>
  </rv>
  <rv s="0">
    <fb>256.20999999999998</fb>
    <v>1</v>
  </rv>
  <rv s="0">
    <fb>2290085</fb>
    <v>2</v>
  </rv>
  <rv s="0">
    <fb>45453</fb>
    <v>0</v>
  </rv>
  <rv s="0">
    <fb>253.81</fb>
    <v>1</v>
  </rv>
  <rv s="0">
    <fb>2867127</fb>
    <v>2</v>
  </rv>
  <rv s="0">
    <fb>45454</fb>
    <v>0</v>
  </rv>
  <rv s="0">
    <fb>254.28</fb>
    <v>1</v>
  </rv>
  <rv s="0">
    <fb>2729439</fb>
    <v>2</v>
  </rv>
  <rv s="0">
    <fb>45455</fb>
    <v>0</v>
  </rv>
  <rv s="0">
    <fb>254.48</fb>
    <v>1</v>
  </rv>
  <rv s="0">
    <fb>3169566</fb>
    <v>2</v>
  </rv>
  <rv s="0">
    <fb>45456</fb>
    <v>0</v>
  </rv>
  <rv s="0">
    <fb>253.7</fb>
    <v>1</v>
  </rv>
  <rv s="0">
    <fb>3152985</fb>
    <v>2</v>
  </rv>
  <rv s="0">
    <fb>45457</fb>
    <v>0</v>
  </rv>
  <rv s="0">
    <fb>253.58</fb>
    <v>1</v>
  </rv>
  <rv s="0">
    <fb>2806560</fb>
    <v>2</v>
  </rv>
  <rv s="0">
    <fb>45460</fb>
    <v>0</v>
  </rv>
  <rv s="0">
    <fb>253.51</fb>
    <v>1</v>
  </rv>
  <rv s="0">
    <fb>2532906</fb>
    <v>2</v>
  </rv>
  <rv s="0">
    <fb>45461</fb>
    <v>0</v>
  </rv>
  <rv s="0">
    <fb>250.79</fb>
    <v>1</v>
  </rv>
  <rv s="0">
    <fb>2956314</fb>
    <v>2</v>
  </rv>
  <rv s="0">
    <fb>45463</fb>
    <v>0</v>
  </rv>
  <rv s="0">
    <fb>253.8</fb>
    <v>1</v>
  </rv>
  <rv s="0">
    <fb>4046527</fb>
    <v>2</v>
  </rv>
  <rv s="0">
    <fb>45464</fb>
    <v>0</v>
  </rv>
  <rv s="0">
    <fb>259.39</fb>
    <v>1</v>
  </rv>
  <rv s="0">
    <fb>8426647</fb>
    <v>2</v>
  </rv>
  <rv s="0">
    <fb>45467</fb>
    <v>0</v>
  </rv>
  <rv s="0">
    <fb>260.38</fb>
    <v>1</v>
  </rv>
  <rv s="0">
    <fb>3901231</fb>
    <v>2</v>
  </rv>
  <rv s="0">
    <fb>45468</fb>
    <v>0</v>
  </rv>
  <rv s="0">
    <fb>257.38</fb>
    <v>1</v>
  </rv>
  <rv s="0">
    <fb>4252250</fb>
    <v>2</v>
  </rv>
  <rv s="0">
    <fb>45469</fb>
    <v>0</v>
  </rv>
  <rv s="0">
    <fb>257.83</fb>
    <v>1</v>
  </rv>
  <rv s="0">
    <fb>2796088</fb>
    <v>2</v>
  </rv>
  <rv s="0">
    <fb>45470</fb>
    <v>0</v>
  </rv>
  <rv s="0">
    <fb>258.17</fb>
    <v>1</v>
  </rv>
  <rv s="0">
    <fb>2650996</fb>
    <v>2</v>
  </rv>
  <rv s="0">
    <fb>45471</fb>
    <v>0</v>
  </rv>
  <rv s="0">
    <fb>254.84</fb>
    <v>1</v>
  </rv>
  <rv s="0">
    <fb>8958712</fb>
    <v>2</v>
  </rv>
  <rv s="0">
    <fb>45474</fb>
    <v>0</v>
  </rv>
  <rv s="0">
    <fb>249.99</fb>
    <v>1</v>
  </rv>
  <rv s="0">
    <fb>3817576</fb>
    <v>2</v>
  </rv>
  <rv s="0">
    <fb>45475</fb>
    <v>0</v>
  </rv>
  <rv s="0">
    <fb>247.79</fb>
    <v>1</v>
  </rv>
  <rv s="0">
    <fb>3944881</fb>
    <v>2</v>
  </rv>
  <rv s="0">
    <fb>45476</fb>
    <v>0</v>
  </rv>
  <rv s="0">
    <fb>250</fb>
    <v>1</v>
  </rv>
  <rv s="0">
    <fb>2026070</fb>
    <v>2</v>
  </rv>
  <rv s="0">
    <fb>45478</fb>
    <v>0</v>
  </rv>
  <rv s="0">
    <fb>251.09</fb>
    <v>1</v>
  </rv>
  <rv s="0">
    <fb>2814312</fb>
    <v>2</v>
  </rv>
  <rv s="0">
    <fb>45481</fb>
    <v>0</v>
  </rv>
  <rv s="0">
    <fb>247.85</fb>
    <v>1</v>
  </rv>
  <rv s="0">
    <fb>3163853</fb>
    <v>2</v>
  </rv>
  <rv s="0">
    <fb>45482</fb>
    <v>0</v>
  </rv>
  <rv s="0">
    <fb>245.82</fb>
    <v>1</v>
  </rv>
  <rv s="0">
    <fb>4930592</fb>
    <v>2</v>
  </rv>
  <rv s="0">
    <fb>45483</fb>
    <v>0</v>
  </rv>
  <rv s="0">
    <fb>250.49</fb>
    <v>1</v>
  </rv>
  <rv s="0">
    <fb>4092739</fb>
    <v>2</v>
  </rv>
  <rv s="0">
    <fb>45484</fb>
    <v>0</v>
  </rv>
  <rv s="0">
    <fb>254.8</fb>
    <v>1</v>
  </rv>
  <rv s="0">
    <fb>5548256</fb>
    <v>2</v>
  </rv>
  <rv s="0">
    <fb>45485</fb>
    <v>0</v>
  </rv>
  <rv s="0">
    <fb>253.9</fb>
    <v>1</v>
  </rv>
  <rv s="0">
    <fb>4543006</fb>
    <v>2</v>
  </rv>
  <rv s="0">
    <fb>45488</fb>
    <v>0</v>
  </rv>
  <rv s="0">
    <fb>251.53</fb>
    <v>1</v>
  </rv>
  <rv s="0">
    <fb>3393612</fb>
    <v>2</v>
  </rv>
  <rv s="0">
    <fb>45489</fb>
    <v>0</v>
  </rv>
  <rv s="0">
    <fb>257.27</fb>
    <v>1</v>
  </rv>
  <rv s="0">
    <fb>4172974</fb>
    <v>2</v>
  </rv>
  <rv s="0">
    <fb>45490</fb>
    <v>0</v>
  </rv>
  <rv s="0">
    <fb>261</fb>
    <v>1</v>
  </rv>
  <rv s="0">
    <fb>3711520</fb>
    <v>2</v>
  </rv>
  <rv s="0">
    <fb>45491</fb>
    <v>0</v>
  </rv>
  <rv s="0">
    <fb>259.52</fb>
    <v>1</v>
  </rv>
  <rv s="0">
    <fb>3421839</fb>
    <v>2</v>
  </rv>
  <rv s="0">
    <fb>45492</fb>
    <v>0</v>
  </rv>
  <rv s="0">
    <fb>257.27999999999997</fb>
    <v>1</v>
  </rv>
  <rv s="0">
    <fb>3470585</fb>
    <v>2</v>
  </rv>
  <rv s="0">
    <fb>45495</fb>
    <v>0</v>
  </rv>
  <rv s="0">
    <fb>259.54000000000002</fb>
    <v>1</v>
  </rv>
  <rv s="0">
    <fb>2759527</fb>
    <v>2</v>
  </rv>
  <rv s="0">
    <fb>45496</fb>
    <v>0</v>
  </rv>
  <rv s="0">
    <fb>254.05</fb>
    <v>1</v>
  </rv>
  <rv s="0">
    <fb>2653141</fb>
    <v>2</v>
  </rv>
  <rv s="0">
    <fb>45497</fb>
    <v>0</v>
  </rv>
  <rv s="0">
    <fb>253.37</fb>
    <v>1</v>
  </rv>
  <rv s="0">
    <fb>5983281</fb>
    <v>2</v>
  </rv>
  <rv s="0">
    <fb>45498</fb>
    <v>0</v>
  </rv>
  <rv s="0">
    <fb>251.46</fb>
    <v>1</v>
  </rv>
  <rv s="0">
    <fb>3323080</fb>
    <v>2</v>
  </rv>
  <rv s="0">
    <fb>45499</fb>
    <v>0</v>
  </rv>
  <rv s="0">
    <fb>252</fb>
    <v>1</v>
  </rv>
  <rv s="0">
    <fb>4002852</fb>
    <v>2</v>
  </rv>
  <rv s="0">
    <fb>45502</fb>
    <v>0</v>
  </rv>
  <rv s="0">
    <fb>261.42</fb>
    <v>1</v>
  </rv>
  <rv s="0">
    <fb>9380960</fb>
    <v>2</v>
  </rv>
  <rv s="0">
    <fb>45503</fb>
    <v>0</v>
  </rv>
  <rv s="0">
    <fb>266.44</fb>
    <v>1</v>
  </rv>
  <rv s="0">
    <fb>4936596</fb>
    <v>2</v>
  </rv>
  <rv s="0">
    <fb>45504</fb>
    <v>0</v>
  </rv>
  <rv s="0">
    <fb>265.39999999999998</fb>
    <v>1</v>
  </rv>
  <rv s="0">
    <fb>4652053</fb>
    <v>2</v>
  </rv>
  <rv s="0">
    <fb>45505</fb>
    <v>0</v>
  </rv>
  <rv s="0">
    <fb>268.75</fb>
    <v>1</v>
  </rv>
  <rv s="0">
    <fb>4935952</fb>
    <v>2</v>
  </rv>
  <rv s="0">
    <fb>45506</fb>
    <v>0</v>
  </rv>
  <rv s="0">
    <fb>276.69</fb>
    <v>1</v>
  </rv>
  <rv s="0">
    <fb>9585900</fb>
    <v>2</v>
  </rv>
  <rv s="0">
    <fb>45509</fb>
    <v>0</v>
  </rv>
  <rv s="0">
    <fb>268.45</fb>
    <v>1</v>
  </rv>
  <rv s="0">
    <fb>6794876</fb>
    <v>2</v>
  </rv>
  <rv s="0">
    <fb>45510</fb>
    <v>0</v>
  </rv>
  <rv s="0">
    <fb>270.06</fb>
    <v>1</v>
  </rv>
  <rv s="0">
    <fb>3369337</fb>
    <v>2</v>
  </rv>
  <rv s="0">
    <fb>45511</fb>
    <v>0</v>
  </rv>
  <rv s="0">
    <fb>269.37</fb>
    <v>1</v>
  </rv>
  <rv s="0">
    <fb>3539980</fb>
    <v>2</v>
  </rv>
  <rv s="0">
    <fb>45512</fb>
    <v>0</v>
  </rv>
  <rv s="0">
    <fb>271.19</fb>
    <v>1</v>
  </rv>
  <rv s="0">
    <fb>3227234</fb>
    <v>2</v>
  </rv>
  <rv s="0">
    <fb>45513</fb>
    <v>0</v>
  </rv>
  <rv s="0">
    <fb>267.91000000000003</fb>
    <v>1</v>
  </rv>
  <rv s="0">
    <fb>2664877</fb>
    <v>2</v>
  </rv>
  <rv s="0">
    <fb>45516</fb>
    <v>0</v>
  </rv>
  <rv s="0">
    <fb>269.45999999999998</fb>
    <v>1</v>
  </rv>
  <rv s="0">
    <fb>3008100</fb>
    <v>2</v>
  </rv>
  <rv s="0">
    <fb>45517</fb>
    <v>0</v>
  </rv>
  <rv s="0">
    <fb>270.31</fb>
    <v>1</v>
  </rv>
  <rv s="0">
    <fb>2603592</fb>
    <v>2</v>
  </rv>
  <rv s="0">
    <fb>45518</fb>
    <v>0</v>
  </rv>
  <rv s="0">
    <fb>271.14999999999998</fb>
    <v>1</v>
  </rv>
  <rv s="0">
    <fb>2242138</fb>
    <v>2</v>
  </rv>
  <rv s="0">
    <fb>45519</fb>
    <v>0</v>
  </rv>
  <rv s="0">
    <fb>274.87</fb>
    <v>1</v>
  </rv>
  <rv s="0">
    <fb>2445218</fb>
    <v>2</v>
  </rv>
  <rv s="0">
    <fb>45520</fb>
    <v>0</v>
  </rv>
  <rv s="0">
    <fb>278.49</fb>
    <v>1</v>
  </rv>
  <rv s="0">
    <fb>3286217</fb>
    <v>2</v>
  </rv>
  <rv s="0">
    <fb>45523</fb>
    <v>0</v>
  </rv>
  <rv s="0">
    <fb>287.55</fb>
    <v>1</v>
  </rv>
  <rv s="0">
    <fb>5268793</fb>
    <v>2</v>
  </rv>
  <rv s="0">
    <fb>45524</fb>
    <v>0</v>
  </rv>
  <rv s="0">
    <fb>285.63</fb>
    <v>1</v>
  </rv>
  <rv s="0">
    <fb>3697631</fb>
    <v>2</v>
  </rv>
  <rv s="0">
    <fb>45525</fb>
    <v>0</v>
  </rv>
  <rv s="0">
    <fb>289.70999999999998</fb>
    <v>1</v>
  </rv>
  <rv s="0">
    <fb>2686435</fb>
    <v>2</v>
  </rv>
  <rv s="0">
    <fb>45526</fb>
    <v>0</v>
  </rv>
  <rv s="0">
    <fb>289.20999999999998</fb>
    <v>1</v>
  </rv>
  <rv s="0">
    <fb>1746359</fb>
    <v>2</v>
  </rv>
  <rv s="0">
    <fb>45527</fb>
    <v>0</v>
  </rv>
  <rv s="0">
    <fb>289.52</fb>
    <v>1</v>
  </rv>
  <rv s="0">
    <fb>2145946</fb>
    <v>2</v>
  </rv>
  <rv s="0">
    <fb>45530</fb>
    <v>0</v>
  </rv>
  <rv s="0">
    <fb>288.68</fb>
    <v>1</v>
  </rv>
  <rv s="0">
    <fb>2018540</fb>
    <v>2</v>
  </rv>
  <rv s="0">
    <fb>45531</fb>
    <v>0</v>
  </rv>
  <rv s="0">
    <fb>289.64</fb>
    <v>1</v>
  </rv>
  <rv s="0">
    <fb>2897582</fb>
    <v>2</v>
  </rv>
  <rv s="0">
    <fb>45532</fb>
    <v>0</v>
  </rv>
  <rv s="0">
    <fb>287.05</fb>
    <v>1</v>
  </rv>
  <rv s="0">
    <fb>2603793</fb>
    <v>2</v>
  </rv>
  <rv s="0">
    <fb>45533</fb>
    <v>0</v>
  </rv>
  <rv s="0">
    <fb>287.86</fb>
    <v>1</v>
  </rv>
  <rv s="0">
    <fb>1797229</fb>
    <v>2</v>
  </rv>
  <rv s="0">
    <fb>45534</fb>
    <v>0</v>
  </rv>
  <rv s="0">
    <fb>288.66000000000003</fb>
    <v>1</v>
  </rv>
  <rv s="0">
    <fb>2528549</fb>
    <v>2</v>
  </rv>
  <rv s="0">
    <fb>45538</fb>
    <v>0</v>
  </rv>
  <rv s="0">
    <fb>285.52</fb>
    <v>1</v>
  </rv>
  <rv s="0">
    <fb>2902782</fb>
    <v>2</v>
  </rv>
  <rv s="0">
    <fb>45539</fb>
    <v>0</v>
  </rv>
  <rv s="0">
    <fb>288.02999999999997</fb>
    <v>1</v>
  </rv>
  <rv s="0">
    <fb>2558502</fb>
    <v>2</v>
  </rv>
  <rv s="0">
    <fb>45540</fb>
    <v>0</v>
  </rv>
  <rv s="0">
    <fb>287.97000000000003</fb>
    <v>1</v>
  </rv>
  <rv s="0">
    <fb>2412493</fb>
    <v>2</v>
  </rv>
  <rv s="0">
    <fb>45541</fb>
    <v>0</v>
  </rv>
  <rv s="0">
    <fb>289.51</fb>
    <v>1</v>
  </rv>
  <rv s="0">
    <fb>3863559</fb>
    <v>2</v>
  </rv>
  <rv s="0">
    <fb>45544</fb>
    <v>0</v>
  </rv>
  <rv s="0">
    <fb>291.29000000000002</fb>
    <v>1</v>
  </rv>
  <rv s="0">
    <fb>3208635</fb>
    <v>2</v>
  </rv>
  <rv s="0">
    <fb>45545</fb>
    <v>0</v>
  </rv>
  <rv s="0">
    <fb>291.27</fb>
    <v>1</v>
  </rv>
  <rv s="0">
    <fb>2497109</fb>
    <v>2</v>
  </rv>
  <rv s="0">
    <fb>45546</fb>
    <v>0</v>
  </rv>
  <rv s="0">
    <fb>290.23</fb>
    <v>1</v>
  </rv>
  <rv s="0">
    <fb>2747627</fb>
    <v>2</v>
  </rv>
  <rv s="0">
    <fb>45547</fb>
    <v>0</v>
  </rv>
  <rv s="0">
    <fb>292.35000000000002</fb>
    <v>1</v>
  </rv>
  <rv s="0">
    <fb>2274712</fb>
    <v>2</v>
  </rv>
  <rv s="0">
    <fb>45548</fb>
    <v>0</v>
  </rv>
  <rv s="0">
    <fb>296.52999999999997</fb>
    <v>1</v>
  </rv>
  <rv s="0">
    <fb>2205535</fb>
    <v>2</v>
  </rv>
  <rv s="0">
    <fb>45551</fb>
    <v>0</v>
  </rv>
  <rv s="0">
    <fb>296.69</fb>
    <v>1</v>
  </rv>
  <rv s="0">
    <fb>2916205</fb>
    <v>2</v>
  </rv>
  <rv s="0">
    <fb>45552</fb>
    <v>0</v>
  </rv>
  <rv s="0">
    <fb>293.75</fb>
    <v>1</v>
  </rv>
  <rv s="0">
    <fb>2997493</fb>
    <v>2</v>
  </rv>
  <rv s="0">
    <fb>45553</fb>
    <v>0</v>
  </rv>
  <rv s="0">
    <fb>292.02999999999997</fb>
    <v>1</v>
  </rv>
  <rv s="0">
    <fb>1788384</fb>
    <v>2</v>
  </rv>
  <rv s="0">
    <fb>45554</fb>
    <v>0</v>
  </rv>
  <rv s="0">
    <fb>293.85000000000002</fb>
    <v>1</v>
  </rv>
  <rv s="0">
    <fb>2271388</fb>
    <v>2</v>
  </rv>
  <rv s="0">
    <fb>45555</fb>
    <v>0</v>
  </rv>
  <rv s="0">
    <fb>296.83</fb>
    <v>1</v>
  </rv>
  <rv s="0">
    <fb>5817302</fb>
    <v>2</v>
  </rv>
  <rv s="0">
    <fb>45558</fb>
    <v>0</v>
  </rv>
  <rv s="0">
    <fb>299.06</fb>
    <v>1</v>
  </rv>
  <rv s="0">
    <fb>2312365</fb>
    <v>2</v>
  </rv>
  <rv s="0">
    <fb>45559</fb>
    <v>0</v>
  </rv>
  <rv s="0">
    <fb>300.27</fb>
    <v>1</v>
  </rv>
  <rv s="0">
    <fb>2408175</fb>
    <v>2</v>
  </rv>
  <rv s="0">
    <fb>45560</fb>
    <v>0</v>
  </rv>
  <rv s="0">
    <fb>300.47000000000003</fb>
    <v>1</v>
  </rv>
  <rv s="0">
    <fb>1986241</fb>
    <v>2</v>
  </rv>
  <rv s="0">
    <fb>45561</fb>
    <v>0</v>
  </rv>
  <rv s="0">
    <fb>303.64999999999998</fb>
    <v>1</v>
  </rv>
  <rv s="0">
    <fb>1971134</fb>
    <v>2</v>
  </rv>
  <rv s="0">
    <fb>45562</fb>
    <v>0</v>
  </rv>
  <rv s="0">
    <fb>303.69</fb>
    <v>1</v>
  </rv>
  <rv s="0">
    <fb>3402999</fb>
    <v>2</v>
  </rv>
  <rv s="0">
    <fb>45565</fb>
    <v>0</v>
  </rv>
  <rv s="0">
    <fb>304.51</fb>
    <v>1</v>
  </rv>
  <rv s="0">
    <fb>2286978</fb>
    <v>2</v>
  </rv>
  <rv s="0">
    <fb>45566</fb>
    <v>0</v>
  </rv>
  <rv s="0">
    <fb>302.98</fb>
    <v>1</v>
  </rv>
  <rv s="0">
    <fb>3036208</fb>
    <v>2</v>
  </rv>
  <rv s="0">
    <fb>45567</fb>
    <v>0</v>
  </rv>
  <rv s="0">
    <fb>303.76</fb>
    <v>1</v>
  </rv>
  <rv s="0">
    <fb>2352436</fb>
    <v>2</v>
  </rv>
  <rv s="0">
    <fb>45568</fb>
    <v>0</v>
  </rv>
  <rv s="0">
    <fb>303.45</fb>
    <v>1</v>
  </rv>
  <rv s="0">
    <fb>1802561</fb>
    <v>2</v>
  </rv>
  <rv s="0">
    <fb>45569</fb>
    <v>0</v>
  </rv>
  <rv s="0">
    <fb>2432634</fb>
    <v>2</v>
  </rv>
  <rv s="0">
    <fb>45572</fb>
    <v>0</v>
  </rv>
  <rv s="0">
    <fb>300.85000000000002</fb>
    <v>1</v>
  </rv>
  <rv s="0">
    <fb>2091776</fb>
    <v>2</v>
  </rv>
  <rv s="0">
    <fb>45573</fb>
    <v>0</v>
  </rv>
  <rv s="0">
    <fb>301.89999999999998</fb>
    <v>1</v>
  </rv>
  <rv s="0">
    <fb>2038348</fb>
    <v>2</v>
  </rv>
  <rv s="0">
    <fb>45574</fb>
    <v>0</v>
  </rv>
  <rv s="0">
    <fb>303.83</fb>
    <v>1</v>
  </rv>
  <rv s="0">
    <fb>1854155</fb>
    <v>2</v>
  </rv>
  <rv s="0">
    <fb>45575</fb>
    <v>0</v>
  </rv>
  <rv s="0">
    <fb>304.04000000000002</fb>
    <v>1</v>
  </rv>
  <rv s="0">
    <fb>1739458</fb>
    <v>2</v>
  </rv>
  <rv s="0">
    <fb>45576</fb>
    <v>0</v>
  </rv>
  <rv s="0">
    <fb>305.04000000000002</fb>
    <v>1</v>
  </rv>
  <rv s="0">
    <fb>1775710</fb>
    <v>2</v>
  </rv>
  <rv s="0">
    <fb>45579</fb>
    <v>0</v>
  </rv>
  <rv s="0">
    <fb>309.83999999999997</fb>
    <v>1</v>
  </rv>
  <rv s="0">
    <fb>2376310</fb>
    <v>2</v>
  </rv>
  <rv s="0">
    <fb>45580</fb>
    <v>0</v>
  </rv>
  <rv s="0">
    <fb>313.33999999999997</fb>
    <v>1</v>
  </rv>
  <rv s="0">
    <fb>3067090</fb>
    <v>2</v>
  </rv>
  <rv s="0">
    <fb>45581</fb>
    <v>0</v>
  </rv>
  <rv s="0">
    <fb>312.92</fb>
    <v>1</v>
  </rv>
  <rv s="0">
    <fb>1821486</fb>
    <v>2</v>
  </rv>
  <rv s="0">
    <fb>45582</fb>
    <v>0</v>
  </rv>
  <rv s="0">
    <fb>314.7</fb>
    <v>1</v>
  </rv>
  <rv s="0">
    <fb>3095192</fb>
    <v>2</v>
  </rv>
  <rv s="0">
    <fb>45583</fb>
    <v>0</v>
  </rv>
  <rv s="0">
    <fb>316.56</fb>
    <v>1</v>
  </rv>
  <rv s="0">
    <fb>2531197</fb>
    <v>2</v>
  </rv>
  <rv s="0">
    <fb>45586</fb>
    <v>0</v>
  </rv>
  <rv s="0">
    <fb>314.89</fb>
    <v>1</v>
  </rv>
  <rv s="0">
    <fb>2404056</fb>
    <v>2</v>
  </rv>
  <rv s="0">
    <fb>45587</fb>
    <v>0</v>
  </rv>
  <rv s="0">
    <fb>314.69</fb>
    <v>1</v>
  </rv>
  <rv s="0">
    <fb>5889115</fb>
    <v>2</v>
  </rv>
  <rv s="0">
    <fb>45588</fb>
    <v>0</v>
  </rv>
  <rv s="0">
    <fb>298.57</fb>
    <v>1</v>
  </rv>
  <rv s="0">
    <fb>18791952</fb>
    <v>2</v>
  </rv>
  <rv s="0">
    <fb>45589</fb>
    <v>0</v>
  </rv>
  <rv s="0">
    <fb>301.58</fb>
    <v>1</v>
  </rv>
  <rv s="0">
    <fb>5522591</fb>
    <v>2</v>
  </rv>
  <rv s="0">
    <fb>45590</fb>
    <v>0</v>
  </rv>
  <rv s="0">
    <fb>292.61</fb>
    <v>1</v>
  </rv>
  <rv s="0">
    <fb>8863234</fb>
    <v>2</v>
  </rv>
  <rv s="0">
    <fb>45593</fb>
    <v>0</v>
  </rv>
  <rv s="0">
    <fb>296.79000000000002</fb>
    <v>1</v>
  </rv>
  <rv s="0">
    <fb>6655971</fb>
    <v>2</v>
  </rv>
  <rv s="0">
    <fb>45594</fb>
    <v>0</v>
  </rv>
  <rv s="0">
    <fb>295</fb>
    <v>1</v>
  </rv>
  <rv s="0">
    <fb>9048877</fb>
    <v>2</v>
  </rv>
  <rv s="0">
    <fb>45595</fb>
    <v>0</v>
  </rv>
  <rv s="0">
    <fb>291.52</fb>
    <v>1</v>
  </rv>
  <rv s="0">
    <fb>4924013</fb>
    <v>2</v>
  </rv>
  <rv s="0">
    <fb>45596</fb>
    <v>0</v>
  </rv>
  <rv s="0">
    <fb>292.11</fb>
    <v>1</v>
  </rv>
  <rv s="0">
    <fb>4277428</fb>
    <v>2</v>
  </rv>
  <rv s="0">
    <fb>45597</fb>
    <v>0</v>
  </rv>
  <rv s="0">
    <fb>295.20999999999998</fb>
    <v>1</v>
  </rv>
  <rv s="0">
    <fb>4131804</fb>
    <v>2</v>
  </rv>
  <rv s="0">
    <fb>45600</fb>
    <v>0</v>
  </rv>
  <rv s="0">
    <fb>292.85000000000002</fb>
    <v>1</v>
  </rv>
  <rv s="0">
    <fb>2583053</fb>
    <v>2</v>
  </rv>
  <rv s="0">
    <fb>45601</fb>
    <v>0</v>
  </rv>
  <rv s="0">
    <fb>297.32</fb>
    <v>1</v>
  </rv>
  <rv s="0">
    <fb>3032122</fb>
    <v>2</v>
  </rv>
  <rv s="0">
    <fb>45602</fb>
    <v>0</v>
  </rv>
  <rv s="0">
    <fb>294</fb>
    <v>1</v>
  </rv>
  <rv s="0">
    <fb>4646422</fb>
    <v>2</v>
  </rv>
  <rv s="0">
    <fb>45603</fb>
    <v>0</v>
  </rv>
  <rv s="0">
    <fb>294.66000000000003</fb>
    <v>1</v>
  </rv>
  <rv s="0">
    <fb>3357377</fb>
    <v>2</v>
  </rv>
  <rv s="0">
    <fb>45604</fb>
    <v>0</v>
  </rv>
  <rv s="0">
    <fb>298.97000000000003</fb>
    <v>1</v>
  </rv>
  <rv s="0">
    <fb>3279284</fb>
    <v>2</v>
  </rv>
  <rv s="0">
    <fb>45607</fb>
    <v>0</v>
  </rv>
  <rv s="0">
    <fb>301.52999999999997</fb>
    <v>1</v>
  </rv>
  <rv s="0">
    <fb>2872440</fb>
    <v>2</v>
  </rv>
  <rv s="0">
    <fb>45608</fb>
    <v>0</v>
  </rv>
  <rv s="0">
    <fb>298.64999999999998</fb>
    <v>1</v>
  </rv>
  <rv s="0">
    <fb>2453194</fb>
    <v>2</v>
  </rv>
  <rv s="0">
    <fb>45609</fb>
    <v>0</v>
  </rv>
  <rv s="0">
    <fb>297.35000000000002</fb>
    <v>1</v>
  </rv>
  <rv s="0">
    <fb>2327101</fb>
    <v>2</v>
  </rv>
  <rv s="0">
    <fb>45610</fb>
    <v>0</v>
  </rv>
  <rv s="0">
    <fb>298.56</fb>
    <v>1</v>
  </rv>
  <rv s="0">
    <fb>1932557</fb>
    <v>2</v>
  </rv>
  <rv s="0">
    <fb>45611</fb>
    <v>0</v>
  </rv>
  <rv s="0">
    <fb>292.63</fb>
    <v>1</v>
  </rv>
  <rv s="0">
    <fb>4039432</fb>
    <v>2</v>
  </rv>
  <rv s="0">
    <fb>45614</fb>
    <v>0</v>
  </rv>
  <rv s="0">
    <fb>291.10000000000002</fb>
    <v>1</v>
  </rv>
  <rv s="0">
    <fb>2866132</fb>
    <v>2</v>
  </rv>
  <rv s="0">
    <fb>45615</fb>
    <v>0</v>
  </rv>
  <rv s="0">
    <fb>2353251</fb>
    <v>2</v>
  </rv>
  <rv s="0">
    <fb>45616</fb>
    <v>0</v>
  </rv>
  <rv s="0">
    <fb>290.91000000000003</fb>
    <v>1</v>
  </rv>
  <rv s="0">
    <fb>2525012</fb>
    <v>2</v>
  </rv>
  <rv s="0">
    <fb>45617</fb>
    <v>0</v>
  </rv>
  <rv s="0">
    <fb>288.47000000000003</fb>
    <v>1</v>
  </rv>
  <rv s="0">
    <fb>4475662</fb>
    <v>2</v>
  </rv>
  <rv s="0">
    <fb>45618</fb>
    <v>0</v>
  </rv>
  <rv s="0">
    <fb>290.27999999999997</fb>
    <v>1</v>
  </rv>
  <rv s="0">
    <fb>2879063</fb>
    <v>2</v>
  </rv>
  <rv s="0">
    <fb>45621</fb>
    <v>0</v>
  </rv>
  <rv s="0">
    <fb>296.19</fb>
    <v>1</v>
  </rv>
  <rv s="0">
    <fb>5021843</fb>
    <v>2</v>
  </rv>
  <rv s="0">
    <fb>45622</fb>
    <v>0</v>
  </rv>
  <rv s="0">
    <fb>296.33</fb>
    <v>1</v>
  </rv>
  <rv s="0">
    <fb>2254326</fb>
    <v>2</v>
  </rv>
  <rv s="0">
    <fb>45623</fb>
    <v>0</v>
  </rv>
  <rv s="0">
    <fb>295.08</fb>
    <v>1</v>
  </rv>
  <rv s="0">
    <fb>2240280</fb>
    <v>2</v>
  </rv>
  <rv s="0">
    <fb>45625</fb>
    <v>0</v>
  </rv>
  <rv s="0">
    <fb>296.01</fb>
    <v>1</v>
  </rv>
  <rv s="0">
    <fb>1655907</fb>
    <v>2</v>
  </rv>
  <rv s="0">
    <fb>45628</fb>
    <v>0</v>
  </rv>
  <rv s="0">
    <fb>292.44</fb>
    <v>1</v>
  </rv>
  <rv s="0">
    <fb>3150151</fb>
    <v>2</v>
  </rv>
  <rv s="0">
    <fb>45629</fb>
    <v>0</v>
  </rv>
  <rv s="0">
    <fb>294.5</fb>
    <v>1</v>
  </rv>
  <rv s="0">
    <fb>3030992</fb>
    <v>2</v>
  </rv>
  <rv s="0">
    <fb>45630</fb>
    <v>0</v>
  </rv>
  <rv s="0">
    <fb>295.08999999999997</fb>
    <v>1</v>
  </rv>
  <rv s="0">
    <fb>3742938</fb>
    <v>2</v>
  </rv>
  <rv s="0">
    <fb>45631</fb>
    <v>0</v>
  </rv>
  <rv s="0">
    <fb>299.47000000000003</fb>
    <v>1</v>
  </rv>
  <rv s="0">
    <fb>2594816</fb>
    <v>2</v>
  </rv>
  <rv s="0">
    <fb>45632</fb>
    <v>0</v>
  </rv>
  <rv s="0">
    <fb>298.98</fb>
    <v>1</v>
  </rv>
  <rv s="0">
    <fb>4158690</fb>
    <v>2</v>
  </rv>
  <rv s="0">
    <fb>45635</fb>
    <v>0</v>
  </rv>
  <rv s="0">
    <fb>301.37</fb>
    <v>1</v>
  </rv>
  <rv s="0">
    <fb>2391898</fb>
    <v>2</v>
  </rv>
  <rv s="0">
    <fb>45636</fb>
    <v>0</v>
  </rv>
  <rv s="0">
    <fb>300.70999999999998</fb>
    <v>1</v>
  </rv>
  <rv s="0">
    <fb>3522974</fb>
    <v>2</v>
  </rv>
  <rv s="0">
    <fb>45637</fb>
    <v>0</v>
  </rv>
  <rv s="0">
    <fb>296.10000000000002</fb>
    <v>1</v>
  </rv>
  <rv s="0">
    <fb>3037616</fb>
    <v>2</v>
  </rv>
  <rv s="0">
    <fb>45638</fb>
    <v>0</v>
  </rv>
  <rv s="0">
    <fb>296.63</fb>
    <v>1</v>
  </rv>
  <rv s="0">
    <fb>2040653</fb>
    <v>2</v>
  </rv>
  <rv s="0">
    <fb>45639</fb>
    <v>0</v>
  </rv>
  <rv s="0">
    <fb>296.60000000000002</fb>
    <v>1</v>
  </rv>
  <rv s="0">
    <fb>2547703</fb>
    <v>2</v>
  </rv>
  <rv s="0">
    <fb>45642</fb>
    <v>0</v>
  </rv>
  <rv s="0">
    <fb>297.70999999999998</fb>
    <v>1</v>
  </rv>
  <rv s="0">
    <fb>3180071</fb>
    <v>2</v>
  </rv>
  <rv s="0">
    <fb>45643</fb>
    <v>0</v>
  </rv>
  <rv s="0">
    <fb>296.08</fb>
    <v>1</v>
  </rv>
  <rv s="0">
    <fb>3295881</fb>
    <v>2</v>
  </rv>
  <rv s="0">
    <fb>45644</fb>
    <v>0</v>
  </rv>
  <rv s="0">
    <fb>290.88</fb>
    <v>1</v>
  </rv>
  <rv s="0">
    <fb>3800945</fb>
    <v>2</v>
  </rv>
  <rv s="0">
    <fb>45645</fb>
    <v>0</v>
  </rv>
  <rv s="0">
    <fb>3438533</fb>
    <v>2</v>
  </rv>
  <rv s="0">
    <fb>45646</fb>
    <v>0</v>
  </rv>
  <rv s="0">
    <fb>292.68</fb>
    <v>1</v>
  </rv>
  <rv s="0">
    <fb>7677952</fb>
    <v>2</v>
  </rv>
  <rv s="0">
    <fb>45649</fb>
    <v>0</v>
  </rv>
  <rv s="0">
    <fb>2492226</fb>
    <v>2</v>
  </rv>
  <rv s="0">
    <fb>45650</fb>
    <v>0</v>
  </rv>
  <rv s="0">
    <fb>293.99</fb>
    <v>1</v>
  </rv>
  <rv s="0">
    <fb>1460985</fb>
    <v>2</v>
  </rv>
  <rv s="0">
    <fb>45652</fb>
    <v>0</v>
  </rv>
  <rv s="0">
    <fb>294.8</fb>
    <v>1</v>
  </rv>
  <rv s="0">
    <fb>1434337</fb>
    <v>2</v>
  </rv>
  <rv s="0">
    <fb>45653</fb>
    <v>0</v>
  </rv>
  <rv s="0">
    <fb>293.62</fb>
    <v>1</v>
  </rv>
  <rv s="0">
    <fb>1617399</fb>
    <v>2</v>
  </rv>
  <rv s="0">
    <fb>45656</fb>
    <v>0</v>
  </rv>
  <rv s="0">
    <fb>289.60000000000002</fb>
    <v>1</v>
  </rv>
  <rv s="0">
    <fb>1936678</fb>
    <v>2</v>
  </rv>
  <rv s="0">
    <fb>45657</fb>
    <v>0</v>
  </rv>
  <rv s="0">
    <fb>289.89</fb>
    <v>1</v>
  </rv>
  <rv s="0">
    <fb>1915847</fb>
    <v>2</v>
  </rv>
  <rv s="0">
    <fb>45659</fb>
    <v>0</v>
  </rv>
  <rv s="0">
    <fb>292.51</fb>
    <v>1</v>
  </rv>
  <rv s="0">
    <fb>3118262</fb>
    <v>2</v>
  </rv>
  <rv s="0">
    <fb>45660</fb>
    <v>0</v>
  </rv>
  <rv s="0">
    <fb>294.77999999999997</fb>
    <v>1</v>
  </rv>
  <rv s="0">
    <fb>2240254</fb>
    <v>2</v>
  </rv>
  <rv s="0">
    <fb>45663</fb>
    <v>0</v>
  </rv>
  <rv s="0">
    <fb>292.18</fb>
    <v>1</v>
  </rv>
  <rv s="0">
    <fb>2838933</fb>
    <v>2</v>
  </rv>
  <rv s="0">
    <fb>45664</fb>
    <v>0</v>
  </rv>
  <rv s="0">
    <fb>289.33999999999997</fb>
    <v>1</v>
  </rv>
  <rv s="0">
    <fb>3419450</fb>
    <v>2</v>
  </rv>
  <rv s="0">
    <fb>45665</fb>
    <v>0</v>
  </rv>
  <rv s="0">
    <fb>286.89999999999998</fb>
    <v>1</v>
  </rv>
  <rv s="0">
    <fb>2724217</fb>
    <v>2</v>
  </rv>
  <rv s="0">
    <fb>45667</fb>
    <v>0</v>
  </rv>
  <rv s="0">
    <fb>282.31</fb>
    <v>1</v>
  </rv>
  <rv s="0">
    <fb>3946002</fb>
    <v>2</v>
  </rv>
  <rv s="0">
    <fb>45670</fb>
    <v>0</v>
  </rv>
  <rv s="0">
    <fb>283.63</fb>
    <v>1</v>
  </rv>
  <rv s="0">
    <fb>3394291</fb>
    <v>2</v>
  </rv>
  <rv s="0">
    <fb>45671</fb>
    <v>0</v>
  </rv>
  <rv s="0">
    <fb>281.58</fb>
    <v>1</v>
  </rv>
  <rv s="0">
    <fb>2238889</fb>
    <v>2</v>
  </rv>
  <rv s="0">
    <fb>45672</fb>
    <v>0</v>
  </rv>
  <rv s="0">
    <fb>282.3</fb>
    <v>1</v>
  </rv>
  <rv s="0">
    <fb>2867781</fb>
    <v>2</v>
  </rv>
  <rv s="0">
    <fb>45673</fb>
    <v>0</v>
  </rv>
  <rv s="0">
    <fb>279.74</fb>
    <v>1</v>
  </rv>
  <rv s="0">
    <fb>3403681</fb>
    <v>2</v>
  </rv>
  <rv s="0">
    <fb>45674</fb>
    <v>0</v>
  </rv>
  <rv s="0">
    <fb>280.95</fb>
    <v>1</v>
  </rv>
  <rv s="0">
    <fb>3312793</fb>
    <v>2</v>
  </rv>
  <rv s="0">
    <fb>45678</fb>
    <v>0</v>
  </rv>
  <rv s="0">
    <fb>282.61</fb>
    <v>1</v>
  </rv>
  <rv s="0">
    <fb>3858590</fb>
    <v>2</v>
  </rv>
  <rv s="0">
    <fb>45679</fb>
    <v>0</v>
  </rv>
  <rv s="0">
    <fb>281.35000000000002</fb>
    <v>1</v>
  </rv>
  <rv s="0">
    <fb>3660600</fb>
    <v>2</v>
  </rv>
  <rv s="0">
    <fb>45680</fb>
    <v>0</v>
  </rv>
  <rv s="0">
    <fb>284.43</fb>
    <v>1</v>
  </rv>
  <rv s="0">
    <fb>2279408</fb>
    <v>2</v>
  </rv>
  <rv s="0">
    <fb>45681</fb>
    <v>0</v>
  </rv>
  <rv s="0">
    <fb>285.45999999999998</fb>
    <v>1</v>
  </rv>
  <rv s="0">
    <fb>2523397</fb>
    <v>2</v>
  </rv>
  <rv s="0">
    <fb>45684</fb>
    <v>0</v>
  </rv>
  <rv s="0">
    <fb>293.08999999999997</fb>
    <v>1</v>
  </rv>
  <rv s="0">
    <fb>4343019</fb>
    <v>2</v>
  </rv>
  <rv s="0">
    <fb>45685</fb>
    <v>0</v>
  </rv>
  <rv s="0">
    <fb>291.14999999999998</fb>
    <v>1</v>
  </rv>
  <rv s="0">
    <fb>3180370</fb>
    <v>2</v>
  </rv>
  <rv s="0">
    <fb>45686</fb>
    <v>0</v>
  </rv>
  <rv s="0">
    <fb>290.11</fb>
    <v>1</v>
  </rv>
  <rv s="0">
    <fb>2358272</fb>
    <v>2</v>
  </rv>
  <rv s="0">
    <fb>45687</fb>
    <v>0</v>
  </rv>
  <rv s="0">
    <fb>290.32</fb>
    <v>1</v>
  </rv>
  <rv s="0">
    <fb>2125150</fb>
    <v>2</v>
  </rv>
  <rv s="0">
    <fb>45688</fb>
    <v>0</v>
  </rv>
  <rv s="0">
    <fb>288.7</fb>
    <v>1</v>
  </rv>
  <rv s="0">
    <fb>2557033</fb>
    <v>2</v>
  </rv>
  <rv s="0">
    <fb>45691</fb>
    <v>0</v>
  </rv>
  <rv s="0">
    <fb>290.05</fb>
    <v>1</v>
  </rv>
  <rv s="0">
    <fb>3049143</fb>
    <v>2</v>
  </rv>
  <rv s="0">
    <fb>45692</fb>
    <v>0</v>
  </rv>
  <rv s="0">
    <fb>289.77</fb>
    <v>1</v>
  </rv>
  <rv s="0">
    <fb>2977102</fb>
    <v>2</v>
  </rv>
  <rv s="0">
    <fb>45693</fb>
    <v>0</v>
  </rv>
  <rv s="0">
    <fb>288.83</fb>
    <v>1</v>
  </rv>
  <rv s="0">
    <fb>2363168</fb>
    <v>2</v>
  </rv>
  <rv s="0">
    <fb>45694</fb>
    <v>0</v>
  </rv>
  <rv s="0">
    <fb>3589988</fb>
    <v>2</v>
  </rv>
  <rv s="0">
    <fb>45695</fb>
    <v>0</v>
  </rv>
  <rv s="0">
    <fb>294.3</fb>
    <v>1</v>
  </rv>
  <rv s="0">
    <fb>2858016</fb>
    <v>2</v>
  </rv>
  <rv s="0">
    <fb>45698</fb>
    <v>0</v>
  </rv>
  <rv s="0">
    <fb>308.42</fb>
    <v>1</v>
  </rv>
  <rv s="0">
    <fb>8051997</fb>
    <v>2</v>
  </rv>
  <rv s="0">
    <fb>45699</fb>
    <v>0</v>
  </rv>
  <rv s="0">
    <fb>310.20999999999998</fb>
    <v>1</v>
  </rv>
  <rv s="0">
    <fb>4180762</fb>
    <v>2</v>
  </rv>
  <rv s="0">
    <fb>45700</fb>
    <v>0</v>
  </rv>
  <rv s="0">
    <fb>307.60000000000002</fb>
    <v>1</v>
  </rv>
  <rv s="0">
    <fb>3110228</fb>
    <v>2</v>
  </rv>
  <rv s="0">
    <fb>45701</fb>
    <v>0</v>
  </rv>
  <rv s="0">
    <fb>310.02</fb>
    <v>1</v>
  </rv>
  <rv s="0">
    <fb>3097175</fb>
    <v>2</v>
  </rv>
  <rv s="0">
    <fb>45702</fb>
    <v>0</v>
  </rv>
  <rv s="0">
    <fb>308.55</fb>
    <v>1</v>
  </rv>
  <rv s="0">
    <fb>2674354</fb>
    <v>2</v>
  </rv>
  <rv s="0">
    <fb>45706</fb>
    <v>0</v>
  </rv>
  <rv s="0">
    <fb>304.83</fb>
    <v>1</v>
  </rv>
  <rv s="0">
    <fb>3368090</fb>
    <v>2</v>
  </rv>
  <rv s="0">
    <fb>45707</fb>
    <v>0</v>
  </rv>
  <rv s="0">
    <fb>301.94</fb>
    <v>1</v>
  </rv>
  <rv s="0">
    <fb>2990851</fb>
    <v>2</v>
  </rv>
  <rv s="0">
    <fb>45708</fb>
    <v>0</v>
  </rv>
  <rv s="0">
    <fb>303.05</fb>
    <v>1</v>
  </rv>
  <rv s="0">
    <fb>3020024</fb>
    <v>2</v>
  </rv>
  <rv s="0">
    <fb>45709</fb>
    <v>0</v>
  </rv>
  <rv s="0">
    <fb>304.81</fb>
    <v>1</v>
  </rv>
  <rv s="0">
    <fb>3036654</fb>
    <v>2</v>
  </rv>
  <rv s="0">
    <fb>45712</fb>
    <v>0</v>
  </rv>
  <rv s="0">
    <fb>307.57</fb>
    <v>1</v>
  </rv>
  <rv s="0">
    <fb>3397553</fb>
    <v>2</v>
  </rv>
  <rv s="0">
    <fb>45713</fb>
    <v>0</v>
  </rv>
  <rv s="0">
    <fb>310.72000000000003</fb>
    <v>1</v>
  </rv>
  <rv s="0">
    <fb>3891555</fb>
    <v>2</v>
  </rv>
  <rv s="0">
    <fb>45714</fb>
    <v>0</v>
  </rv>
  <rv s="0">
    <fb>304.27</fb>
    <v>1</v>
  </rv>
  <rv s="0">
    <fb>4140908</fb>
    <v>2</v>
  </rv>
  <rv s="0">
    <fb>45715</fb>
    <v>0</v>
  </rv>
  <rv s="0">
    <fb>309.95</fb>
    <v>1</v>
  </rv>
  <rv s="0">
    <fb>3350723</fb>
    <v>2</v>
  </rv>
  <rv s="0">
    <fb>45716</fb>
    <v>0</v>
  </rv>
  <rv s="0">
    <fb>308.33</fb>
    <v>1</v>
  </rv>
  <rv s="0">
    <fb>4972872</fb>
    <v>2</v>
  </rv>
  <rv s="0">
    <fb>45719</fb>
    <v>0</v>
  </rv>
  <rv s="0">
    <fb>304.29000000000002</fb>
    <v>1</v>
  </rv>
  <rv s="0">
    <fb>4371634</fb>
    <v>2</v>
  </rv>
  <rv s="0">
    <fb>45720</fb>
    <v>0</v>
  </rv>
  <rv s="0">
    <fb>305.77</fb>
    <v>1</v>
  </rv>
  <rv s="0">
    <fb>3954691</fb>
    <v>2</v>
  </rv>
  <rv s="0">
    <fb>45721</fb>
    <v>0</v>
  </rv>
  <rv s="0">
    <fb>307.45</fb>
    <v>1</v>
  </rv>
  <rv s="0">
    <fb>2327472</fb>
    <v>2</v>
  </rv>
  <rv s="0">
    <fb>45722</fb>
    <v>0</v>
  </rv>
  <rv s="0">
    <fb>310.37</fb>
    <v>1</v>
  </rv>
  <rv s="0">
    <fb>2954920</fb>
    <v>2</v>
  </rv>
  <rv s="0">
    <fb>45723</fb>
    <v>0</v>
  </rv>
  <rv s="0">
    <fb>321.29000000000002</fb>
    <v>1</v>
  </rv>
  <rv s="0">
    <fb>7607616</fb>
    <v>2</v>
  </rv>
  <rv s="0">
    <fb>45726</fb>
    <v>0</v>
  </rv>
  <rv s="0">
    <fb>317.25</fb>
    <v>1</v>
  </rv>
  <rv s="0">
    <fb>4707592</fb>
    <v>2</v>
  </rv>
  <rv s="0">
    <fb>45727</fb>
    <v>0</v>
  </rv>
  <rv s="0">
    <fb>306.76</fb>
    <v>1</v>
  </rv>
  <rv s="0">
    <fb>4513135</fb>
    <v>2</v>
  </rv>
  <rv s="0">
    <fb>45728</fb>
    <v>0</v>
  </rv>
  <rv s="0">
    <fb>299.39999999999998</fb>
    <v>1</v>
  </rv>
  <rv s="0">
    <fb>4546240</fb>
    <v>2</v>
  </rv>
  <rv s="0">
    <fb>45729</fb>
    <v>0</v>
  </rv>
  <rv s="0">
    <fb>297.5</fb>
    <v>1</v>
  </rv>
  <rv s="0">
    <fb>4178882</fb>
    <v>2</v>
  </rv>
  <rv s="0">
    <fb>45730</fb>
    <v>0</v>
  </rv>
  <rv s="0">
    <fb>299.83</fb>
    <v>1</v>
  </rv>
  <rv s="0">
    <fb>2696979</fb>
    <v>2</v>
  </rv>
  <rv s="0">
    <fb>45733</fb>
    <v>0</v>
  </rv>
  <rv s="0">
    <fb>303.97000000000003</fb>
    <v>1</v>
  </rv>
  <rv s="0">
    <fb>2758628</fb>
    <v>2</v>
  </rv>
  <rv s="0">
    <fb>45734</fb>
    <v>0</v>
  </rv>
  <rv s="0">
    <fb>303.60000000000002</fb>
    <v>1</v>
  </rv>
  <rv s="0">
    <fb>2435418</fb>
    <v>2</v>
  </rv>
  <rv s="0">
    <fb>45735</fb>
    <v>0</v>
  </rv>
  <rv s="0">
    <fb>306.92</fb>
    <v>1</v>
  </rv>
  <rv s="0">
    <fb>2812212</fb>
    <v>2</v>
  </rv>
  <rv s="0">
    <fb>45736</fb>
    <v>0</v>
  </rv>
  <rv s="0">
    <fb>307</fb>
    <v>1</v>
  </rv>
  <rv s="0">
    <fb>2723487</fb>
    <v>2</v>
  </rv>
  <rv s="0">
    <fb>45737</fb>
    <v>0</v>
  </rv>
  <rv s="0">
    <fb>305.44</fb>
    <v>1</v>
  </rv>
  <rv s="0">
    <fb>6016138</fb>
    <v>2</v>
  </rv>
  <rv s="0">
    <fb>45740</fb>
    <v>0</v>
  </rv>
  <rv s="0">
    <fb>305.67</fb>
    <v>1</v>
  </rv>
  <rv s="0">
    <fb>3443511</fb>
    <v>2</v>
  </rv>
  <rv s="0">
    <fb>45741</fb>
    <v>0</v>
  </rv>
  <rv s="0">
    <fb>2657170</fb>
    <v>2</v>
  </rv>
  <rv s="0">
    <fb>45742</fb>
    <v>0</v>
  </rv>
  <rv s="0">
    <fb>313.58</fb>
    <v>1</v>
  </rv>
  <rv s="0">
    <fb>2624998</fb>
    <v>2</v>
  </rv>
  <rv s="0">
    <fb>45743</fb>
    <v>0</v>
  </rv>
  <rv s="0">
    <fb>312.69</fb>
    <v>1</v>
  </rv>
  <rv s="0">
    <fb>3119455</fb>
    <v>2</v>
  </rv>
  <rv s="0">
    <fb>45744</fb>
    <v>0</v>
  </rv>
  <rv s="0">
    <fb>307.08999999999997</fb>
    <v>1</v>
  </rv>
  <rv s="0">
    <fb>3211862</fb>
    <v>2</v>
  </rv>
  <rv s="0">
    <fb>45747</fb>
    <v>0</v>
  </rv>
  <rv s="0">
    <fb>312.37</fb>
    <v>1</v>
  </rv>
  <rv s="0">
    <fb>4418823</fb>
    <v>2</v>
  </rv>
  <rv s="0">
    <fb>45748</fb>
    <v>0</v>
  </rv>
  <rv s="0">
    <fb>313.63</fb>
    <v>1</v>
  </rv>
  <rv s="0">
    <fb>2411454</fb>
    <v>2</v>
  </rv>
  <rv s="0">
    <fb>45749</fb>
    <v>0</v>
  </rv>
  <rv s="0">
    <fb>311.58</fb>
    <v>1</v>
  </rv>
  <rv s="0">
    <fb>2776755</fb>
    <v>2</v>
  </rv>
  <rv s="0">
    <fb>45750</fb>
    <v>0</v>
  </rv>
  <rv s="0">
    <fb>318.27</fb>
    <v>1</v>
  </rv>
  <rv s="0">
    <fb>7023851</fb>
    <v>2</v>
  </rv>
  <rv s="0">
    <fb>45751</fb>
    <v>0</v>
  </rv>
  <rv s="0">
    <fb>300.11</fb>
    <v>1</v>
  </rv>
  <rv s="0">
    <fb>8831090</fb>
    <v>2</v>
  </rv>
  <rv s="0">
    <fb>45754</fb>
    <v>0</v>
  </rv>
  <rv s="0">
    <fb>299.89</fb>
    <v>1</v>
  </rv>
  <rv s="0">
    <fb>7725857</fb>
    <v>2</v>
  </rv>
  <rv s="0">
    <fb>45755</fb>
    <v>0</v>
  </rv>
  <rv s="0">
    <fb>5562462</fb>
    <v>2</v>
  </rv>
  <rv s="0">
    <fb>45756</fb>
    <v>0</v>
  </rv>
  <rv s="0">
    <fb>303.95999999999998</fb>
    <v>1</v>
  </rv>
  <rv s="0">
    <fb>8265701</fb>
    <v>2</v>
  </rv>
  <rv s="0">
    <fb>45757</fb>
    <v>0</v>
  </rv>
  <rv s="0">
    <fb>306.77999999999997</fb>
    <v>1</v>
  </rv>
  <rv s="0">
    <fb>6049543</fb>
    <v>2</v>
  </rv>
  <rv s="0">
    <fb>45758</fb>
    <v>0</v>
  </rv>
  <rv s="0">
    <fb>309.89999999999998</fb>
    <v>1</v>
  </rv>
  <rv s="0">
    <fb>4440059</fb>
    <v>2</v>
  </rv>
  <rv s="0">
    <fb>45761</fb>
    <v>0</v>
  </rv>
  <rv s="0">
    <fb>316.07</fb>
    <v>1</v>
  </rv>
  <rv s="0">
    <fb>4068713</fb>
    <v>2</v>
  </rv>
  <rv s="0">
    <fb>45762</fb>
    <v>0</v>
  </rv>
  <rv s="0">
    <fb>312.48</fb>
    <v>1</v>
  </rv>
  <rv s="0">
    <fb>2901367</fb>
    <v>2</v>
  </rv>
  <rv s="0">
    <fb>45763</fb>
    <v>0</v>
  </rv>
  <rv s="0">
    <fb>309.10000000000002</fb>
    <v>1</v>
  </rv>
  <rv s="0">
    <fb>3099078</fb>
    <v>2</v>
  </rv>
  <rv s="0">
    <fb>45764</fb>
    <v>0</v>
  </rv>
  <rv s="0">
    <fb>311.3</fb>
    <v>1</v>
  </rv>
  <rv s="0">
    <fb>2728460</fb>
    <v>2</v>
  </rv>
  <rv s="0">
    <fb>45768</fb>
    <v>0</v>
  </rv>
  <rv s="0">
    <fb>308.72000000000003</fb>
    <v>1</v>
  </rv>
  <rv s="0">
    <fb>2669905</fb>
    <v>2</v>
  </rv>
  <rv s="0">
    <fb>45769</fb>
    <v>0</v>
  </rv>
  <rv s="0">
    <fb>319.08</fb>
    <v>1</v>
  </rv>
  <rv s="0">
    <fb>4200708</fb>
    <v>2</v>
  </rv>
  <rv s="0">
    <fb>45770</fb>
    <v>0</v>
  </rv>
  <rv s="0">
    <fb>318.48</fb>
    <v>1</v>
  </rv>
  <rv s="0">
    <fb>3210134</fb>
    <v>2</v>
  </rv>
  <rv s="0">
    <fb>45771</fb>
    <v>0</v>
  </rv>
  <rv s="0">
    <fb>316.22000000000003</fb>
    <v>1</v>
  </rv>
  <rv s="0">
    <fb>2479485</fb>
    <v>2</v>
  </rv>
  <rv s="0">
    <fb>45772</fb>
    <v>0</v>
  </rv>
  <rv s="0">
    <fb>316.74</fb>
    <v>1</v>
  </rv>
  <rv s="0">
    <fb>2283147</fb>
    <v>2</v>
  </rv>
  <rv s="0">
    <fb>45775</fb>
    <v>0</v>
  </rv>
  <rv s="0">
    <fb>316.81</fb>
    <v>1</v>
  </rv>
  <rv s="0">
    <fb>2578256</fb>
    <v>2</v>
  </rv>
  <rv s="0">
    <fb>45776</fb>
    <v>0</v>
  </rv>
  <rv s="0">
    <fb>314.5</fb>
    <v>1</v>
  </rv>
  <rv s="0">
    <fb>3164531</fb>
    <v>2</v>
  </rv>
  <rv s="0">
    <fb>45777</fb>
    <v>0</v>
  </rv>
  <rv s="0">
    <fb>319.64999999999998</fb>
    <v>1</v>
  </rv>
  <rv s="0">
    <fb>5564594</fb>
    <v>2</v>
  </rv>
  <rv s="0">
    <fb>45778</fb>
    <v>0</v>
  </rv>
  <rv s="0">
    <fb>313.64</fb>
    <v>1</v>
  </rv>
  <rv s="0">
    <fb>5186858</fb>
    <v>2</v>
  </rv>
  <rv s="0">
    <fb>45779</fb>
    <v>0</v>
  </rv>
  <rv s="0">
    <fb>311.95999999999998</fb>
    <v>1</v>
  </rv>
  <rv s="0">
    <fb>3994578</fb>
    <v>2</v>
  </rv>
  <rv s="0">
    <fb>45782</fb>
    <v>0</v>
  </rv>
  <rv s="0">
    <fb>315.72000000000003</fb>
    <v>1</v>
  </rv>
  <rv s="0">
    <fb>3534301</fb>
    <v>2</v>
  </rv>
  <rv s="0">
    <fb>45783</fb>
    <v>0</v>
  </rv>
  <rv s="0">
    <fb>316.79000000000002</fb>
    <v>1</v>
  </rv>
  <rv s="0">
    <fb>2691660</fb>
    <v>2</v>
  </rv>
  <rv s="0">
    <fb>45784</fb>
    <v>0</v>
  </rv>
  <rv s="0">
    <fb>318.13</fb>
    <v>1</v>
  </rv>
  <rv s="0">
    <fb>2726245</fb>
    <v>2</v>
  </rv>
  <rv s="0">
    <fb>45785</fb>
    <v>0</v>
  </rv>
  <rv s="0">
    <fb>313.49</fb>
    <v>1</v>
  </rv>
  <rv s="0">
    <fb>2131496</fb>
    <v>2</v>
  </rv>
  <rv s="0">
    <fb>45786</fb>
    <v>0</v>
  </rv>
  <rv s="0">
    <fb>313.68</fb>
    <v>1</v>
  </rv>
  <rv s="0">
    <fb>1917830</fb>
    <v>2</v>
  </rv>
  <rv s="0">
    <fb>45789</fb>
    <v>0</v>
  </rv>
  <rv s="0">
    <fb>311.92</fb>
    <v>1</v>
  </rv>
  <rv s="0">
    <fb>4137861</fb>
    <v>2</v>
  </rv>
  <rv s="0">
    <fb>45790</fb>
    <v>0</v>
  </rv>
  <rv s="0">
    <fb>308.69</fb>
    <v>1</v>
  </rv>
  <rv s="0">
    <fb>3018600</fb>
    <v>2</v>
  </rv>
  <rv s="0">
    <fb>45791</fb>
    <v>0</v>
  </rv>
  <rv s="0">
    <fb>307.5</fb>
    <v>1</v>
  </rv>
  <rv s="0">
    <fb>2657043</fb>
    <v>2</v>
  </rv>
  <rv s="0">
    <fb>45792</fb>
    <v>0</v>
  </rv>
  <rv s="0">
    <fb>314.48</fb>
    <v>1</v>
  </rv>
  <rv s="0">
    <fb>2928718</fb>
    <v>2</v>
  </rv>
  <rv s="0">
    <fb>45793</fb>
    <v>0</v>
  </rv>
  <rv s="0">
    <fb>318.61</fb>
    <v>1</v>
  </rv>
  <rv s="0">
    <fb>2637287</fb>
    <v>2</v>
  </rv>
  <rv s="0">
    <fb>45796</fb>
    <v>0</v>
  </rv>
  <rv s="0">
    <fb>321.23</fb>
    <v>1</v>
  </rv>
  <rv s="0">
    <fb>2749002</fb>
    <v>2</v>
  </rv>
  <rv s="0">
    <fb>45797</fb>
    <v>0</v>
  </rv>
  <rv s="0">
    <fb>319.8</fb>
    <v>1</v>
  </rv>
  <rv s="0">
    <fb>2034967</fb>
    <v>2</v>
  </rv>
  <rv s="0">
    <fb>45798</fb>
    <v>0</v>
  </rv>
  <rv s="0">
    <fb>316.44</fb>
    <v>1</v>
  </rv>
  <rv s="0">
    <fb>2386740</fb>
    <v>2</v>
  </rv>
  <rv s="0">
    <fb>45799</fb>
    <v>0</v>
  </rv>
  <rv s="0">
    <fb>314.31</fb>
    <v>1</v>
  </rv>
  <rv s="0">
    <fb>2642001</fb>
    <v>2</v>
  </rv>
  <rv s="0">
    <fb>45800</fb>
    <v>0</v>
  </rv>
  <rv s="0">
    <fb>314.57</fb>
    <v>1</v>
  </rv>
  <rv s="0">
    <fb>2701615</fb>
    <v>2</v>
  </rv>
  <rv s="0">
    <fb>45804</fb>
    <v>0</v>
  </rv>
  <rv s="0">
    <fb>314.95</fb>
    <v>1</v>
  </rv>
  <rv s="0">
    <fb>2527016</fb>
    <v>2</v>
  </rv>
  <rv s="0">
    <fb>45805</fb>
    <v>0</v>
  </rv>
  <rv s="0">
    <fb>312.83999999999997</fb>
    <v>1</v>
  </rv>
  <rv s="0">
    <fb>1935645</fb>
    <v>2</v>
  </rv>
  <rv s="0">
    <fb>45806</fb>
    <v>0</v>
  </rv>
  <rv s="0">
    <fb>311.86</fb>
    <v>1</v>
  </rv>
  <rv s="0">
    <fb>2248937</fb>
    <v>2</v>
  </rv>
  <rv s="0">
    <fb>45807</fb>
    <v>0</v>
  </rv>
  <rv s="0">
    <fb>313.85000000000002</fb>
    <v>1</v>
  </rv>
  <rv s="0">
    <fb>4062917</fb>
    <v>2</v>
  </rv>
  <rv s="0">
    <fb>45810</fb>
    <v>0</v>
  </rv>
  <rv s="0">
    <fb>312.68</fb>
    <v>1</v>
  </rv>
  <rv s="0">
    <fb>2577048</fb>
    <v>2</v>
  </rv>
  <rv s="0">
    <fb>45811</fb>
    <v>0</v>
  </rv>
  <rv s="0">
    <fb>312.39</fb>
    <v>1</v>
  </rv>
  <rv s="0">
    <fb>3028181</fb>
    <v>2</v>
  </rv>
  <rv s="0">
    <fb>45812</fb>
    <v>0</v>
  </rv>
  <rv s="0">
    <fb>311.57</fb>
    <v>1</v>
  </rv>
  <rv s="0">
    <fb>2069546</fb>
    <v>2</v>
  </rv>
  <rv s="0">
    <fb>45813</fb>
    <v>0</v>
  </rv>
  <rv s="0">
    <fb>308.98</fb>
    <v>1</v>
  </rv>
  <rv s="0">
    <fb>3817236</fb>
    <v>2</v>
  </rv>
  <rv s="0">
    <fb>45814</fb>
    <v>0</v>
  </rv>
  <rv s="0">
    <fb>307.36</fb>
    <v>1</v>
  </rv>
  <rv s="0">
    <fb>2622767</fb>
    <v>2</v>
  </rv>
  <rv s="0">
    <fb>45817</fb>
    <v>0</v>
  </rv>
  <rv s="0">
    <fb>304.77999999999997</fb>
    <v>1</v>
  </rv>
  <rv s="0">
    <fb>4059771</fb>
    <v>2</v>
  </rv>
  <rv s="0">
    <fb>45818</fb>
    <v>0</v>
  </rv>
  <rv s="0">
    <fb>300.43</fb>
    <v>1</v>
  </rv>
  <rv s="0">
    <fb>4698701</fb>
    <v>2</v>
  </rv>
  <rv s="0">
    <fb>45819</fb>
    <v>0</v>
  </rv>
  <rv s="0">
    <fb>301.72000000000003</fb>
    <v>1</v>
  </rv>
  <rv s="0">
    <fb>3312510</fb>
    <v>2</v>
  </rv>
  <rv s="0">
    <fb>45820</fb>
    <v>0</v>
  </rv>
  <rv s="0">
    <fb>303.16000000000003</fb>
    <v>1</v>
  </rv>
  <rv s="0">
    <fb>2584667</fb>
    <v>2</v>
  </rv>
  <rv s="0">
    <fb>45821</fb>
    <v>0</v>
  </rv>
  <rv s="0">
    <fb>301.91000000000003</fb>
    <v>1</v>
  </rv>
  <rv s="0">
    <fb>2435628</fb>
    <v>2</v>
  </rv>
  <rv s="0">
    <fb>45824</fb>
    <v>0</v>
  </rv>
  <rv s="0">
    <fb>296.29000000000002</fb>
    <v>1</v>
  </rv>
  <rv s="0">
    <fb>4045666</fb>
    <v>2</v>
  </rv>
  <rv s="0">
    <fb>45825</fb>
    <v>0</v>
  </rv>
  <rv s="0">
    <fb>3378975</fb>
    <v>2</v>
  </rv>
  <rv s="0">
    <fb>45826</fb>
    <v>0</v>
  </rv>
  <rv s="0">
    <fb>289.63</fb>
    <v>1</v>
  </rv>
  <rv s="0">
    <fb>4008675</fb>
    <v>2</v>
  </rv>
  <rv s="0">
    <fb>45828</fb>
    <v>0</v>
  </rv>
  <rv s="0">
    <fb>287.45999999999998</fb>
    <v>1</v>
  </rv>
  <rv s="0">
    <fb>7084966</fb>
    <v>2</v>
  </rv>
  <rv s="0">
    <fb>45831</fb>
    <v>0</v>
  </rv>
  <rv s="0">
    <fb>5172494</fb>
    <v>2</v>
  </rv>
  <rv s="0">
    <fb>45832</fb>
    <v>0</v>
  </rv>
  <rv s="0">
    <fb>291.47000000000003</fb>
    <v>1</v>
  </rv>
  <rv s="0">
    <fb>4461222</fb>
    <v>2</v>
  </rv>
  <rv s="0">
    <fb>45833</fb>
    <v>0</v>
  </rv>
  <rv s="0">
    <fb>285.55</fb>
    <v>1</v>
  </rv>
  <rv s="0">
    <fb>4259763</fb>
    <v>2</v>
  </rv>
  <rv s="0">
    <fb>45834</fb>
    <v>0</v>
  </rv>
  <rv s="0">
    <fb>5354904</fb>
    <v>2</v>
  </rv>
  <rv s="0">
    <fb>45835</fb>
    <v>0</v>
  </rv>
  <rv s="0">
    <fb>291.55</fb>
    <v>1</v>
  </rv>
  <rv s="0">
    <fb>7422178</fb>
    <v>2</v>
  </rv>
  <rv s="0">
    <fb>45838</fb>
    <v>0</v>
  </rv>
  <rv s="0">
    <fb>292.17</fb>
    <v>1</v>
  </rv>
  <rv s="0">
    <fb>5054752</fb>
    <v>2</v>
  </rv>
  <rv s="0">
    <fb>45839</fb>
    <v>0</v>
  </rv>
  <rv s="0">
    <fb>297.49</fb>
    <v>1</v>
  </rv>
  <rv s="0">
    <fb>5121903</fb>
    <v>2</v>
  </rv>
  <rv s="0">
    <fb>45840</fb>
    <v>0</v>
  </rv>
  <rv s="0">
    <fb>294.63</fb>
    <v>1</v>
  </rv>
  <rv s="0">
    <fb>4021460</fb>
    <v>2</v>
  </rv>
  <rv s="0">
    <fb>45841</fb>
    <v>0</v>
  </rv>
  <rv s="0">
    <fb>294.08</fb>
    <v>1</v>
  </rv>
  <rv s="0">
    <fb>1678645</fb>
    <v>2</v>
  </rv>
  <rv s="0">
    <fb>45845</fb>
    <v>0</v>
  </rv>
  <rv s="0">
    <fb>293.52999999999997</fb>
    <v>1</v>
  </rv>
  <rv s="0">
    <fb>3404279</fb>
    <v>2</v>
  </rv>
  <rv s="0">
    <fb>45846</fb>
    <v>0</v>
  </rv>
  <rv s="0">
    <fb>291.67</fb>
    <v>1</v>
  </rv>
  <rv s="0">
    <fb>3123607</fb>
    <v>2</v>
  </rv>
  <rv s="0">
    <fb>45847</fb>
    <v>0</v>
  </rv>
  <rv s="0">
    <fb>293.02</fb>
    <v>1</v>
  </rv>
  <rv s="0">
    <fb>3266050</fb>
    <v>2</v>
  </rv>
  <rv s="0">
    <fb>45848</fb>
    <v>0</v>
  </rv>
  <rv s="0">
    <fb>298.39</fb>
    <v>1</v>
  </rv>
  <rv s="0">
    <fb>5368072</fb>
    <v>2</v>
  </rv>
  <rv s="0">
    <fb>45849</fb>
    <v>0</v>
  </rv>
  <rv s="0">
    <fb>299.91000000000003</fb>
    <v>1</v>
  </rv>
  <rv s="0">
    <fb>4524080</fb>
    <v>2</v>
  </rv>
  <rv s="0">
    <fb>45852</fb>
    <v>0</v>
  </rv>
  <rv s="0">
    <fb>301.88</fb>
    <v>1</v>
  </rv>
  <rv s="0">
    <fb>5707576</fb>
    <v>2</v>
  </rv>
  <rv s="0">
    <fb>45853</fb>
    <v>0</v>
  </rv>
  <rv s="0">
    <fb>299.62</fb>
    <v>1</v>
  </rv>
  <rv s="0">
    <fb>2937595</fb>
    <v>2</v>
  </rv>
  <rv s="0">
    <fb>45854</fb>
    <v>0</v>
  </rv>
  <rv s="0">
    <fb>298.89999999999998</fb>
    <v>1</v>
  </rv>
  <rv s="0">
    <fb>2804844</fb>
    <v>2</v>
  </rv>
  <rv s="0">
    <fb>45855</fb>
    <v>0</v>
  </rv>
  <rv s="0">
    <fb>300.37</fb>
    <v>1</v>
  </rv>
  <rv s="0">
    <fb>3134529</fb>
    <v>2</v>
  </rv>
  <rv s="0">
    <fb>45856</fb>
    <v>0</v>
  </rv>
  <rv s="0">
    <fb>297.07</fb>
    <v>1</v>
  </rv>
  <rv s="0">
    <fb>3481263</fb>
    <v>2</v>
  </rv>
  <rv s="0">
    <fb>45859</fb>
    <v>0</v>
  </rv>
  <rv s="0">
    <fb>295.74</fb>
    <v>1</v>
  </rv>
  <rv s="0">
    <fb>3037506</fb>
    <v>2</v>
  </rv>
  <rv s="0">
    <fb>45860</fb>
    <v>0</v>
  </rv>
  <rv s="0">
    <fb>299.17</fb>
    <v>1</v>
  </rv>
  <rv s="0">
    <fb>2672021</fb>
    <v>2</v>
  </rv>
  <rv s="0">
    <fb>45861</fb>
    <v>0</v>
  </rv>
  <rv s="0">
    <fb>298.12</fb>
    <v>1</v>
  </rv>
  <rv s="0">
    <fb>2467609</fb>
    <v>2</v>
  </rv>
  <rv s="0">
    <fb>45862</fb>
    <v>0</v>
  </rv>
  <rv s="0">
    <fb>294.48</fb>
    <v>1</v>
  </rv>
  <rv s="0">
    <fb>4426029</fb>
    <v>2</v>
  </rv>
  <rv s="0">
    <fb>45863</fb>
    <v>0</v>
  </rv>
  <rv s="0">
    <fb>298.47000000000003</fb>
    <v>1</v>
  </rv>
  <rv s="0">
    <fb>3401033</fb>
    <v>2</v>
  </rv>
  <rv s="0">
    <fb>45866</fb>
    <v>0</v>
  </rv>
  <rv s="0">
    <fb>299.22000000000003</fb>
    <v>1</v>
  </rv>
  <rv s="0">
    <fb>3070470</fb>
    <v>2</v>
  </rv>
  <rv s="0">
    <fb>45867</fb>
    <v>0</v>
  </rv>
  <rv s="0">
    <fb>302.67</fb>
    <v>1</v>
  </rv>
  <rv s="0">
    <fb>3148084</fb>
    <v>2</v>
  </rv>
  <rv s="0">
    <fb>45868</fb>
    <v>0</v>
  </rv>
  <rv s="0">
    <fb>303.61</fb>
    <v>1</v>
  </rv>
  <rv s="0">
    <fb>2805919</fb>
    <v>2</v>
  </rv>
  <rv s="0">
    <fb>45869</fb>
    <v>0</v>
  </rv>
  <rv s="0">
    <fb>300.07</fb>
    <v>1</v>
  </rv>
  <rv s="0">
    <fb>3639588</fb>
    <v>2</v>
  </rv>
  <rv s="0">
    <fb>45870</fb>
    <v>0</v>
  </rv>
  <rv s="0">
    <fb>302.89</fb>
    <v>1</v>
  </rv>
  <rv s="0">
    <fb>3344793</fb>
    <v>2</v>
  </rv>
  <rv s="0">
    <fb>45873</fb>
    <v>0</v>
  </rv>
  <rv s="0">
    <fb>304.23</fb>
    <v>1</v>
  </rv>
  <rv s="0">
    <fb>4734465</fb>
    <v>2</v>
  </rv>
  <rv s="0">
    <fb>45874</fb>
    <v>0</v>
  </rv>
  <rv s="0">
    <fb>298.77</fb>
    <v>1</v>
  </rv>
  <rv s="0">
    <fb>4222907</fb>
    <v>2</v>
  </rv>
  <rv s="0">
    <fb>45875</fb>
    <v>0</v>
  </rv>
  <rv s="0">
    <fb>307.66000000000003</fb>
    <v>1</v>
  </rv>
  <rv s="0">
    <fb>6474304</fb>
    <v>2</v>
  </rv>
  <rv s="0">
    <fb>45876</fb>
    <v>0</v>
  </rv>
  <rv s="0">
    <fb>307.91000000000003</fb>
    <v>1</v>
  </rv>
  <rv s="0">
    <fb>3603475</fb>
    <v>2</v>
  </rv>
  <rv s="0">
    <fb>45877</fb>
    <v>0</v>
  </rv>
  <rv s="0">
    <fb>305.45</fb>
    <v>1</v>
  </rv>
  <rv s="0">
    <fb>2622369</fb>
    <v>2</v>
  </rv>
  <rv s="0">
    <fb>45880</fb>
    <v>0</v>
  </rv>
  <rv s="0">
    <fb>304.36</fb>
    <v>1</v>
  </rv>
  <rv s="0">
    <fb>2648956</fb>
    <v>2</v>
  </rv>
  <rv s="0">
    <fb>45881</fb>
    <v>0</v>
  </rv>
  <rv s="0">
    <fb>301.64</fb>
    <v>1</v>
  </rv>
  <rv s="0">
    <fb>3440070</fb>
    <v>2</v>
  </rv>
  <rv s="0">
    <fb>45882</fb>
    <v>0</v>
  </rv>
  <rv s="0">
    <fb>305.07</fb>
    <v>1</v>
  </rv>
  <rv s="0">
    <fb>2999334</fb>
    <v>2</v>
  </rv>
  <rv s="0">
    <fb>45883</fb>
    <v>0</v>
  </rv>
  <rv s="0">
    <fb>308.95</fb>
    <v>1</v>
  </rv>
  <rv s="0">
    <fb>4699435</fb>
    <v>2</v>
  </rv>
  <rv s="0">
    <fb>45884</fb>
    <v>0</v>
  </rv>
  <rv s="0">
    <fb>308.93</fb>
    <v>1</v>
  </rv>
  <rv s="0">
    <fb>3416604</fb>
    <v>2</v>
  </rv>
  <rv s="0">
    <fb>45887</fb>
    <v>0</v>
  </rv>
  <rv s="0">
    <fb>308.7</fb>
    <v>1</v>
  </rv>
  <rv s="0">
    <fb>3272917</fb>
    <v>2</v>
  </rv>
  <rv s="0">
    <fb>45888</fb>
    <v>0</v>
  </rv>
  <rv s="0">
    <fb>310.93</fb>
    <v>1</v>
  </rv>
  <rv s="0">
    <fb>2893574</fb>
    <v>2</v>
  </rv>
  <rv s="0">
    <fb>45889</fb>
    <v>0</v>
  </rv>
  <rv s="0">
    <fb>313.08</fb>
    <v>1</v>
  </rv>
  <rv s="0">
    <fb>3880218</fb>
    <v>2</v>
  </rv>
  <rv s="0">
    <fb>45890</fb>
    <v>0</v>
  </rv>
  <rv s="0">
    <fb>313.22000000000003</fb>
    <v>1</v>
  </rv>
  <rv s="0">
    <fb>2282444</fb>
    <v>2</v>
  </rv>
  <rv s="0">
    <fb>45891</fb>
    <v>0</v>
  </rv>
  <rv s="0">
    <fb>314.07</fb>
    <v>1</v>
  </rv>
  <rv s="0">
    <fb>2796930</fb>
    <v>2</v>
  </rv>
  <rv s="0">
    <fb>45894</fb>
    <v>0</v>
  </rv>
  <rv s="0">
    <fb>313.44</fb>
    <v>1</v>
  </rv>
  <rv s="0">
    <fb>2944405</fb>
    <v>2</v>
  </rv>
  <rv s="0">
    <fb>45895</fb>
    <v>0</v>
  </rv>
  <rv s="0">
    <fb>312.94</fb>
    <v>1</v>
  </rv>
  <rv s="0">
    <fb>2807730</fb>
    <v>2</v>
  </rv>
  <rv s="0">
    <fb>45896</fb>
    <v>0</v>
  </rv>
  <rv s="0">
    <fb>311.43</fb>
    <v>1</v>
  </rv>
  <rv s="0">
    <fb>3234836</fb>
    <v>2</v>
  </rv>
  <rv s="0">
    <fb>45897</fb>
    <v>0</v>
  </rv>
  <rv s="0">
    <fb>312.22000000000003</fb>
    <v>1</v>
  </rv>
  <rv s="0">
    <fb>3471683</fb>
    <v>2</v>
  </rv>
  <rv s="0">
    <fb>45898</fb>
    <v>0</v>
  </rv>
  <rv s="0">
    <fb>313.54000000000002</fb>
    <v>1</v>
  </rv>
  <rv s="0">
    <fb>2492471</fb>
    <v>2</v>
  </rv>
  <rv s="0">
    <fb>45902</fb>
    <v>0</v>
  </rv>
  <rv s="0">
    <fb>315.76</fb>
    <v>1</v>
  </rv>
  <rv s="0">
    <fb>3228651</fb>
    <v>2</v>
  </rv>
  <rv s="0">
    <fb>45903</fb>
    <v>0</v>
  </rv>
  <rv s="0">
    <fb>316.39</fb>
    <v>1</v>
  </rv>
  <rv s="0">
    <fb>3219733</fb>
    <v>2</v>
  </rv>
  <rv s="0">
    <fb>45904</fb>
    <v>0</v>
  </rv>
  <rv s="0">
    <fb>316.99</fb>
    <v>1</v>
  </rv>
  <rv s="0">
    <fb>2881528</fb>
    <v>2</v>
  </rv>
  <rv s="0">
    <fb>45905</fb>
    <v>0</v>
  </rv>
  <rv s="0">
    <fb>314.38</fb>
    <v>1</v>
  </rv>
  <rv s="0">
    <fb>2533259</fb>
    <v>2</v>
  </rv>
  <rv s="0">
    <fb>45908</fb>
    <v>0</v>
  </rv>
  <rv s="0">
    <fb>312.8</fb>
    <v>1</v>
  </rv>
  <rv s="0">
    <fb>2873797</fb>
    <v>2</v>
  </rv>
  <rv s="0">
    <fb>45909</fb>
    <v>0</v>
  </rv>
  <rv s="0">
    <fb>312.52</fb>
    <v>1</v>
  </rv>
  <rv s="0">
    <fb>2310842</fb>
    <v>2</v>
  </rv>
  <rv s="0">
    <fb>45910</fb>
    <v>0</v>
  </rv>
  <rv s="0">
    <fb>305.94</fb>
    <v>1</v>
  </rv>
  <rv s="0">
    <fb>3479927</fb>
    <v>2</v>
  </rv>
  <rv s="0">
    <fb>45911</fb>
    <v>0</v>
  </rv>
  <rv s="0">
    <fb>308.43</fb>
    <v>1</v>
  </rv>
  <rv s="0">
    <fb>2761496</fb>
    <v>2</v>
  </rv>
  <rv s="0">
    <fb>45912</fb>
    <v>0</v>
  </rv>
  <rv s="0">
    <fb>305.39999999999998</fb>
    <v>1</v>
  </rv>
  <rv s="0">
    <fb>2072848</fb>
    <v>2</v>
  </rv>
  <rv s="0">
    <fb>45915</fb>
    <v>0</v>
  </rv>
  <rv s="0">
    <fb>302.07</fb>
    <v>1</v>
  </rv>
  <rv s="0">
    <fb>3584545</fb>
    <v>2</v>
  </rv>
  <rv s="0">
    <fb>45916</fb>
    <v>0</v>
  </rv>
  <rv s="0">
    <fb>303.29000000000002</fb>
    <v>1</v>
  </rv>
  <rv s="0">
    <fb>3578515</fb>
    <v>2</v>
  </rv>
  <rv s="0">
    <fb>45917</fb>
    <v>0</v>
  </rv>
  <rv s="0">
    <fb>304.97000000000003</fb>
    <v>1</v>
  </rv>
  <rv s="0">
    <fb>2681606</fb>
    <v>2</v>
  </rv>
  <rv s="0">
    <fb>45918</fb>
    <v>0</v>
  </rv>
  <rv s="0">
    <fb>301.14</fb>
    <v>1</v>
  </rv>
  <rv s="0">
    <fb>4654057</fb>
    <v>2</v>
  </rv>
  <rv s="0">
    <fb>45919</fb>
    <v>0</v>
  </rv>
  <rv s="0">
    <fb>302.38</fb>
    <v>1</v>
  </rv>
  <rv s="0">
    <fb>5696853</fb>
    <v>2</v>
  </rv>
  <rv s="0">
    <fb>45922</fb>
    <v>0</v>
  </rv>
  <rv s="0">
    <fb>302.99</fb>
    <v>1</v>
  </rv>
  <rv s="0">
    <fb>3657877</fb>
    <v>2</v>
  </rv>
  <rv s="0">
    <fb>45923</fb>
    <v>0</v>
  </rv>
  <rv s="0">
    <fb>303.19</fb>
    <v>1</v>
  </rv>
  <rv s="0">
    <fb>2976905</fb>
    <v>2</v>
  </rv>
  <rv s="0">
    <fb>45924</fb>
    <v>0</v>
  </rv>
  <rv s="0">
    <fb>304.33</fb>
    <v>1</v>
  </rv>
  <rv s="0">
    <fb>2427617</fb>
    <v>2</v>
  </rv>
  <rv s="0">
    <fb>45925</fb>
    <v>0</v>
  </rv>
  <rv s="0">
    <fb>302.3</fb>
    <v>1</v>
  </rv>
  <rv s="0">
    <fb>2558353</fb>
    <v>2</v>
  </rv>
  <rv s="0">
    <fb>45926</fb>
    <v>0</v>
  </rv>
  <rv s="0">
    <fb>305.24</fb>
    <v>1</v>
  </rv>
  <rv s="0">
    <fb>2284795</fb>
    <v>2</v>
  </rv>
  <rv s="0">
    <fb>45929</fb>
    <v>0</v>
  </rv>
  <rv s="0">
    <fb>3073835</fb>
    <v>2</v>
  </rv>
  <rv s="0">
    <fb>45930</fb>
    <v>0</v>
  </rv>
  <rv s="0">
    <fb>303.89</fb>
    <v>1</v>
  </rv>
  <rv s="0">
    <fb>2640436</fb>
    <v>2</v>
  </rv>
  <rv s="0">
    <fb>45931</fb>
    <v>0</v>
  </rv>
  <rv s="0">
    <fb>300.52</fb>
    <v>1</v>
  </rv>
  <rv s="0">
    <fb>3055347</fb>
    <v>2</v>
  </rv>
  <rv s="0">
    <fb>45932</fb>
    <v>0</v>
  </rv>
  <rv s="0">
    <fb>299.88</fb>
    <v>1</v>
  </rv>
  <rv s="0">
    <fb>2690402</fb>
    <v>2</v>
  </rv>
  <rv s="0">
    <fb>45933</fb>
    <v>0</v>
  </rv>
  <rv s="0">
    <fb>300.98</fb>
    <v>1</v>
  </rv>
  <rv s="0">
    <fb>2599053</fb>
    <v>2</v>
  </rv>
  <rv s="0">
    <fb>45936</fb>
    <v>0</v>
  </rv>
  <rv s="0">
    <fb>296.04000000000002</fb>
    <v>1</v>
  </rv>
  <rv s="0">
    <fb>3814151</fb>
    <v>2</v>
  </rv>
  <rv s="0">
    <fb>45937</fb>
    <v>0</v>
  </rv>
  <rv s="0">
    <fb>296.32</fb>
    <v>1</v>
  </rv>
  <rv s="0">
    <fb>2516057</fb>
    <v>2</v>
  </rv>
  <rv s="0">
    <fb>45938</fb>
    <v>0</v>
  </rv>
  <rv s="0">
    <fb>294.39999999999998</fb>
    <v>1</v>
  </rv>
  <rv s="0">
    <fb>2464566</fb>
    <v>2</v>
  </rv>
  <rv s="0">
    <fb>45939</fb>
    <v>0</v>
  </rv>
  <rv s="0">
    <fb>293.81</fb>
    <v>1</v>
  </rv>
  <rv s="0">
    <fb>2802739</fb>
    <v>2</v>
  </rv>
  <rv s="0">
    <fb>45940</fb>
    <v>0</v>
  </rv>
  <rv s="0">
    <fb>297.01</fb>
    <v>1</v>
  </rv>
  <rv s="0">
    <fb>4016226</fb>
    <v>2</v>
  </rv>
  <rv s="0">
    <fb>45943</fb>
    <v>0</v>
  </rv>
  <rv s="0">
    <fb>3369584</fb>
    <v>2</v>
  </rv>
  <rv s="0">
    <fb>45944</fb>
    <v>0</v>
  </rv>
  <rv s="0">
    <fb>304.56</fb>
    <v>1</v>
  </rv>
  <rv s="0">
    <fb>2992849</fb>
    <v>2</v>
  </rv>
  <rv s="0">
    <fb>45945</fb>
    <v>0</v>
  </rv>
  <rv s="0">
    <fb>305.25</fb>
    <v>1</v>
  </rv>
  <rv s="0">
    <fb>2522103</fb>
    <v>2</v>
  </rv>
  <rv s="0">
    <fb>45946</fb>
    <v>0</v>
  </rv>
  <rv s="0">
    <fb>305.33</fb>
    <v>1</v>
  </rv>
  <rv s="0">
    <fb>2021608</fb>
    <v>2</v>
  </rv>
  <rv s="0">
    <fb>45947</fb>
    <v>0</v>
  </rv>
  <rv s="0">
    <fb>308.08999999999997</fb>
    <v>1</v>
  </rv>
  <rv s="0">
    <fb>2194185</fb>
    <v>2</v>
  </rv>
  <rv s="0">
    <fb>45950</fb>
    <v>0</v>
  </rv>
  <rv s="0">
    <fb>307.77</fb>
    <v>1</v>
  </rv>
  <rv s="0">
    <fb>2329755</fb>
    <v>2</v>
  </rv>
  <rv s="0">
    <fb>45951</fb>
    <v>0</v>
  </rv>
  <rv s="0">
    <fb>307.48</fb>
    <v>1</v>
  </rv>
  <rv s="0">
    <fb>2461407</fb>
    <v>2</v>
  </rv>
  <rv s="0">
    <fb>45952</fb>
    <v>0</v>
  </rv>
  <rv s="0">
    <fb>310.11</fb>
    <v>1</v>
  </rv>
  <rv s="0">
    <fb>2735723</fb>
    <v>2</v>
  </rv>
  <rv s="0">
    <fb>45953</fb>
    <v>0</v>
  </rv>
  <rv s="0">
    <fb>306.97000000000003</fb>
    <v>1</v>
  </rv>
  <rv s="0">
    <fb>2081527</fb>
    <v>2</v>
  </rv>
  <rv s="0">
    <fb>45954</fb>
    <v>0</v>
  </rv>
  <rv s="0">
    <fb>305.79000000000002</fb>
    <v>1</v>
  </rv>
  <rv s="0">
    <fb>1994545</fb>
    <v>2</v>
  </rv>
  <rv s="0">
    <fb>45957</fb>
    <v>0</v>
  </rv>
  <rv s="0">
    <fb>310</fb>
    <v>1</v>
  </rv>
  <rv s="0">
    <fb>2139674</fb>
    <v>2</v>
  </rv>
  <rv s="0">
    <fb>45958</fb>
    <v>0</v>
  </rv>
  <rv s="0">
    <fb>306.39999999999998</fb>
    <v>1</v>
  </rv>
  <rv s="0">
    <fb>2336495</fb>
    <v>2</v>
  </rv>
  <rv s="0">
    <fb>45959</fb>
    <v>0</v>
  </rv>
  <rv s="0">
    <fb>302.35000000000002</fb>
    <v>1</v>
  </rv>
  <rv s="0">
    <fb>2502261</fb>
    <v>2</v>
  </rv>
  <rv s="0">
    <fb>45960</fb>
    <v>0</v>
  </rv>
  <rv s="0">
    <fb>302.43</fb>
    <v>1</v>
  </rv>
  <rv s="0">
    <fb>3128398</fb>
    <v>2</v>
  </rv>
  <rv s="0">
    <fb>45961</fb>
    <v>0</v>
  </rv>
  <rv s="0">
    <fb>298.43</fb>
    <v>1</v>
  </rv>
  <rv s="0">
    <fb>3582719</fb>
    <v>2</v>
  </rv>
  <rv s="0">
    <fb>45964</fb>
    <v>0</v>
  </rv>
  <rv s="0">
    <fb>296.37</fb>
    <v>1</v>
  </rv>
  <rv s="0">
    <fb>3899313</fb>
    <v>2</v>
  </rv>
  <rv s="0">
    <fb>45965</fb>
    <v>0</v>
  </rv>
  <rv s="0">
    <fb>299.20999999999998</fb>
    <v>1</v>
  </rv>
  <rv s="0">
    <fb>4151259</fb>
    <v>2</v>
  </rv>
  <rv s="0">
    <fb>45966</fb>
    <v>0</v>
  </rv>
  <rv s="0">
    <fb>6070334</fb>
    <v>2</v>
  </rv>
  <rv s="0">
    <fb>45967</fb>
    <v>0</v>
  </rv>
  <rv s="0">
    <fb>3544869</fb>
    <v>2</v>
  </rv>
  <rv s="0">
    <fb>45968</fb>
    <v>0</v>
  </rv>
  <rv s="0">
    <fb>299.66000000000003</fb>
    <v>1</v>
  </rv>
  <rv s="0">
    <fb>3250197</fb>
    <v>2</v>
  </rv>
  <rv s="0">
    <fb>45971</fb>
    <v>0</v>
  </rv>
  <rv s="0">
    <fb>299.10000000000002</fb>
    <v>1</v>
  </rv>
  <rv s="0">
    <fb>3824334</fb>
    <v>2</v>
  </rv>
  <rv s="0">
    <fb>45972</fb>
    <v>0</v>
  </rv>
  <rv s="0">
    <fb>306.83</fb>
    <v>1</v>
  </rv>
  <rv s="0">
    <fb>2755799</fb>
    <v>2</v>
  </rv>
  <rv s="0">
    <fb>45973</fb>
    <v>0</v>
  </rv>
  <rv s="0">
    <fb>306.94</fb>
    <v>1</v>
  </rv>
  <rv s="0">
    <fb>2818642</fb>
    <v>2</v>
  </rv>
  <rv s="0">
    <fb>45974</fb>
    <v>0</v>
  </rv>
  <rv s="0">
    <fb>307.58</fb>
    <v>1</v>
  </rv>
  <rv s="0">
    <fb>2294288</fb>
    <v>2</v>
  </rv>
  <rv s="0">
    <fb>45975</fb>
    <v>0</v>
  </rv>
  <rv s="0">
    <fb>307.02999999999997</fb>
    <v>1</v>
  </rv>
  <rv s="0">
    <fb>3112574</fb>
    <v>2</v>
  </rv>
  <rv s="0">
    <fb>45978</fb>
    <v>0</v>
  </rv>
  <rv s="0">
    <fb>304.89999999999998</fb>
    <v>1</v>
  </rv>
  <rv s="0">
    <fb>2435713</fb>
    <v>2</v>
  </rv>
  <rv s="0">
    <fb>45979</fb>
    <v>0</v>
  </rv>
  <rv s="0">
    <fb>304.58999999999997</fb>
    <v>1</v>
  </rv>
  <rv s="0">
    <fb>2774197</fb>
    <v>2</v>
  </rv>
  <rv s="0">
    <fb>45980</fb>
    <v>0</v>
  </rv>
  <rv s="0">
    <fb>302.74</fb>
    <v>1</v>
  </rv>
  <rv s="0">
    <fb>2008521</fb>
    <v>2</v>
  </rv>
  <rv s="0">
    <fb>45981</fb>
    <v>0</v>
  </rv>
  <rv s="0">
    <fb>304.16000000000003</fb>
    <v>1</v>
  </rv>
  <rv s="0">
    <fb>4205133</fb>
    <v>2</v>
  </rv>
  <rv s="0">
    <fb>45982</fb>
    <v>0</v>
  </rv>
  <rv s="0">
    <fb>309.35000000000002</fb>
    <v>1</v>
  </rv>
  <rv s="0">
    <fb>3348908</fb>
    <v>2</v>
  </rv>
  <rv s="0">
    <fb>45985</fb>
    <v>0</v>
  </rv>
  <rv s="0">
    <fb>3687330</fb>
    <v>2</v>
  </rv>
  <rv s="0">
    <fb>45986</fb>
    <v>0</v>
  </rv>
  <rv s="0">
    <fb>310.45</fb>
    <v>1</v>
  </rv>
  <rv s="0">
    <fb>4189915</fb>
    <v>2</v>
  </rv>
  <rv s="0">
    <fb>45987</fb>
    <v>0</v>
  </rv>
  <rv s="0">
    <fb>312.39999999999998</fb>
    <v>1</v>
  </rv>
  <rv s="0">
    <fb>2786843</fb>
    <v>2</v>
  </rv>
  <rv s="0">
    <fb>45989</fb>
    <v>0</v>
  </rv>
  <rv s="0">
    <fb>311.82</fb>
    <v>1</v>
  </rv>
  <rv s="0">
    <fb>1850687</fb>
    <v>2</v>
  </rv>
  <rv s="0">
    <fb>45992</fb>
    <v>0</v>
  </rv>
  <rv s="0">
    <fb>303.57</fb>
    <v>1</v>
  </rv>
  <rv s="0">
    <fb>3354081</fb>
    <v>2</v>
  </rv>
  <rv s="0">
    <fb>45993</fb>
    <v>0</v>
  </rv>
  <rv s="0">
    <fb>300.72000000000003</fb>
    <v>1</v>
  </rv>
  <rv s="0">
    <fb>3947816</fb>
    <v>2</v>
  </rv>
  <rv s="0">
    <fb>45994</fb>
    <v>0</v>
  </rv>
  <rv s="0">
    <fb>307.70999999999998</fb>
    <v>1</v>
  </rv>
  <rv s="0">
    <fb>4986897</fb>
    <v>2</v>
  </rv>
  <rv s="0">
    <fb>45995</fb>
    <v>0</v>
  </rv>
  <rv s="0">
    <fb>308.54000000000002</fb>
    <v>1</v>
  </rv>
  <rv s="0">
    <fb>4632369</fb>
    <v>2</v>
  </rv>
  <rv s="0">
    <fb>45996</fb>
    <v>0</v>
  </rv>
  <rv s="0">
    <fb>311.23</fb>
    <v>1</v>
  </rv>
  <rv s="0">
    <fb>3147587</fb>
    <v>2</v>
  </rv>
  <rv s="0">
    <fb>45999</fb>
    <v>0</v>
  </rv>
  <rv s="0">
    <fb>309.79000000000002</fb>
    <v>1</v>
  </rv>
  <rv s="0">
    <fb>3575017</fb>
    <v>2</v>
  </rv>
  <rv s="0">
    <fb>46000</fb>
    <v>0</v>
  </rv>
  <rv s="0">
    <fb>310.79000000000002</fb>
    <v>1</v>
  </rv>
  <rv s="0">
    <fb>2355256</fb>
    <v>2</v>
  </rv>
  <rv s="0">
    <fb>46001</fb>
    <v>0</v>
  </rv>
  <rv s="0">
    <fb>310.52999999999997</fb>
    <v>1</v>
  </rv>
  <rv s="0">
    <fb>4104201</fb>
    <v>2</v>
  </rv>
  <rv s="0">
    <fb>46002</fb>
    <v>0</v>
  </rv>
  <rv s="0">
    <fb>309.70999999999998</fb>
    <v>1</v>
  </rv>
  <rv s="0">
    <fb>4844183</fb>
    <v>2</v>
  </rv>
  <rv s="0">
    <fb>46003</fb>
    <v>0</v>
  </rv>
  <rv s="0">
    <fb>316.72000000000003</fb>
    <v>1</v>
  </rv>
  <rv s="0">
    <fb>3771935</fb>
    <v>2</v>
  </rv>
  <rv s="0">
    <fb>46006</fb>
    <v>0</v>
  </rv>
  <rv s="0">
    <fb>318.73</fb>
    <v>1</v>
  </rv>
  <rv s="0">
    <fb>3814860</fb>
    <v>2</v>
  </rv>
  <rv s="0">
    <fb>46007</fb>
    <v>0</v>
  </rv>
  <rv s="0">
    <fb>2972523</fb>
    <v>2</v>
  </rv>
  <rv s="0">
    <fb>46008</fb>
    <v>0</v>
  </rv>
  <rv s="0">
    <fb>318.69</fb>
    <v>1</v>
  </rv>
  <rv s="0">
    <fb>3329002</fb>
    <v>2</v>
  </rv>
  <rv s="0">
    <fb>46009</fb>
    <v>0</v>
  </rv>
  <rv s="0">
    <fb>3335221</fb>
    <v>2</v>
  </rv>
  <rv s="0">
    <fb>46010</fb>
    <v>0</v>
  </rv>
  <rv s="0">
    <fb>315.83999999999997</fb>
    <v>1</v>
  </rv>
  <rv s="0">
    <fb>7128705</fb>
    <v>2</v>
  </rv>
  <rv s="0">
    <fb>46013</fb>
    <v>0</v>
  </rv>
  <rv s="0">
    <fb>2514579</fb>
    <v>2</v>
  </rv>
  <rv s="0">
    <fb>46014</fb>
    <v>0</v>
  </rv>
  <rv s="0">
    <fb>310.83999999999997</fb>
    <v>1</v>
  </rv>
  <rv s="0">
    <fb>2922808</fb>
    <v>2</v>
  </rv>
  <rv s="0">
    <fb>46015</fb>
    <v>0</v>
  </rv>
  <rv s="0">
    <fb>313.33</fb>
    <v>1</v>
  </rv>
  <rv s="0">
    <fb>1011483</fb>
    <v>2</v>
  </rv>
  <rv s="0">
    <fb>46017</fb>
    <v>0</v>
  </rv>
  <rv s="0">
    <fb>310.68</fb>
    <v>1</v>
  </rv>
  <rv s="0">
    <fb>1308854</fb>
    <v>2</v>
  </rv>
  <rv s="0">
    <fb>46020</fb>
    <v>0</v>
  </rv>
  <rv s="0">
    <fb>308.52999999999997</fb>
    <v>1</v>
  </rv>
  <rv s="0">
    <fb>2148502</fb>
    <v>2</v>
  </rv>
  <rv s="0">
    <fb>46021</fb>
    <v>0</v>
  </rv>
  <rv s="0">
    <fb>308.02999999999997</fb>
    <v>1</v>
  </rv>
  <rv s="0">
    <fb>1678742</fb>
    <v>2</v>
  </rv>
  <rv s="0">
    <fb>46022</fb>
    <v>0</v>
  </rv>
  <rv s="0">
    <fb>305.63</fb>
    <v>1</v>
  </rv>
  <rv s="0">
    <fb>1903701</fb>
    <v>2</v>
  </rv>
  <rv s="0">
    <fb>46024</fb>
    <v>0</v>
  </rv>
  <rv s="0">
    <fb>303.26</fb>
    <v>1</v>
  </rv>
  <rv s="0">
    <fb>3124487</fb>
    <v>2</v>
  </rv>
  <rv s="0">
    <fb>46027</fb>
    <v>0</v>
  </rv>
  <rv s="0">
    <fb>299.86</fb>
    <v>1</v>
  </rv>
  <rv s="0">
    <fb>4573300</fb>
    <v>2</v>
  </rv>
  <rv s="0">
    <fb>46028</fb>
    <v>0</v>
  </rv>
  <rv s="0">
    <fb>302.77</fb>
    <v>1</v>
  </rv>
  <rv s="0">
    <fb>3769102</fb>
    <v>2</v>
  </rv>
  <rv s="0">
    <fb>46029</fb>
    <v>0</v>
  </rv>
  <rv s="0">
    <fb>4100536</fb>
    <v>2</v>
  </rv>
  <rv s="0">
    <fb>46030</fb>
    <v>0</v>
  </rv>
  <rv s="0">
    <fb>308.88</fb>
    <v>1</v>
  </rv>
  <rv s="0">
    <fb>3268280</fb>
    <v>2</v>
  </rv>
  <rv s="0">
    <fb>46031</fb>
    <v>0</v>
  </rv>
  <rv s="0">
    <fb>307.32</fb>
    <v>1</v>
  </rv>
  <rv s="0">
    <fb>2971973</fb>
    <v>2</v>
  </rv>
  <rv s="0">
    <fb>46034</fb>
    <v>0</v>
  </rv>
  <rv s="0">
    <fb>306.75</fb>
    <v>1</v>
  </rv>
  <rv s="0">
    <fb>3206608</fb>
    <v>2</v>
  </rv>
  <rv s="0">
    <fb>46035</fb>
    <v>0</v>
  </rv>
  <rv s="0">
    <fb>309.44</fb>
    <v>1</v>
  </rv>
  <rv s="0">
    <fb>2967887</fb>
    <v>2</v>
  </rv>
  <rv s="0">
    <fb>46036</fb>
    <v>0</v>
  </rv>
  <rv s="0">
    <fb>308.13</fb>
    <v>1</v>
  </rv>
  <rv s="0">
    <fb>2949126</fb>
    <v>2</v>
  </rv>
  <rv s="0">
    <fb>46037</fb>
    <v>0</v>
  </rv>
  <rv s="0">
    <fb>308.62</fb>
    <v>1</v>
  </rv>
  <rv s="0">
    <fb>3189620</fb>
    <v>2</v>
  </rv>
  <rv s="0">
    <fb>46038</fb>
    <v>0</v>
  </rv>
  <rv s="0">
    <fb>307.43</fb>
    <v>1</v>
  </rv>
  <rv s="0">
    <fb>2590593</fb>
    <v>2</v>
  </rv>
  <rv s="0">
    <fb>46042</fb>
    <v>0</v>
  </rv>
  <rv s="0">
    <fb>302.83999999999997</fb>
    <v>1</v>
  </rv>
  <rv s="0">
    <fb>3017998</fb>
    <v>2</v>
  </rv>
  <rv s="0">
    <fb>46043</fb>
    <v>0</v>
  </rv>
  <rv s="0">
    <fb>305.69</fb>
    <v>1</v>
  </rv>
  <rv s="0">
    <fb>3630850</fb>
    <v>2</v>
  </rv>
  <rv s="0">
    <fb>46044</fb>
    <v>0</v>
  </rv>
  <rv s="0">
    <fb>306.02999999999997</fb>
    <v>1</v>
  </rv>
  <rv s="0">
    <fb>2809356</fb>
    <v>2</v>
  </rv>
  <rv s="0">
    <fb>46045</fb>
    <v>0</v>
  </rv>
  <rv s="0">
    <fb>309.25</fb>
    <v>1</v>
  </rv>
  <rv s="0">
    <fb>2350447</fb>
    <v>2</v>
  </rv>
  <rv s="0">
    <fb>46048</fb>
    <v>0</v>
  </rv>
  <rv s="0">
    <fb>312.95</fb>
    <v>1</v>
  </rv>
  <rv s="0">
    <fb>3385352</fb>
    <v>2</v>
  </rv>
  <rv s="0">
    <fb>46049</fb>
    <v>0</v>
  </rv>
  <rv s="0">
    <fb>314.13</fb>
    <v>1</v>
  </rv>
  <rv s="0">
    <fb>2506830</fb>
    <v>2</v>
  </rv>
  <rv s="0">
    <fb>46050</fb>
    <v>0</v>
  </rv>
  <rv s="0">
    <fb>2184937</fb>
    <v>2</v>
  </rv>
  <rv s="0">
    <fb>46051</fb>
    <v>0</v>
  </rv>
  <rv s="0">
    <fb>315.51</fb>
    <v>1</v>
  </rv>
  <rv s="0">
    <fb>3211259</fb>
    <v>2</v>
  </rv>
  <rv s="0">
    <fb>46052</fb>
    <v>0</v>
  </rv>
  <rv s="0">
    <fb>315</fb>
    <v>1</v>
  </rv>
  <rv s="0">
    <fb>2983277</fb>
    <v>2</v>
  </rv>
  <rv s="0">
    <fb>46055</fb>
    <v>0</v>
  </rv>
  <rv s="0">
    <fb>318.52999999999997</fb>
    <v>1</v>
  </rv>
  <rv s="0">
    <fb>3309834</fb>
    <v>2</v>
  </rv>
  <rv s="0">
    <fb>46056</fb>
    <v>0</v>
  </rv>
  <rv s="0">
    <fb>319.48</fb>
    <v>1</v>
  </rv>
  <rv s="0">
    <fb>4043582</fb>
    <v>2</v>
  </rv>
  <rv s="0">
    <fb>46057</fb>
    <v>0</v>
  </rv>
  <rv s="0">
    <fb>323.69</fb>
    <v>1</v>
  </rv>
  <rv s="0">
    <fb>4805925</fb>
    <v>2</v>
  </rv>
  <rv s="0">
    <fb>46058</fb>
    <v>0</v>
  </rv>
  <rv s="0">
    <fb>323.48</fb>
    <v>1</v>
  </rv>
  <rv s="0">
    <fb>3936775</fb>
    <v>2</v>
  </rv>
  <rv s="0">
    <fb>46059</fb>
    <v>0</v>
  </rv>
  <rv s="0">
    <fb>327.16000000000003</fb>
    <v>1</v>
  </rv>
  <rv s="0">
    <fb>2831866</fb>
    <v>2</v>
  </rv>
  <rv s="0">
    <fb>46062</fb>
    <v>0</v>
  </rv>
  <rv s="0">
    <fb>325.60000000000002</fb>
    <v>1</v>
  </rv>
  <rv s="0">
    <fb>2674131</fb>
    <v>2</v>
  </rv>
  <rv s="1">
    <v>3</v>
    <v>MCD</v>
    <v>Daily</v>
    <v>45292</v>
    <v>46062</v>
    <v>0</v>
    <v>1</v>
    <v>639061920000000000,639062870413669596,0</v>
    <v>0</v>
    <v>a1xdec</v>
    <v>XNYS:MCD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F89403-6F46-433A-80D1-440475C26F95}" name="Forecast" displayName="Forecast" ref="A1:F120" tableType="queryTable" totalsRowShown="0">
  <autoFilter ref="A1:F120" xr:uid="{31F89403-6F46-433A-80D1-440475C26F95}"/>
  <tableColumns count="6">
    <tableColumn id="1" xr3:uid="{6786E979-B4B4-4C65-95BA-641CC71E9C02}" uniqueName="1" name="Week" queryTableFieldId="1" dataDxfId="2"/>
    <tableColumn id="2" xr3:uid="{6F124FF5-631D-4640-962C-197DEF489E80}" uniqueName="2" name="Average" queryTableFieldId="2"/>
    <tableColumn id="3" xr3:uid="{701CC15B-398E-4ECF-82A2-01F3F982160F}" uniqueName="3" name="Forecast" queryTableFieldId="3"/>
    <tableColumn id="4" xr3:uid="{0593D1FA-4280-4FD9-BED1-D60FB99BED86}" uniqueName="4" name="CI/PI" queryTableFieldId="4"/>
    <tableColumn id="5" xr3:uid="{FD236B4B-F5CB-44A5-BE8C-2A02B3EA61F6}" uniqueName="5" name="Lower" queryTableFieldId="5" dataDxfId="1">
      <calculatedColumnFormula>C2-D2</calculatedColumnFormula>
    </tableColumn>
    <tableColumn id="6" xr3:uid="{F6327295-6DC2-45FD-8A53-C06EA3349419}" uniqueName="6" name="Upper" queryTableFieldId="6" dataDxfId="0">
      <calculatedColumnFormula>C2+D2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3DBDB-2268-472E-B8B5-2E3D9154287F}" name="Table1" displayName="Table1" ref="A1:B529" totalsRowShown="0">
  <autoFilter ref="A1:B529" xr:uid="{6C63DBDB-2268-472E-B8B5-2E3D9154287F}"/>
  <tableColumns count="2">
    <tableColumn id="1" xr3:uid="{57FF2AE9-770C-43DD-ADEB-0DE1DC0FABDE}" name="Week" dataDxfId="3"/>
    <tableColumn id="2" xr3:uid="{92B3A4CF-3C10-4399-94B9-5573F4F6413E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3" t="s">
        <v>26</v>
      </c>
      <c r="B2" s="13" t="s">
        <v>27</v>
      </c>
    </row>
    <row r="3" spans="1:2" x14ac:dyDescent="0.25">
      <c r="A3" s="14" t="s">
        <v>1</v>
      </c>
      <c r="B3" s="14" t="s">
        <v>28</v>
      </c>
    </row>
    <row r="4" spans="1:2" x14ac:dyDescent="0.25">
      <c r="A4" s="15" t="s">
        <v>29</v>
      </c>
      <c r="B4" s="15" t="s">
        <v>30</v>
      </c>
    </row>
    <row r="5" spans="1:2" x14ac:dyDescent="0.25">
      <c r="A5" s="16" t="s">
        <v>15</v>
      </c>
      <c r="B5" s="16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7" t="s">
        <v>23</v>
      </c>
      <c r="B7" s="17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529"/>
  <sheetViews>
    <sheetView zoomScale="70" zoomScaleNormal="70" workbookViewId="0">
      <selection activeCell="C1" activeCellId="1" sqref="A1:A1048576 C1:C1048576"/>
    </sheetView>
  </sheetViews>
  <sheetFormatPr defaultRowHeight="15" x14ac:dyDescent="0.25"/>
  <cols>
    <col min="1" max="1" width="13.140625" style="21" customWidth="1"/>
    <col min="2" max="2" width="12" bestFit="1" customWidth="1"/>
    <col min="3" max="3" width="10.5703125" bestFit="1" customWidth="1"/>
    <col min="4" max="4" width="11.1406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5.42578125" style="19" bestFit="1" customWidth="1"/>
  </cols>
  <sheetData>
    <row r="1" spans="1:31" s="8" customFormat="1" x14ac:dyDescent="0.25">
      <c r="A1" s="20" t="s">
        <v>45</v>
      </c>
      <c r="B1" s="4" t="str" cm="1">
        <f t="array" aca="1" ref="B1:D529" ca="1">_xlfn.STOCKHISTORY("MCD","2024-01-01",TODAY(),0,1,0,1,5)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8" t="s">
        <v>44</v>
      </c>
    </row>
    <row r="2" spans="1:31" x14ac:dyDescent="0.25">
      <c r="A2" s="21">
        <f ca="1">B2 - WEEKDAY(B2, 2) + 1</f>
        <v>45292</v>
      </c>
      <c r="B2" vm="1">
        <f ca="1"/>
        <v>45293</v>
      </c>
      <c r="C2" vm="2">
        <f ca="1"/>
        <v>297.04000000000002</v>
      </c>
      <c r="D2" vm="3">
        <f ca="1"/>
        <v>4458519</v>
      </c>
      <c r="E2">
        <f ca="1">C2*D2</f>
        <v>1324358483.76</v>
      </c>
      <c r="F2">
        <f ca="1">SUM($E$2:E2)/SUM($D$2:D2)</f>
        <v>297.04000000000002</v>
      </c>
      <c r="G2">
        <f ca="1">_xlfn.STDEV.P($C$2:C2)</f>
        <v>0</v>
      </c>
      <c r="H2">
        <f ca="1">F2 + G2</f>
        <v>297.04000000000002</v>
      </c>
      <c r="I2">
        <f ca="1">F2 - G2</f>
        <v>297.04000000000002</v>
      </c>
      <c r="AC2" t="s">
        <v>39</v>
      </c>
      <c r="AD2">
        <f ca="1">MIN(C:C)</f>
        <v>245.82</v>
      </c>
      <c r="AE2" s="19">
        <f ca="1">MIN(D:D)</f>
        <v>1011483</v>
      </c>
    </row>
    <row r="3" spans="1:31" x14ac:dyDescent="0.25">
      <c r="A3" s="21">
        <f t="shared" ref="A3:A66" ca="1" si="0">B3 - WEEKDAY(B3, 2) + 1</f>
        <v>45292</v>
      </c>
      <c r="B3" vm="4">
        <f ca="1"/>
        <v>45294</v>
      </c>
      <c r="C3" vm="5">
        <f ca="1"/>
        <v>294.39</v>
      </c>
      <c r="D3" vm="6">
        <f ca="1"/>
        <v>3114788</v>
      </c>
      <c r="E3">
        <f t="shared" ref="E3:E66" ca="1" si="1">C3*D3</f>
        <v>916962439.31999993</v>
      </c>
      <c r="F3">
        <f ca="1">SUM($E$2:E3)/SUM($D$2:D3)</f>
        <v>295.95009459936063</v>
      </c>
      <c r="G3">
        <f ca="1">_xlfn.STDEV.P($C$2:C3)</f>
        <v>1.3250000000000171</v>
      </c>
      <c r="H3">
        <f t="shared" ref="H3:H66" ca="1" si="2">F3 + G3</f>
        <v>297.27509459936061</v>
      </c>
      <c r="I3">
        <f t="shared" ref="I3:I66" ca="1" si="3">F3 - G3</f>
        <v>294.62509459936064</v>
      </c>
      <c r="N3">
        <f ca="1">C3-C2</f>
        <v>-2.6500000000000341</v>
      </c>
      <c r="O3">
        <f ca="1">MAX(N3,0)</f>
        <v>0</v>
      </c>
      <c r="P3">
        <f ca="1">MAX(-N3,0)</f>
        <v>2.6500000000000341</v>
      </c>
      <c r="AC3" t="s">
        <v>40</v>
      </c>
      <c r="AD3">
        <f ca="1">MAX(C:C)</f>
        <v>327.16000000000003</v>
      </c>
      <c r="AE3" s="19">
        <f ca="1">MAX(D:D)</f>
        <v>18791952</v>
      </c>
    </row>
    <row r="4" spans="1:31" x14ac:dyDescent="0.25">
      <c r="A4" s="21">
        <f t="shared" ca="1" si="0"/>
        <v>45292</v>
      </c>
      <c r="B4" vm="7">
        <f ca="1"/>
        <v>45295</v>
      </c>
      <c r="C4" vm="8">
        <f ca="1"/>
        <v>291.74</v>
      </c>
      <c r="D4" vm="9">
        <f ca="1"/>
        <v>4615370</v>
      </c>
      <c r="E4">
        <f t="shared" ca="1" si="1"/>
        <v>1346488043.8</v>
      </c>
      <c r="F4">
        <f ca="1">SUM($E$2:E4)/SUM($D$2:D4)</f>
        <v>294.35589825540541</v>
      </c>
      <c r="G4">
        <f ca="1">_xlfn.STDEV.P($C$2:C4)</f>
        <v>2.1637159394584788</v>
      </c>
      <c r="H4">
        <f t="shared" ca="1" si="2"/>
        <v>296.51961419486389</v>
      </c>
      <c r="I4">
        <f t="shared" ca="1" si="3"/>
        <v>292.19218231594692</v>
      </c>
      <c r="N4">
        <f t="shared" ref="N4:N67" ca="1" si="4">C4-C3</f>
        <v>-2.6499999999999773</v>
      </c>
      <c r="O4">
        <f t="shared" ref="O4:O67" ca="1" si="5">MAX(N4,0)</f>
        <v>0</v>
      </c>
      <c r="P4">
        <f t="shared" ref="P4:P67" ca="1" si="6">MAX(-N4,0)</f>
        <v>2.6499999999999773</v>
      </c>
      <c r="AC4" t="s">
        <v>41</v>
      </c>
      <c r="AD4">
        <f ca="1">MEDIAN(C:C)</f>
        <v>297.60500000000002</v>
      </c>
      <c r="AE4" s="19">
        <f ca="1">MEDIAN(D:D)</f>
        <v>3096183.5</v>
      </c>
    </row>
    <row r="5" spans="1:31" x14ac:dyDescent="0.25">
      <c r="A5" s="21">
        <f t="shared" ca="1" si="0"/>
        <v>45292</v>
      </c>
      <c r="B5" vm="10">
        <f ca="1"/>
        <v>45296</v>
      </c>
      <c r="C5" vm="11">
        <f ca="1"/>
        <v>288.99</v>
      </c>
      <c r="D5" vm="12">
        <f ca="1"/>
        <v>3407310</v>
      </c>
      <c r="E5">
        <f t="shared" ca="1" si="1"/>
        <v>984678516.89999998</v>
      </c>
      <c r="F5">
        <f ca="1">SUM($E$2:E5)/SUM($D$2:D5)</f>
        <v>293.18359163674603</v>
      </c>
      <c r="G5">
        <f ca="1">_xlfn.STDEV.P($C$2:C5)</f>
        <v>2.9964562402945263</v>
      </c>
      <c r="H5">
        <f t="shared" ca="1" si="2"/>
        <v>296.18004787704058</v>
      </c>
      <c r="I5">
        <f t="shared" ca="1" si="3"/>
        <v>290.18713539645148</v>
      </c>
      <c r="N5">
        <f t="shared" ca="1" si="4"/>
        <v>-2.75</v>
      </c>
      <c r="O5">
        <f t="shared" ca="1" si="5"/>
        <v>0</v>
      </c>
      <c r="P5">
        <f t="shared" ca="1" si="6"/>
        <v>2.75</v>
      </c>
      <c r="AC5" t="s">
        <v>42</v>
      </c>
      <c r="AD5">
        <f ca="1">AVERAGE(C:C)</f>
        <v>294.35276515151531</v>
      </c>
      <c r="AE5" s="19">
        <f ca="1">AVERAGE(D:D)</f>
        <v>3420509.1306818184</v>
      </c>
    </row>
    <row r="6" spans="1:31" x14ac:dyDescent="0.25">
      <c r="A6" s="21">
        <f t="shared" ca="1" si="0"/>
        <v>45299</v>
      </c>
      <c r="B6" vm="13">
        <f ca="1"/>
        <v>45299</v>
      </c>
      <c r="C6" vm="14">
        <f ca="1"/>
        <v>291.89999999999998</v>
      </c>
      <c r="D6" vm="15">
        <f ca="1"/>
        <v>3097218</v>
      </c>
      <c r="E6">
        <f t="shared" ca="1" si="1"/>
        <v>904077934.19999993</v>
      </c>
      <c r="F6">
        <f ca="1">SUM($E$2:E6)/SUM($D$2:D6)</f>
        <v>292.97091739912975</v>
      </c>
      <c r="G6">
        <f ca="1">_xlfn.STDEV.P($C$2:C6)</f>
        <v>2.7186275949456586</v>
      </c>
      <c r="H6">
        <f t="shared" ca="1" si="2"/>
        <v>295.68954499407539</v>
      </c>
      <c r="I6">
        <f t="shared" ca="1" si="3"/>
        <v>290.2522898041841</v>
      </c>
      <c r="N6">
        <f t="shared" ca="1" si="4"/>
        <v>2.9099999999999682</v>
      </c>
      <c r="O6">
        <f t="shared" ca="1" si="5"/>
        <v>2.9099999999999682</v>
      </c>
      <c r="P6">
        <f t="shared" ca="1" si="6"/>
        <v>0</v>
      </c>
    </row>
    <row r="7" spans="1:31" x14ac:dyDescent="0.25">
      <c r="A7" s="21">
        <f t="shared" ca="1" si="0"/>
        <v>45299</v>
      </c>
      <c r="B7" vm="16">
        <f ca="1"/>
        <v>45300</v>
      </c>
      <c r="C7" vm="17">
        <f ca="1"/>
        <v>290.87</v>
      </c>
      <c r="D7" vm="18">
        <f ca="1"/>
        <v>2176451</v>
      </c>
      <c r="E7">
        <f t="shared" ca="1" si="1"/>
        <v>633064302.37</v>
      </c>
      <c r="F7">
        <f ca="1">SUM($E$2:E7)/SUM($D$2:D7)</f>
        <v>292.75181729636557</v>
      </c>
      <c r="G7">
        <f ca="1">_xlfn.STDEV.P($C$2:C7)</f>
        <v>2.5851332439332602</v>
      </c>
      <c r="H7">
        <f t="shared" ca="1" si="2"/>
        <v>295.33695054029886</v>
      </c>
      <c r="I7">
        <f t="shared" ca="1" si="3"/>
        <v>290.16668405243229</v>
      </c>
      <c r="N7">
        <f t="shared" ca="1" si="4"/>
        <v>-1.0299999999999727</v>
      </c>
      <c r="O7">
        <f t="shared" ca="1" si="5"/>
        <v>0</v>
      </c>
      <c r="P7">
        <f t="shared" ca="1" si="6"/>
        <v>1.0299999999999727</v>
      </c>
    </row>
    <row r="8" spans="1:31" x14ac:dyDescent="0.25">
      <c r="A8" s="21">
        <f t="shared" ca="1" si="0"/>
        <v>45299</v>
      </c>
      <c r="B8" vm="19">
        <f ca="1"/>
        <v>45301</v>
      </c>
      <c r="C8" vm="20">
        <f ca="1"/>
        <v>294.08999999999997</v>
      </c>
      <c r="D8" vm="21">
        <f ca="1"/>
        <v>2199689</v>
      </c>
      <c r="E8">
        <f t="shared" ca="1" si="1"/>
        <v>646906538.00999999</v>
      </c>
      <c r="F8">
        <f ca="1">SUM($E$2:E8)/SUM($D$2:D8)</f>
        <v>292.87941458069139</v>
      </c>
      <c r="G8">
        <f ca="1">_xlfn.STDEV.P($C$2:C8)</f>
        <v>2.4581160863306577</v>
      </c>
      <c r="H8">
        <f t="shared" ca="1" si="2"/>
        <v>295.33753066702207</v>
      </c>
      <c r="I8">
        <f t="shared" ca="1" si="3"/>
        <v>290.42129849436071</v>
      </c>
      <c r="N8">
        <f t="shared" ca="1" si="4"/>
        <v>3.2199999999999704</v>
      </c>
      <c r="O8">
        <f t="shared" ca="1" si="5"/>
        <v>3.2199999999999704</v>
      </c>
      <c r="P8">
        <f t="shared" ca="1" si="6"/>
        <v>0</v>
      </c>
    </row>
    <row r="9" spans="1:31" x14ac:dyDescent="0.25">
      <c r="A9" s="21">
        <f t="shared" ca="1" si="0"/>
        <v>45299</v>
      </c>
      <c r="B9" vm="22">
        <f ca="1"/>
        <v>45302</v>
      </c>
      <c r="C9" vm="23">
        <f ca="1"/>
        <v>294.14999999999998</v>
      </c>
      <c r="D9" vm="24">
        <f ca="1"/>
        <v>2047352</v>
      </c>
      <c r="E9">
        <f t="shared" ca="1" si="1"/>
        <v>602228590.79999995</v>
      </c>
      <c r="F9">
        <f ca="1">SUM($E$2:E9)/SUM($D$2:D9)</f>
        <v>292.9829845524672</v>
      </c>
      <c r="G9">
        <f ca="1">_xlfn.STDEV.P($C$2:C9)</f>
        <v>2.3476793728062599</v>
      </c>
      <c r="H9">
        <f t="shared" ca="1" si="2"/>
        <v>295.33066392527348</v>
      </c>
      <c r="I9">
        <f t="shared" ca="1" si="3"/>
        <v>290.63530517966092</v>
      </c>
      <c r="N9">
        <f t="shared" ca="1" si="4"/>
        <v>6.0000000000002274E-2</v>
      </c>
      <c r="O9">
        <f t="shared" ca="1" si="5"/>
        <v>6.0000000000002274E-2</v>
      </c>
      <c r="P9">
        <f t="shared" ca="1" si="6"/>
        <v>0</v>
      </c>
    </row>
    <row r="10" spans="1:31" x14ac:dyDescent="0.25">
      <c r="A10" s="21">
        <f t="shared" ca="1" si="0"/>
        <v>45299</v>
      </c>
      <c r="B10" vm="25">
        <f ca="1"/>
        <v>45303</v>
      </c>
      <c r="C10" vm="26">
        <f ca="1"/>
        <v>293.47000000000003</v>
      </c>
      <c r="D10" vm="27">
        <f ca="1"/>
        <v>1714818</v>
      </c>
      <c r="E10">
        <f t="shared" ca="1" si="1"/>
        <v>503247638.46000004</v>
      </c>
      <c r="F10">
        <f ca="1">SUM($E$2:E10)/SUM($D$2:D10)</f>
        <v>293.01410999788868</v>
      </c>
      <c r="G10">
        <f ca="1">_xlfn.STDEV.P($C$2:C10)</f>
        <v>2.2207456205317864</v>
      </c>
      <c r="H10">
        <f t="shared" ca="1" si="2"/>
        <v>295.23485561842045</v>
      </c>
      <c r="I10">
        <f t="shared" ca="1" si="3"/>
        <v>290.79336437735691</v>
      </c>
      <c r="N10">
        <f t="shared" ca="1" si="4"/>
        <v>-0.67999999999994998</v>
      </c>
      <c r="O10">
        <f t="shared" ca="1" si="5"/>
        <v>0</v>
      </c>
      <c r="P10">
        <f t="shared" ca="1" si="6"/>
        <v>0.67999999999994998</v>
      </c>
    </row>
    <row r="11" spans="1:31" x14ac:dyDescent="0.25">
      <c r="A11" s="21">
        <f t="shared" ca="1" si="0"/>
        <v>45306</v>
      </c>
      <c r="B11" vm="28">
        <f ca="1"/>
        <v>45307</v>
      </c>
      <c r="C11" vm="29">
        <f ca="1"/>
        <v>291.08999999999997</v>
      </c>
      <c r="D11" vm="30">
        <f ca="1"/>
        <v>2859014</v>
      </c>
      <c r="E11">
        <f t="shared" ca="1" si="1"/>
        <v>832230385.25999987</v>
      </c>
      <c r="F11">
        <f ca="1">SUM($E$2:E11)/SUM($D$2:D11)</f>
        <v>292.82883012559324</v>
      </c>
      <c r="G11">
        <f ca="1">_xlfn.STDEV.P($C$2:C11)</f>
        <v>2.1801974681207219</v>
      </c>
      <c r="H11">
        <f t="shared" ca="1" si="2"/>
        <v>295.00902759371394</v>
      </c>
      <c r="I11">
        <f t="shared" ca="1" si="3"/>
        <v>290.64863265747255</v>
      </c>
      <c r="N11">
        <f t="shared" ca="1" si="4"/>
        <v>-2.3800000000000523</v>
      </c>
      <c r="O11">
        <f t="shared" ca="1" si="5"/>
        <v>0</v>
      </c>
      <c r="P11">
        <f t="shared" ca="1" si="6"/>
        <v>2.3800000000000523</v>
      </c>
    </row>
    <row r="12" spans="1:31" x14ac:dyDescent="0.25">
      <c r="A12" s="21">
        <f t="shared" ca="1" si="0"/>
        <v>45306</v>
      </c>
      <c r="B12" vm="31">
        <f ca="1"/>
        <v>45308</v>
      </c>
      <c r="C12" vm="32">
        <f ca="1"/>
        <v>291.16000000000003</v>
      </c>
      <c r="D12" vm="33">
        <f ca="1"/>
        <v>2008289</v>
      </c>
      <c r="E12">
        <f t="shared" ca="1" si="1"/>
        <v>584733425.24000001</v>
      </c>
      <c r="F12">
        <f ca="1">SUM($E$2:E12)/SUM($D$2:D12)</f>
        <v>292.7231008462208</v>
      </c>
      <c r="G12">
        <f ca="1">_xlfn.STDEV.P($C$2:C12)</f>
        <v>2.129828301774892</v>
      </c>
      <c r="H12">
        <f t="shared" ca="1" si="2"/>
        <v>294.85292914799567</v>
      </c>
      <c r="I12">
        <f t="shared" ca="1" si="3"/>
        <v>290.59327254444594</v>
      </c>
      <c r="N12">
        <f t="shared" ca="1" si="4"/>
        <v>7.0000000000050022E-2</v>
      </c>
      <c r="O12">
        <f t="shared" ca="1" si="5"/>
        <v>7.0000000000050022E-2</v>
      </c>
      <c r="P12">
        <f t="shared" ca="1" si="6"/>
        <v>0</v>
      </c>
    </row>
    <row r="13" spans="1:31" x14ac:dyDescent="0.25">
      <c r="A13" s="21">
        <f t="shared" ca="1" si="0"/>
        <v>45306</v>
      </c>
      <c r="B13" vm="34">
        <f ca="1"/>
        <v>45309</v>
      </c>
      <c r="C13" vm="35">
        <f ca="1"/>
        <v>294.36</v>
      </c>
      <c r="D13" vm="36">
        <f ca="1"/>
        <v>2221156</v>
      </c>
      <c r="E13">
        <f t="shared" ca="1" si="1"/>
        <v>653819480.16000009</v>
      </c>
      <c r="F13">
        <f ca="1">SUM($E$2:E13)/SUM($D$2:D13)</f>
        <v>292.83028867533915</v>
      </c>
      <c r="G13">
        <f ca="1">_xlfn.STDEV.P($C$2:C13)</f>
        <v>2.0946935270397491</v>
      </c>
      <c r="H13">
        <f t="shared" ca="1" si="2"/>
        <v>294.92498220237889</v>
      </c>
      <c r="I13">
        <f t="shared" ca="1" si="3"/>
        <v>290.73559514829941</v>
      </c>
      <c r="N13">
        <f t="shared" ca="1" si="4"/>
        <v>3.1999999999999886</v>
      </c>
      <c r="O13">
        <f t="shared" ca="1" si="5"/>
        <v>3.1999999999999886</v>
      </c>
      <c r="P13">
        <f t="shared" ca="1" si="6"/>
        <v>0</v>
      </c>
      <c r="W13" s="9">
        <f ca="1">AVERAGE(C2:C13)</f>
        <v>292.77083333333337</v>
      </c>
    </row>
    <row r="14" spans="1:31" x14ac:dyDescent="0.25">
      <c r="A14" s="21">
        <f t="shared" ca="1" si="0"/>
        <v>45306</v>
      </c>
      <c r="B14" vm="37">
        <f ca="1"/>
        <v>45310</v>
      </c>
      <c r="C14" vm="38">
        <f ca="1"/>
        <v>300.52999999999997</v>
      </c>
      <c r="D14" vm="39">
        <f ca="1"/>
        <v>4250885</v>
      </c>
      <c r="E14">
        <f t="shared" ca="1" si="1"/>
        <v>1277518469.05</v>
      </c>
      <c r="F14">
        <f ca="1">SUM($E$2:E14)/SUM($D$2:D14)</f>
        <v>293.68776446267555</v>
      </c>
      <c r="G14">
        <f ca="1">_xlfn.STDEV.P($C$2:C14)</f>
        <v>2.8853266815339245</v>
      </c>
      <c r="H14">
        <f t="shared" ca="1" si="2"/>
        <v>296.57309114420946</v>
      </c>
      <c r="I14">
        <f t="shared" ca="1" si="3"/>
        <v>290.80243778114163</v>
      </c>
      <c r="N14">
        <f t="shared" ca="1" si="4"/>
        <v>6.1699999999999591</v>
      </c>
      <c r="O14">
        <f t="shared" ca="1" si="5"/>
        <v>6.1699999999999591</v>
      </c>
      <c r="P14">
        <f t="shared" ca="1" si="6"/>
        <v>0</v>
      </c>
      <c r="W14">
        <f ca="1">C14*(2/(12+1)) + W13*(1-(2/(12+1)))</f>
        <v>293.96455128205127</v>
      </c>
    </row>
    <row r="15" spans="1:31" x14ac:dyDescent="0.25">
      <c r="A15" s="21">
        <f t="shared" ca="1" si="0"/>
        <v>45313</v>
      </c>
      <c r="B15" vm="40">
        <f ca="1"/>
        <v>45313</v>
      </c>
      <c r="C15" vm="41">
        <f ca="1"/>
        <v>298.41000000000003</v>
      </c>
      <c r="D15" vm="42">
        <f ca="1"/>
        <v>3250224</v>
      </c>
      <c r="E15">
        <f t="shared" ca="1" si="1"/>
        <v>969899343.84000003</v>
      </c>
      <c r="F15">
        <f ca="1">SUM($E$2:E15)/SUM($D$2:D15)</f>
        <v>294.05830820913104</v>
      </c>
      <c r="G15">
        <f ca="1">_xlfn.STDEV.P($C$2:C15)</f>
        <v>3.0686809138488802</v>
      </c>
      <c r="H15">
        <f t="shared" ca="1" si="2"/>
        <v>297.12698912297992</v>
      </c>
      <c r="I15">
        <f t="shared" ca="1" si="3"/>
        <v>290.98962729528216</v>
      </c>
      <c r="N15">
        <f t="shared" ca="1" si="4"/>
        <v>-2.1199999999999477</v>
      </c>
      <c r="O15">
        <f t="shared" ca="1" si="5"/>
        <v>0</v>
      </c>
      <c r="P15">
        <f t="shared" ca="1" si="6"/>
        <v>2.1199999999999477</v>
      </c>
      <c r="Q15" s="2">
        <f ca="1">AVERAGE(O3:O16)</f>
        <v>1.2335714285714232</v>
      </c>
      <c r="R15" s="2">
        <f ca="1">AVERAGE(P3:P16)</f>
        <v>1.0185714285714238</v>
      </c>
      <c r="S15">
        <f ca="1">IF(R15=0,NA(),Q15/R15)</f>
        <v>1.2110799438990187</v>
      </c>
      <c r="T15">
        <f ca="1">100-(100/(1+S15))</f>
        <v>54.773231842689512</v>
      </c>
      <c r="U15">
        <f>70</f>
        <v>70</v>
      </c>
      <c r="V15">
        <f>30</f>
        <v>30</v>
      </c>
      <c r="W15">
        <f t="shared" ref="W15:W78" ca="1" si="7">C15*(2/(12+1)) + W14*(1-(2/(12+1)))</f>
        <v>294.648466469428</v>
      </c>
    </row>
    <row r="16" spans="1:31" x14ac:dyDescent="0.25">
      <c r="A16" s="21">
        <f t="shared" ca="1" si="0"/>
        <v>45313</v>
      </c>
      <c r="B16" vm="43">
        <f ca="1"/>
        <v>45314</v>
      </c>
      <c r="C16" vm="44">
        <f ca="1"/>
        <v>300.05</v>
      </c>
      <c r="D16" vm="45">
        <f ca="1"/>
        <v>1873976</v>
      </c>
      <c r="E16">
        <f t="shared" ca="1" si="1"/>
        <v>562286498.80000007</v>
      </c>
      <c r="F16">
        <f ca="1">SUM($E$2:E16)/SUM($D$2:D16)</f>
        <v>294.31765158167349</v>
      </c>
      <c r="G16">
        <f ca="1">_xlfn.STDEV.P($C$2:C16)</f>
        <v>3.3579765070980208</v>
      </c>
      <c r="H16">
        <f t="shared" ca="1" si="2"/>
        <v>297.67562808877153</v>
      </c>
      <c r="I16">
        <f t="shared" ca="1" si="3"/>
        <v>290.95967507457544</v>
      </c>
      <c r="N16">
        <f t="shared" ca="1" si="4"/>
        <v>1.6399999999999864</v>
      </c>
      <c r="O16">
        <f t="shared" ca="1" si="5"/>
        <v>1.6399999999999864</v>
      </c>
      <c r="P16">
        <f t="shared" ca="1" si="6"/>
        <v>0</v>
      </c>
      <c r="Q16">
        <f ca="1">(Q15*13+O16)/14</f>
        <v>1.2626020408163205</v>
      </c>
      <c r="R16">
        <f ca="1">(R15*13+P16)/14</f>
        <v>0.94581632653060776</v>
      </c>
      <c r="S16">
        <f t="shared" ref="S16:S79" ca="1" si="8">IF(R16=0,NA(),Q16/R16)</f>
        <v>1.3349336498004101</v>
      </c>
      <c r="T16">
        <f t="shared" ref="T16:T79" ca="1" si="9">100-(100/(1+S16))</f>
        <v>57.172230564860811</v>
      </c>
      <c r="U16">
        <f>70</f>
        <v>70</v>
      </c>
      <c r="V16">
        <f>30</f>
        <v>30</v>
      </c>
      <c r="W16">
        <f t="shared" ca="1" si="7"/>
        <v>295.47947162797755</v>
      </c>
    </row>
    <row r="17" spans="1:25" x14ac:dyDescent="0.25">
      <c r="A17" s="21">
        <f t="shared" ca="1" si="0"/>
        <v>45313</v>
      </c>
      <c r="B17" vm="46">
        <f ca="1"/>
        <v>45315</v>
      </c>
      <c r="C17" vm="47">
        <f ca="1"/>
        <v>300.44</v>
      </c>
      <c r="D17" vm="48">
        <f ca="1"/>
        <v>3209675</v>
      </c>
      <c r="E17">
        <f t="shared" ca="1" si="1"/>
        <v>964314757</v>
      </c>
      <c r="F17">
        <f ca="1">SUM($E$2:E17)/SUM($D$2:D17)</f>
        <v>294.74020530834554</v>
      </c>
      <c r="G17">
        <f ca="1">_xlfn.STDEV.P($C$2:C17)</f>
        <v>3.5902585213324123</v>
      </c>
      <c r="H17">
        <f t="shared" ca="1" si="2"/>
        <v>298.33046382967797</v>
      </c>
      <c r="I17">
        <f t="shared" ca="1" si="3"/>
        <v>291.14994678701311</v>
      </c>
      <c r="N17">
        <f t="shared" ca="1" si="4"/>
        <v>0.38999999999998636</v>
      </c>
      <c r="O17">
        <f t="shared" ca="1" si="5"/>
        <v>0.38999999999998636</v>
      </c>
      <c r="P17">
        <f t="shared" ca="1" si="6"/>
        <v>0</v>
      </c>
      <c r="Q17">
        <f t="shared" ref="Q17:Q80" ca="1" si="10">(Q16*13+O17)/14</f>
        <v>1.2002733236151537</v>
      </c>
      <c r="R17">
        <f t="shared" ref="R17:R80" ca="1" si="11">(R16*13+P17)/14</f>
        <v>0.87825801749270727</v>
      </c>
      <c r="S17">
        <f t="shared" ca="1" si="8"/>
        <v>1.3666522817995457</v>
      </c>
      <c r="T17">
        <f t="shared" ca="1" si="9"/>
        <v>57.746222050007958</v>
      </c>
      <c r="U17">
        <f>70</f>
        <v>70</v>
      </c>
      <c r="V17">
        <f>30</f>
        <v>30</v>
      </c>
      <c r="W17">
        <f t="shared" ca="1" si="7"/>
        <v>296.24262983905794</v>
      </c>
    </row>
    <row r="18" spans="1:25" x14ac:dyDescent="0.25">
      <c r="A18" s="21">
        <f t="shared" ca="1" si="0"/>
        <v>45313</v>
      </c>
      <c r="B18" vm="49">
        <f ca="1"/>
        <v>45316</v>
      </c>
      <c r="C18" vm="50">
        <f ca="1"/>
        <v>297.20999999999998</v>
      </c>
      <c r="D18" vm="51">
        <f ca="1"/>
        <v>3219625</v>
      </c>
      <c r="E18">
        <f t="shared" ca="1" si="1"/>
        <v>956904746.24999988</v>
      </c>
      <c r="F18">
        <f ca="1">SUM($E$2:E18)/SUM($D$2:D18)</f>
        <v>294.90012316136637</v>
      </c>
      <c r="G18">
        <f ca="1">_xlfn.STDEV.P($C$2:C18)</f>
        <v>3.539161533451332</v>
      </c>
      <c r="H18">
        <f t="shared" ca="1" si="2"/>
        <v>298.43928469481767</v>
      </c>
      <c r="I18">
        <f t="shared" ca="1" si="3"/>
        <v>291.36096162791506</v>
      </c>
      <c r="N18">
        <f t="shared" ca="1" si="4"/>
        <v>-3.2300000000000182</v>
      </c>
      <c r="O18">
        <f t="shared" ca="1" si="5"/>
        <v>0</v>
      </c>
      <c r="P18">
        <f t="shared" ca="1" si="6"/>
        <v>3.2300000000000182</v>
      </c>
      <c r="Q18">
        <f t="shared" ca="1" si="10"/>
        <v>1.1145395147855</v>
      </c>
      <c r="R18">
        <f t="shared" ca="1" si="11"/>
        <v>1.0462395876718009</v>
      </c>
      <c r="S18">
        <f t="shared" ca="1" si="8"/>
        <v>1.0652813446542269</v>
      </c>
      <c r="T18">
        <f t="shared" ca="1" si="9"/>
        <v>51.580446771167544</v>
      </c>
      <c r="U18">
        <f>70</f>
        <v>70</v>
      </c>
      <c r="V18">
        <f>30</f>
        <v>30</v>
      </c>
      <c r="W18">
        <f t="shared" ca="1" si="7"/>
        <v>296.39145601766438</v>
      </c>
    </row>
    <row r="19" spans="1:25" x14ac:dyDescent="0.25">
      <c r="A19" s="21">
        <f t="shared" ca="1" si="0"/>
        <v>45313</v>
      </c>
      <c r="B19" vm="52">
        <f ca="1"/>
        <v>45317</v>
      </c>
      <c r="C19" vm="53">
        <f ca="1"/>
        <v>292.26</v>
      </c>
      <c r="D19" vm="54">
        <f ca="1"/>
        <v>4210521</v>
      </c>
      <c r="E19">
        <f t="shared" ca="1" si="1"/>
        <v>1230566867.46</v>
      </c>
      <c r="F19">
        <f ca="1">SUM($E$2:E19)/SUM($D$2:D19)</f>
        <v>294.69401731643785</v>
      </c>
      <c r="G19">
        <f ca="1">_xlfn.STDEV.P($C$2:C19)</f>
        <v>3.4845406821318781</v>
      </c>
      <c r="H19">
        <f t="shared" ca="1" si="2"/>
        <v>298.17855799856972</v>
      </c>
      <c r="I19">
        <f t="shared" ca="1" si="3"/>
        <v>291.20947663430599</v>
      </c>
      <c r="N19">
        <f t="shared" ca="1" si="4"/>
        <v>-4.9499999999999886</v>
      </c>
      <c r="O19">
        <f t="shared" ca="1" si="5"/>
        <v>0</v>
      </c>
      <c r="P19">
        <f t="shared" ca="1" si="6"/>
        <v>4.9499999999999886</v>
      </c>
      <c r="Q19">
        <f t="shared" ca="1" si="10"/>
        <v>1.0349295494436785</v>
      </c>
      <c r="R19">
        <f t="shared" ca="1" si="11"/>
        <v>1.3250796171238142</v>
      </c>
      <c r="S19">
        <f t="shared" ca="1" si="8"/>
        <v>0.78103197428247495</v>
      </c>
      <c r="T19">
        <f t="shared" ca="1" si="9"/>
        <v>43.852776680055371</v>
      </c>
      <c r="U19">
        <f>70</f>
        <v>70</v>
      </c>
      <c r="V19">
        <f>30</f>
        <v>30</v>
      </c>
      <c r="W19">
        <f t="shared" ca="1" si="7"/>
        <v>295.75584739956219</v>
      </c>
    </row>
    <row r="20" spans="1:25" x14ac:dyDescent="0.25">
      <c r="A20" s="21">
        <f t="shared" ca="1" si="0"/>
        <v>45320</v>
      </c>
      <c r="B20" vm="55">
        <f ca="1"/>
        <v>45320</v>
      </c>
      <c r="C20" vm="56">
        <f ca="1"/>
        <v>292.31</v>
      </c>
      <c r="D20" vm="57">
        <f ca="1"/>
        <v>3899706</v>
      </c>
      <c r="E20">
        <f t="shared" ca="1" si="1"/>
        <v>1139923060.8599999</v>
      </c>
      <c r="F20">
        <f ca="1">SUM($E$2:E20)/SUM($D$2:D20)</f>
        <v>294.53326633201794</v>
      </c>
      <c r="G20">
        <f ca="1">_xlfn.STDEV.P($C$2:C20)</f>
        <v>3.4287413194948195</v>
      </c>
      <c r="H20">
        <f t="shared" ca="1" si="2"/>
        <v>297.96200765151275</v>
      </c>
      <c r="I20">
        <f t="shared" ca="1" si="3"/>
        <v>291.10452501252314</v>
      </c>
      <c r="N20">
        <f t="shared" ca="1" si="4"/>
        <v>5.0000000000011369E-2</v>
      </c>
      <c r="O20">
        <f t="shared" ca="1" si="5"/>
        <v>5.0000000000011369E-2</v>
      </c>
      <c r="P20">
        <f t="shared" ca="1" si="6"/>
        <v>0</v>
      </c>
      <c r="Q20">
        <f t="shared" ca="1" si="10"/>
        <v>0.96457743876913082</v>
      </c>
      <c r="R20">
        <f t="shared" ca="1" si="11"/>
        <v>1.2304310730435417</v>
      </c>
      <c r="S20">
        <f t="shared" ca="1" si="8"/>
        <v>0.783934557490647</v>
      </c>
      <c r="T20">
        <f t="shared" ca="1" si="9"/>
        <v>43.944132042229192</v>
      </c>
      <c r="U20">
        <f>70</f>
        <v>70</v>
      </c>
      <c r="V20">
        <f>30</f>
        <v>30</v>
      </c>
      <c r="W20">
        <f t="shared" ca="1" si="7"/>
        <v>295.22571703039876</v>
      </c>
    </row>
    <row r="21" spans="1:25" x14ac:dyDescent="0.25">
      <c r="A21" s="21">
        <f t="shared" ca="1" si="0"/>
        <v>45320</v>
      </c>
      <c r="B21" vm="58">
        <f ca="1"/>
        <v>45321</v>
      </c>
      <c r="C21" vm="59">
        <f ca="1"/>
        <v>294.64999999999998</v>
      </c>
      <c r="D21" vm="60">
        <f ca="1"/>
        <v>2524205</v>
      </c>
      <c r="E21">
        <f t="shared" ca="1" si="1"/>
        <v>743757003.25</v>
      </c>
      <c r="F21">
        <f ca="1">SUM($E$2:E21)/SUM($D$2:D21)</f>
        <v>294.53814813470996</v>
      </c>
      <c r="G21">
        <f ca="1">_xlfn.STDEV.P($C$2:C21)</f>
        <v>3.3422215291629005</v>
      </c>
      <c r="H21">
        <f t="shared" ca="1" si="2"/>
        <v>297.88036966387284</v>
      </c>
      <c r="I21">
        <f t="shared" ca="1" si="3"/>
        <v>291.19592660554707</v>
      </c>
      <c r="J21">
        <f ca="1">AVERAGE(C2:C21)</f>
        <v>294.45550000000003</v>
      </c>
      <c r="K21">
        <f ca="1">_xlfn.STDEV.S(C2:C21)</f>
        <v>3.4290469367940761</v>
      </c>
      <c r="L21">
        <f ca="1">J21 + 2*K21</f>
        <v>301.31359387358816</v>
      </c>
      <c r="M21">
        <f ca="1">J21-2*K21</f>
        <v>287.5974061264119</v>
      </c>
      <c r="N21">
        <f t="shared" ca="1" si="4"/>
        <v>2.339999999999975</v>
      </c>
      <c r="O21">
        <f t="shared" ca="1" si="5"/>
        <v>2.339999999999975</v>
      </c>
      <c r="P21">
        <f t="shared" ca="1" si="6"/>
        <v>0</v>
      </c>
      <c r="Q21">
        <f t="shared" ca="1" si="10"/>
        <v>1.0628219074284768</v>
      </c>
      <c r="R21">
        <f t="shared" ca="1" si="11"/>
        <v>1.1425431392547174</v>
      </c>
      <c r="S21">
        <f t="shared" ca="1" si="8"/>
        <v>0.93022475118248682</v>
      </c>
      <c r="T21">
        <f t="shared" ca="1" si="9"/>
        <v>48.192561545623953</v>
      </c>
      <c r="U21">
        <f>70</f>
        <v>70</v>
      </c>
      <c r="V21">
        <f>30</f>
        <v>30</v>
      </c>
      <c r="W21">
        <f t="shared" ca="1" si="7"/>
        <v>295.13714517956817</v>
      </c>
    </row>
    <row r="22" spans="1:25" x14ac:dyDescent="0.25">
      <c r="A22" s="21">
        <f t="shared" ca="1" si="0"/>
        <v>45320</v>
      </c>
      <c r="B22" vm="61">
        <f ca="1"/>
        <v>45322</v>
      </c>
      <c r="C22" vm="62">
        <f ca="1"/>
        <v>292.72000000000003</v>
      </c>
      <c r="D22" vm="63">
        <f ca="1"/>
        <v>3476264</v>
      </c>
      <c r="E22">
        <f t="shared" ca="1" si="1"/>
        <v>1017571998.08</v>
      </c>
      <c r="F22">
        <f ca="1">SUM($E$2:E22)/SUM($D$2:D22)</f>
        <v>294.43913728702825</v>
      </c>
      <c r="G22">
        <f ca="1">_xlfn.STDEV.P($C$2:C22)</f>
        <v>3.2825471278046408</v>
      </c>
      <c r="H22">
        <f t="shared" ca="1" si="2"/>
        <v>297.72168441483291</v>
      </c>
      <c r="I22">
        <f t="shared" ca="1" si="3"/>
        <v>291.15659015922358</v>
      </c>
      <c r="J22">
        <f t="shared" ref="J22:J85" ca="1" si="12">AVERAGE(C3:C22)</f>
        <v>294.23950000000002</v>
      </c>
      <c r="K22">
        <f t="shared" ref="K22:K85" ca="1" si="13">_xlfn.STDEV.S(C3:C22)</f>
        <v>3.3935549982747846</v>
      </c>
      <c r="L22">
        <f t="shared" ref="L22:L85" ca="1" si="14">J22 + 2*K22</f>
        <v>301.02660999654961</v>
      </c>
      <c r="M22">
        <f t="shared" ref="M22:M85" ca="1" si="15">J22-2*K22</f>
        <v>287.45239000345043</v>
      </c>
      <c r="N22">
        <f t="shared" ca="1" si="4"/>
        <v>-1.92999999999995</v>
      </c>
      <c r="O22">
        <f t="shared" ca="1" si="5"/>
        <v>0</v>
      </c>
      <c r="P22">
        <f t="shared" ca="1" si="6"/>
        <v>1.92999999999995</v>
      </c>
      <c r="Q22">
        <f t="shared" ca="1" si="10"/>
        <v>0.98690605689787136</v>
      </c>
      <c r="R22">
        <f t="shared" ca="1" si="11"/>
        <v>1.1987900578793769</v>
      </c>
      <c r="S22">
        <f t="shared" ca="1" si="8"/>
        <v>0.82325178659195597</v>
      </c>
      <c r="T22">
        <f t="shared" ca="1" si="9"/>
        <v>45.152940073668489</v>
      </c>
      <c r="U22">
        <f>70</f>
        <v>70</v>
      </c>
      <c r="V22">
        <f>30</f>
        <v>30</v>
      </c>
      <c r="W22">
        <f t="shared" ca="1" si="7"/>
        <v>294.76527669040382</v>
      </c>
    </row>
    <row r="23" spans="1:25" x14ac:dyDescent="0.25">
      <c r="A23" s="21">
        <f t="shared" ca="1" si="0"/>
        <v>45320</v>
      </c>
      <c r="B23" vm="64">
        <f ca="1"/>
        <v>45323</v>
      </c>
      <c r="C23" vm="65">
        <f ca="1"/>
        <v>298.08</v>
      </c>
      <c r="D23" vm="66">
        <f ca="1"/>
        <v>3380568</v>
      </c>
      <c r="E23">
        <f t="shared" ca="1" si="1"/>
        <v>1007679709.4399999</v>
      </c>
      <c r="F23">
        <f ca="1">SUM($E$2:E23)/SUM($D$2:D23)</f>
        <v>294.62225221523272</v>
      </c>
      <c r="G23">
        <f ca="1">_xlfn.STDEV.P($C$2:C23)</f>
        <v>3.2987301902047972</v>
      </c>
      <c r="H23">
        <f t="shared" ca="1" si="2"/>
        <v>297.92098240543754</v>
      </c>
      <c r="I23">
        <f t="shared" ca="1" si="3"/>
        <v>291.3235220250279</v>
      </c>
      <c r="J23">
        <f t="shared" ca="1" si="12"/>
        <v>294.42399999999998</v>
      </c>
      <c r="K23">
        <f t="shared" ca="1" si="13"/>
        <v>3.5007824689256002</v>
      </c>
      <c r="L23">
        <f t="shared" ca="1" si="14"/>
        <v>301.42556493785116</v>
      </c>
      <c r="M23">
        <f t="shared" ca="1" si="15"/>
        <v>287.42243506214879</v>
      </c>
      <c r="N23">
        <f t="shared" ca="1" si="4"/>
        <v>5.3599999999999568</v>
      </c>
      <c r="O23">
        <f t="shared" ca="1" si="5"/>
        <v>5.3599999999999568</v>
      </c>
      <c r="P23">
        <f t="shared" ca="1" si="6"/>
        <v>0</v>
      </c>
      <c r="Q23">
        <f t="shared" ca="1" si="10"/>
        <v>1.2992699099765919</v>
      </c>
      <c r="R23">
        <f t="shared" ca="1" si="11"/>
        <v>1.1131621966022787</v>
      </c>
      <c r="S23">
        <f t="shared" ca="1" si="8"/>
        <v>1.1671883162600856</v>
      </c>
      <c r="T23">
        <f t="shared" ca="1" si="9"/>
        <v>53.857263233787691</v>
      </c>
      <c r="U23">
        <f>70</f>
        <v>70</v>
      </c>
      <c r="V23">
        <f>30</f>
        <v>30</v>
      </c>
      <c r="W23">
        <f t="shared" ca="1" si="7"/>
        <v>295.27523412264941</v>
      </c>
    </row>
    <row r="24" spans="1:25" x14ac:dyDescent="0.25">
      <c r="A24" s="21">
        <f t="shared" ca="1" si="0"/>
        <v>45320</v>
      </c>
      <c r="B24" vm="67">
        <f ca="1"/>
        <v>45324</v>
      </c>
      <c r="C24" vm="68">
        <f ca="1"/>
        <v>297.05</v>
      </c>
      <c r="D24" vm="69">
        <f ca="1"/>
        <v>3971607</v>
      </c>
      <c r="E24">
        <f t="shared" ca="1" si="1"/>
        <v>1179765859.3500001</v>
      </c>
      <c r="F24">
        <f ca="1">SUM($E$2:E24)/SUM($D$2:D24)</f>
        <v>294.75769870045508</v>
      </c>
      <c r="G24">
        <f ca="1">_xlfn.STDEV.P($C$2:C24)</f>
        <v>3.2665318375528938</v>
      </c>
      <c r="H24">
        <f t="shared" ca="1" si="2"/>
        <v>298.024230538008</v>
      </c>
      <c r="I24">
        <f t="shared" ca="1" si="3"/>
        <v>291.49116686290216</v>
      </c>
      <c r="J24">
        <f t="shared" ca="1" si="12"/>
        <v>294.68950000000001</v>
      </c>
      <c r="K24">
        <f t="shared" ca="1" si="13"/>
        <v>3.4878457761051767</v>
      </c>
      <c r="L24">
        <f t="shared" ca="1" si="14"/>
        <v>301.66519155221039</v>
      </c>
      <c r="M24">
        <f t="shared" ca="1" si="15"/>
        <v>287.71380844778963</v>
      </c>
      <c r="N24">
        <f t="shared" ca="1" si="4"/>
        <v>-1.0299999999999727</v>
      </c>
      <c r="O24">
        <f t="shared" ca="1" si="5"/>
        <v>0</v>
      </c>
      <c r="P24">
        <f t="shared" ca="1" si="6"/>
        <v>1.0299999999999727</v>
      </c>
      <c r="Q24">
        <f t="shared" ca="1" si="10"/>
        <v>1.2064649164068353</v>
      </c>
      <c r="R24">
        <f t="shared" ca="1" si="11"/>
        <v>1.107222039702114</v>
      </c>
      <c r="S24">
        <f t="shared" ca="1" si="8"/>
        <v>1.0896323168670139</v>
      </c>
      <c r="T24">
        <f t="shared" ca="1" si="9"/>
        <v>52.144691105308894</v>
      </c>
      <c r="U24">
        <f>70</f>
        <v>70</v>
      </c>
      <c r="V24">
        <f>30</f>
        <v>30</v>
      </c>
      <c r="W24">
        <f t="shared" ca="1" si="7"/>
        <v>295.5482750268572</v>
      </c>
    </row>
    <row r="25" spans="1:25" x14ac:dyDescent="0.25">
      <c r="A25" s="21">
        <f t="shared" ca="1" si="0"/>
        <v>45327</v>
      </c>
      <c r="B25" vm="70">
        <f ca="1"/>
        <v>45327</v>
      </c>
      <c r="C25" vm="71">
        <f ca="1"/>
        <v>285.97000000000003</v>
      </c>
      <c r="D25" vm="72">
        <f ca="1"/>
        <v>7581895</v>
      </c>
      <c r="E25">
        <f t="shared" ca="1" si="1"/>
        <v>2168194513.1500001</v>
      </c>
      <c r="F25">
        <f ca="1">SUM($E$2:E25)/SUM($D$2:D25)</f>
        <v>293.91184178839103</v>
      </c>
      <c r="G25">
        <f ca="1">_xlfn.STDEV.P($C$2:C25)</f>
        <v>3.6379118466733957</v>
      </c>
      <c r="H25">
        <f t="shared" ca="1" si="2"/>
        <v>297.54975363506441</v>
      </c>
      <c r="I25">
        <f t="shared" ca="1" si="3"/>
        <v>290.27392994171765</v>
      </c>
      <c r="J25">
        <f t="shared" ca="1" si="12"/>
        <v>294.5385</v>
      </c>
      <c r="K25">
        <f t="shared" ca="1" si="13"/>
        <v>3.7990695190436146</v>
      </c>
      <c r="L25">
        <f t="shared" ca="1" si="14"/>
        <v>302.13663903808725</v>
      </c>
      <c r="M25">
        <f t="shared" ca="1" si="15"/>
        <v>286.94036096191275</v>
      </c>
      <c r="N25">
        <f t="shared" ca="1" si="4"/>
        <v>-11.079999999999984</v>
      </c>
      <c r="O25">
        <f t="shared" ca="1" si="5"/>
        <v>0</v>
      </c>
      <c r="P25">
        <f t="shared" ca="1" si="6"/>
        <v>11.079999999999984</v>
      </c>
      <c r="Q25">
        <f t="shared" ca="1" si="10"/>
        <v>1.1202888509492042</v>
      </c>
      <c r="R25">
        <f t="shared" ca="1" si="11"/>
        <v>1.8195633225805332</v>
      </c>
      <c r="S25">
        <f t="shared" ca="1" si="8"/>
        <v>0.61569104908115702</v>
      </c>
      <c r="T25">
        <f t="shared" ca="1" si="9"/>
        <v>38.106979018748682</v>
      </c>
      <c r="U25">
        <f>70</f>
        <v>70</v>
      </c>
      <c r="V25">
        <f>30</f>
        <v>30</v>
      </c>
      <c r="W25">
        <f t="shared" ca="1" si="7"/>
        <v>294.07469425349456</v>
      </c>
    </row>
    <row r="26" spans="1:25" x14ac:dyDescent="0.25">
      <c r="A26" s="21">
        <f t="shared" ca="1" si="0"/>
        <v>45327</v>
      </c>
      <c r="B26" vm="73">
        <f ca="1"/>
        <v>45328</v>
      </c>
      <c r="C26" vm="74">
        <f ca="1"/>
        <v>284.64999999999998</v>
      </c>
      <c r="D26" vm="75">
        <f ca="1"/>
        <v>5928192</v>
      </c>
      <c r="E26">
        <f t="shared" ca="1" si="1"/>
        <v>1687459852.8</v>
      </c>
      <c r="F26">
        <f ca="1">SUM($E$2:E26)/SUM($D$2:D26)</f>
        <v>293.26358068237272</v>
      </c>
      <c r="G26">
        <f ca="1">_xlfn.STDEV.P($C$2:C26)</f>
        <v>4.0339308075374802</v>
      </c>
      <c r="H26">
        <f t="shared" ca="1" si="2"/>
        <v>297.29751148991022</v>
      </c>
      <c r="I26">
        <f t="shared" ca="1" si="3"/>
        <v>289.22964987483522</v>
      </c>
      <c r="J26">
        <f t="shared" ca="1" si="12"/>
        <v>294.17600000000004</v>
      </c>
      <c r="K26">
        <f t="shared" ca="1" si="13"/>
        <v>4.367453069672238</v>
      </c>
      <c r="L26">
        <f t="shared" ca="1" si="14"/>
        <v>302.91090613934455</v>
      </c>
      <c r="M26">
        <f t="shared" ca="1" si="15"/>
        <v>285.44109386065554</v>
      </c>
      <c r="N26">
        <f t="shared" ca="1" si="4"/>
        <v>-1.32000000000005</v>
      </c>
      <c r="O26">
        <f t="shared" ca="1" si="5"/>
        <v>0</v>
      </c>
      <c r="P26">
        <f t="shared" ca="1" si="6"/>
        <v>1.32000000000005</v>
      </c>
      <c r="Q26">
        <f t="shared" ca="1" si="10"/>
        <v>1.0402682187385468</v>
      </c>
      <c r="R26">
        <f t="shared" ca="1" si="11"/>
        <v>1.7838802281104988</v>
      </c>
      <c r="S26">
        <f t="shared" ca="1" si="8"/>
        <v>0.58314913879639096</v>
      </c>
      <c r="T26">
        <f t="shared" ca="1" si="9"/>
        <v>36.834757036203008</v>
      </c>
      <c r="U26">
        <f>70</f>
        <v>70</v>
      </c>
      <c r="V26">
        <f>30</f>
        <v>30</v>
      </c>
      <c r="W26">
        <f t="shared" ca="1" si="7"/>
        <v>292.62474129141845</v>
      </c>
    </row>
    <row r="27" spans="1:25" x14ac:dyDescent="0.25">
      <c r="A27" s="21">
        <f t="shared" ca="1" si="0"/>
        <v>45327</v>
      </c>
      <c r="B27" vm="76">
        <f ca="1"/>
        <v>45329</v>
      </c>
      <c r="C27" vm="77">
        <f ca="1"/>
        <v>287.33</v>
      </c>
      <c r="D27" vm="78">
        <f ca="1"/>
        <v>3954659</v>
      </c>
      <c r="E27">
        <f t="shared" ca="1" si="1"/>
        <v>1136292170.47</v>
      </c>
      <c r="F27">
        <f ca="1">SUM($E$2:E27)/SUM($D$2:D27)</f>
        <v>292.99889071936758</v>
      </c>
      <c r="G27">
        <f ca="1">_xlfn.STDEV.P($C$2:C27)</f>
        <v>4.1526640946313282</v>
      </c>
      <c r="H27">
        <f t="shared" ca="1" si="2"/>
        <v>297.15155481399893</v>
      </c>
      <c r="I27">
        <f t="shared" ca="1" si="3"/>
        <v>288.84622662473623</v>
      </c>
      <c r="J27">
        <f t="shared" ca="1" si="12"/>
        <v>293.99900000000002</v>
      </c>
      <c r="K27">
        <f t="shared" ca="1" si="13"/>
        <v>4.5752755453403537</v>
      </c>
      <c r="L27">
        <f t="shared" ca="1" si="14"/>
        <v>303.14955109068075</v>
      </c>
      <c r="M27">
        <f t="shared" ca="1" si="15"/>
        <v>284.8484489093193</v>
      </c>
      <c r="N27">
        <f t="shared" ca="1" si="4"/>
        <v>2.6800000000000068</v>
      </c>
      <c r="O27">
        <f t="shared" ca="1" si="5"/>
        <v>2.6800000000000068</v>
      </c>
      <c r="P27">
        <f t="shared" ca="1" si="6"/>
        <v>0</v>
      </c>
      <c r="Q27">
        <f t="shared" ca="1" si="10"/>
        <v>1.1573919174000797</v>
      </c>
      <c r="R27">
        <f t="shared" ca="1" si="11"/>
        <v>1.6564602118168918</v>
      </c>
      <c r="S27">
        <f t="shared" ca="1" si="8"/>
        <v>0.6987139860912156</v>
      </c>
      <c r="T27">
        <f t="shared" ca="1" si="9"/>
        <v>41.131938149221597</v>
      </c>
      <c r="U27">
        <f>70</f>
        <v>70</v>
      </c>
      <c r="V27">
        <f>30</f>
        <v>30</v>
      </c>
      <c r="W27">
        <f t="shared" ca="1" si="7"/>
        <v>291.81016570812329</v>
      </c>
      <c r="X27" s="9">
        <f ca="1">AVERAGE(C2:C27)</f>
        <v>293.65038461538467</v>
      </c>
      <c r="Y27">
        <f ca="1">W28-X28</f>
        <v>-1.694346964921408</v>
      </c>
    </row>
    <row r="28" spans="1:25" x14ac:dyDescent="0.25">
      <c r="A28" s="21">
        <f t="shared" ca="1" si="0"/>
        <v>45327</v>
      </c>
      <c r="B28" vm="79">
        <f ca="1"/>
        <v>45330</v>
      </c>
      <c r="C28" vm="80">
        <f ca="1"/>
        <v>291.93</v>
      </c>
      <c r="D28" vm="81">
        <f ca="1"/>
        <v>4605245</v>
      </c>
      <c r="E28">
        <f t="shared" ca="1" si="1"/>
        <v>1344409172.8500001</v>
      </c>
      <c r="F28">
        <f ca="1">SUM($E$2:E28)/SUM($D$2:D28)</f>
        <v>292.94610656401608</v>
      </c>
      <c r="G28">
        <f ca="1">_xlfn.STDEV.P($C$2:C28)</f>
        <v>4.0879687974456074</v>
      </c>
      <c r="H28">
        <f t="shared" ca="1" si="2"/>
        <v>297.0340753614617</v>
      </c>
      <c r="I28">
        <f t="shared" ca="1" si="3"/>
        <v>288.85813776657045</v>
      </c>
      <c r="J28">
        <f t="shared" ca="1" si="12"/>
        <v>293.89100000000002</v>
      </c>
      <c r="K28">
        <f t="shared" ca="1" si="13"/>
        <v>4.5984492809504465</v>
      </c>
      <c r="L28">
        <f t="shared" ca="1" si="14"/>
        <v>303.08789856190089</v>
      </c>
      <c r="M28">
        <f t="shared" ca="1" si="15"/>
        <v>284.69410143809915</v>
      </c>
      <c r="N28">
        <f t="shared" ca="1" si="4"/>
        <v>4.6000000000000227</v>
      </c>
      <c r="O28">
        <f t="shared" ca="1" si="5"/>
        <v>4.6000000000000227</v>
      </c>
      <c r="P28">
        <f t="shared" ca="1" si="6"/>
        <v>0</v>
      </c>
      <c r="Q28">
        <f t="shared" ca="1" si="10"/>
        <v>1.4032924947286471</v>
      </c>
      <c r="R28">
        <f t="shared" ca="1" si="11"/>
        <v>1.5381416252585425</v>
      </c>
      <c r="S28">
        <f t="shared" ca="1" si="8"/>
        <v>0.91232983470736717</v>
      </c>
      <c r="T28">
        <f t="shared" ca="1" si="9"/>
        <v>47.70776558255055</v>
      </c>
      <c r="U28">
        <f>70</f>
        <v>70</v>
      </c>
      <c r="V28">
        <f>30</f>
        <v>30</v>
      </c>
      <c r="W28">
        <f t="shared" ca="1" si="7"/>
        <v>291.82860175302739</v>
      </c>
      <c r="X28">
        <f ca="1">C28*(2/(26+1)) + X27*(1-(2/(26+1)))</f>
        <v>293.52294871794879</v>
      </c>
      <c r="Y28">
        <f t="shared" ref="Y28:Y91" ca="1" si="16">W29-X29</f>
        <v>-1.7569903495277117</v>
      </c>
    </row>
    <row r="29" spans="1:25" x14ac:dyDescent="0.25">
      <c r="A29" s="21">
        <f t="shared" ca="1" si="0"/>
        <v>45327</v>
      </c>
      <c r="B29" vm="82">
        <f ca="1"/>
        <v>45331</v>
      </c>
      <c r="C29" vm="83">
        <f ca="1"/>
        <v>289.47000000000003</v>
      </c>
      <c r="D29" vm="84">
        <f ca="1"/>
        <v>3323000</v>
      </c>
      <c r="E29">
        <f t="shared" ca="1" si="1"/>
        <v>961908810.00000012</v>
      </c>
      <c r="F29">
        <f ca="1">SUM($E$2:E29)/SUM($D$2:D29)</f>
        <v>292.82650544908154</v>
      </c>
      <c r="G29">
        <f ca="1">_xlfn.STDEV.P($C$2:C29)</f>
        <v>4.0863531437341667</v>
      </c>
      <c r="H29">
        <f t="shared" ca="1" si="2"/>
        <v>296.91285859281572</v>
      </c>
      <c r="I29">
        <f t="shared" ca="1" si="3"/>
        <v>288.74015230534735</v>
      </c>
      <c r="J29">
        <f t="shared" ca="1" si="12"/>
        <v>293.65700000000004</v>
      </c>
      <c r="K29">
        <f t="shared" ca="1" si="13"/>
        <v>4.7024742647383295</v>
      </c>
      <c r="L29">
        <f t="shared" ca="1" si="14"/>
        <v>303.06194852947669</v>
      </c>
      <c r="M29">
        <f t="shared" ca="1" si="15"/>
        <v>284.25205147052338</v>
      </c>
      <c r="N29">
        <f t="shared" ca="1" si="4"/>
        <v>-2.4599999999999795</v>
      </c>
      <c r="O29">
        <f t="shared" ca="1" si="5"/>
        <v>0</v>
      </c>
      <c r="P29">
        <f t="shared" ca="1" si="6"/>
        <v>2.4599999999999795</v>
      </c>
      <c r="Q29">
        <f t="shared" ca="1" si="10"/>
        <v>1.3030573165337438</v>
      </c>
      <c r="R29">
        <f t="shared" ca="1" si="11"/>
        <v>1.603988652025788</v>
      </c>
      <c r="S29">
        <f t="shared" ca="1" si="8"/>
        <v>0.81238562061397546</v>
      </c>
      <c r="T29">
        <f t="shared" ca="1" si="9"/>
        <v>44.824104284096364</v>
      </c>
      <c r="U29">
        <f>70</f>
        <v>70</v>
      </c>
      <c r="V29">
        <f>30</f>
        <v>30</v>
      </c>
      <c r="W29">
        <f t="shared" ca="1" si="7"/>
        <v>291.46573994486931</v>
      </c>
      <c r="X29">
        <f t="shared" ref="X29:X92" ca="1" si="17">C29*(2/(26+1)) + X28*(1-(2/(26+1)))</f>
        <v>293.22273029439702</v>
      </c>
      <c r="Y29">
        <f t="shared" ca="1" si="16"/>
        <v>-1.7884404047089788</v>
      </c>
    </row>
    <row r="30" spans="1:25" x14ac:dyDescent="0.25">
      <c r="A30" s="21">
        <f t="shared" ca="1" si="0"/>
        <v>45334</v>
      </c>
      <c r="B30" vm="85">
        <f ca="1"/>
        <v>45334</v>
      </c>
      <c r="C30" vm="86">
        <f ca="1"/>
        <v>289.44</v>
      </c>
      <c r="D30" vm="87">
        <f ca="1"/>
        <v>2392314</v>
      </c>
      <c r="E30">
        <f t="shared" ca="1" si="1"/>
        <v>692431364.15999997</v>
      </c>
      <c r="F30">
        <f ca="1">SUM($E$2:E30)/SUM($D$2:D30)</f>
        <v>292.74464855416704</v>
      </c>
      <c r="G30">
        <f ca="1">_xlfn.STDEV.P($C$2:C30)</f>
        <v>4.0810639831108917</v>
      </c>
      <c r="H30">
        <f t="shared" ca="1" si="2"/>
        <v>296.82571253727792</v>
      </c>
      <c r="I30">
        <f t="shared" ca="1" si="3"/>
        <v>288.66358457105616</v>
      </c>
      <c r="J30">
        <f t="shared" ca="1" si="12"/>
        <v>293.45550000000003</v>
      </c>
      <c r="K30">
        <f t="shared" ca="1" si="13"/>
        <v>4.7963148957243575</v>
      </c>
      <c r="L30">
        <f t="shared" ca="1" si="14"/>
        <v>303.04812979144873</v>
      </c>
      <c r="M30">
        <f t="shared" ca="1" si="15"/>
        <v>283.86287020855133</v>
      </c>
      <c r="N30">
        <f t="shared" ca="1" si="4"/>
        <v>-3.0000000000029559E-2</v>
      </c>
      <c r="O30">
        <f t="shared" ca="1" si="5"/>
        <v>0</v>
      </c>
      <c r="P30">
        <f t="shared" ca="1" si="6"/>
        <v>3.0000000000029559E-2</v>
      </c>
      <c r="Q30">
        <f t="shared" ca="1" si="10"/>
        <v>1.2099817939241908</v>
      </c>
      <c r="R30">
        <f t="shared" ca="1" si="11"/>
        <v>1.4915608911668052</v>
      </c>
      <c r="S30">
        <f t="shared" ca="1" si="8"/>
        <v>0.81121850344148994</v>
      </c>
      <c r="T30">
        <f t="shared" ca="1" si="9"/>
        <v>44.788549912674618</v>
      </c>
      <c r="U30">
        <f>70</f>
        <v>70</v>
      </c>
      <c r="V30">
        <f>30</f>
        <v>30</v>
      </c>
      <c r="W30">
        <f t="shared" ca="1" si="7"/>
        <v>291.15408764565865</v>
      </c>
      <c r="X30">
        <f t="shared" ca="1" si="17"/>
        <v>292.94252805036763</v>
      </c>
      <c r="Y30">
        <f t="shared" ca="1" si="16"/>
        <v>-1.9785686199682573</v>
      </c>
    </row>
    <row r="31" spans="1:25" x14ac:dyDescent="0.25">
      <c r="A31" s="21">
        <f t="shared" ca="1" si="0"/>
        <v>45334</v>
      </c>
      <c r="B31" vm="88">
        <f ca="1"/>
        <v>45335</v>
      </c>
      <c r="C31" vm="89">
        <f ca="1"/>
        <v>287.11</v>
      </c>
      <c r="D31" vm="90">
        <f ca="1"/>
        <v>2756190</v>
      </c>
      <c r="E31">
        <f t="shared" ca="1" si="1"/>
        <v>791329710.9000001</v>
      </c>
      <c r="F31">
        <f ca="1">SUM($E$2:E31)/SUM($D$2:D31)</f>
        <v>292.59198604907311</v>
      </c>
      <c r="G31">
        <f ca="1">_xlfn.STDEV.P($C$2:C31)</f>
        <v>4.1635599618061869</v>
      </c>
      <c r="H31">
        <f t="shared" ca="1" si="2"/>
        <v>296.7555460108793</v>
      </c>
      <c r="I31">
        <f t="shared" ca="1" si="3"/>
        <v>288.42842608726693</v>
      </c>
      <c r="J31">
        <f t="shared" ca="1" si="12"/>
        <v>293.25650000000002</v>
      </c>
      <c r="K31">
        <f t="shared" ca="1" si="13"/>
        <v>4.9787223842013262</v>
      </c>
      <c r="L31">
        <f t="shared" ca="1" si="14"/>
        <v>303.21394476840265</v>
      </c>
      <c r="M31">
        <f t="shared" ca="1" si="15"/>
        <v>283.29905523159738</v>
      </c>
      <c r="N31">
        <f t="shared" ca="1" si="4"/>
        <v>-2.3299999999999841</v>
      </c>
      <c r="O31">
        <f t="shared" ca="1" si="5"/>
        <v>0</v>
      </c>
      <c r="P31">
        <f t="shared" ca="1" si="6"/>
        <v>2.3299999999999841</v>
      </c>
      <c r="Q31">
        <f t="shared" ca="1" si="10"/>
        <v>1.1235545229296058</v>
      </c>
      <c r="R31">
        <f t="shared" ca="1" si="11"/>
        <v>1.5514493989406037</v>
      </c>
      <c r="S31">
        <f t="shared" ca="1" si="8"/>
        <v>0.72419669226519223</v>
      </c>
      <c r="T31">
        <f t="shared" ca="1" si="9"/>
        <v>42.001976660433492</v>
      </c>
      <c r="U31">
        <f>70</f>
        <v>70</v>
      </c>
      <c r="V31">
        <f>30</f>
        <v>30</v>
      </c>
      <c r="W31">
        <f t="shared" ca="1" si="7"/>
        <v>290.53192031555733</v>
      </c>
      <c r="X31">
        <f t="shared" ca="1" si="17"/>
        <v>292.51048893552559</v>
      </c>
      <c r="Y31">
        <f t="shared" ca="1" si="16"/>
        <v>-2.0204232772800879</v>
      </c>
    </row>
    <row r="32" spans="1:25" x14ac:dyDescent="0.25">
      <c r="A32" s="21">
        <f t="shared" ca="1" si="0"/>
        <v>45334</v>
      </c>
      <c r="B32" vm="91">
        <f ca="1"/>
        <v>45336</v>
      </c>
      <c r="C32" vm="92">
        <f ca="1"/>
        <v>288.17</v>
      </c>
      <c r="D32" vm="93">
        <f ca="1"/>
        <v>2139326</v>
      </c>
      <c r="E32">
        <f t="shared" ca="1" si="1"/>
        <v>616489573.42000008</v>
      </c>
      <c r="F32">
        <f ca="1">SUM($E$2:E32)/SUM($D$2:D32)</f>
        <v>292.50090828612923</v>
      </c>
      <c r="G32">
        <f ca="1">_xlfn.STDEV.P($C$2:C32)</f>
        <v>4.1872822415308137</v>
      </c>
      <c r="H32">
        <f t="shared" ca="1" si="2"/>
        <v>296.68819052766003</v>
      </c>
      <c r="I32">
        <f t="shared" ca="1" si="3"/>
        <v>288.31362604459844</v>
      </c>
      <c r="J32">
        <f t="shared" ca="1" si="12"/>
        <v>293.10700000000003</v>
      </c>
      <c r="K32">
        <f t="shared" ca="1" si="13"/>
        <v>5.088666560939223</v>
      </c>
      <c r="L32">
        <f t="shared" ca="1" si="14"/>
        <v>303.28433312187849</v>
      </c>
      <c r="M32">
        <f t="shared" ca="1" si="15"/>
        <v>282.92966687812157</v>
      </c>
      <c r="N32">
        <f t="shared" ca="1" si="4"/>
        <v>1.0600000000000023</v>
      </c>
      <c r="O32">
        <f t="shared" ca="1" si="5"/>
        <v>1.0600000000000023</v>
      </c>
      <c r="P32">
        <f t="shared" ca="1" si="6"/>
        <v>0</v>
      </c>
      <c r="Q32">
        <f t="shared" ca="1" si="10"/>
        <v>1.1190149141489198</v>
      </c>
      <c r="R32">
        <f t="shared" ca="1" si="11"/>
        <v>1.4406315847305606</v>
      </c>
      <c r="S32">
        <f t="shared" ca="1" si="8"/>
        <v>0.77675300611863762</v>
      </c>
      <c r="T32">
        <f t="shared" ca="1" si="9"/>
        <v>43.717556882904866</v>
      </c>
      <c r="U32">
        <f>70</f>
        <v>70</v>
      </c>
      <c r="V32">
        <f>30</f>
        <v>30</v>
      </c>
      <c r="W32">
        <f t="shared" ca="1" si="7"/>
        <v>290.16854795931772</v>
      </c>
      <c r="X32">
        <f t="shared" ca="1" si="17"/>
        <v>292.18897123659781</v>
      </c>
      <c r="Y32">
        <f t="shared" ca="1" si="16"/>
        <v>-1.7358316466578572</v>
      </c>
    </row>
    <row r="33" spans="1:27" x14ac:dyDescent="0.25">
      <c r="A33" s="21">
        <f t="shared" ca="1" si="0"/>
        <v>45334</v>
      </c>
      <c r="B33" vm="94">
        <f ca="1"/>
        <v>45337</v>
      </c>
      <c r="C33" vm="95">
        <f ca="1"/>
        <v>291.86</v>
      </c>
      <c r="D33" vm="96">
        <f ca="1"/>
        <v>2401617</v>
      </c>
      <c r="E33">
        <f t="shared" ca="1" si="1"/>
        <v>700935937.62</v>
      </c>
      <c r="F33">
        <f ca="1">SUM($E$2:E33)/SUM($D$2:D33)</f>
        <v>292.48642422624295</v>
      </c>
      <c r="G33">
        <f ca="1">_xlfn.STDEV.P($C$2:C33)</f>
        <v>4.1255902868369914</v>
      </c>
      <c r="H33">
        <f t="shared" ca="1" si="2"/>
        <v>296.61201451307994</v>
      </c>
      <c r="I33">
        <f t="shared" ca="1" si="3"/>
        <v>288.36083393940595</v>
      </c>
      <c r="J33">
        <f t="shared" ca="1" si="12"/>
        <v>292.98200000000003</v>
      </c>
      <c r="K33">
        <f t="shared" ca="1" si="13"/>
        <v>5.0869726288152712</v>
      </c>
      <c r="L33">
        <f t="shared" ca="1" si="14"/>
        <v>303.15594525763055</v>
      </c>
      <c r="M33">
        <f t="shared" ca="1" si="15"/>
        <v>282.80805474236951</v>
      </c>
      <c r="N33">
        <f t="shared" ca="1" si="4"/>
        <v>3.6899999999999977</v>
      </c>
      <c r="O33">
        <f t="shared" ca="1" si="5"/>
        <v>3.6899999999999977</v>
      </c>
      <c r="P33">
        <f t="shared" ca="1" si="6"/>
        <v>0</v>
      </c>
      <c r="Q33">
        <f t="shared" ca="1" si="10"/>
        <v>1.3026567059954253</v>
      </c>
      <c r="R33">
        <f t="shared" ca="1" si="11"/>
        <v>1.3377293286783778</v>
      </c>
      <c r="S33">
        <f t="shared" ca="1" si="8"/>
        <v>0.97378197372886877</v>
      </c>
      <c r="T33">
        <f t="shared" ca="1" si="9"/>
        <v>49.33584289906144</v>
      </c>
      <c r="U33">
        <f>70</f>
        <v>70</v>
      </c>
      <c r="V33">
        <f>30</f>
        <v>30</v>
      </c>
      <c r="W33">
        <f t="shared" ca="1" si="7"/>
        <v>290.42877135019194</v>
      </c>
      <c r="X33">
        <f t="shared" ca="1" si="17"/>
        <v>292.16460299684979</v>
      </c>
      <c r="Y33">
        <f t="shared" ca="1" si="16"/>
        <v>-1.4803159058951678</v>
      </c>
    </row>
    <row r="34" spans="1:27" x14ac:dyDescent="0.25">
      <c r="A34" s="21">
        <f t="shared" ca="1" si="0"/>
        <v>45334</v>
      </c>
      <c r="B34" vm="97">
        <f ca="1"/>
        <v>45338</v>
      </c>
      <c r="C34" vm="98">
        <f ca="1"/>
        <v>292.02</v>
      </c>
      <c r="D34" vm="99">
        <f ca="1"/>
        <v>2837573</v>
      </c>
      <c r="E34">
        <f t="shared" ca="1" si="1"/>
        <v>828628067.45999992</v>
      </c>
      <c r="F34">
        <f ca="1">SUM($E$2:E34)/SUM($D$2:D34)</f>
        <v>292.47429384168913</v>
      </c>
      <c r="G34">
        <f ca="1">_xlfn.STDEV.P($C$2:C34)</f>
        <v>4.0654180443239492</v>
      </c>
      <c r="H34">
        <f t="shared" ca="1" si="2"/>
        <v>296.53971188601309</v>
      </c>
      <c r="I34">
        <f t="shared" ca="1" si="3"/>
        <v>288.40887579736517</v>
      </c>
      <c r="J34">
        <f t="shared" ca="1" si="12"/>
        <v>292.55649999999997</v>
      </c>
      <c r="K34">
        <f t="shared" ca="1" si="13"/>
        <v>4.7683201003023443</v>
      </c>
      <c r="L34">
        <f t="shared" ca="1" si="14"/>
        <v>302.09314020060464</v>
      </c>
      <c r="M34">
        <f t="shared" ca="1" si="15"/>
        <v>283.01985979939531</v>
      </c>
      <c r="N34">
        <f t="shared" ca="1" si="4"/>
        <v>0.15999999999996817</v>
      </c>
      <c r="O34">
        <f t="shared" ca="1" si="5"/>
        <v>0.15999999999996817</v>
      </c>
      <c r="P34">
        <f t="shared" ca="1" si="6"/>
        <v>0</v>
      </c>
      <c r="Q34">
        <f t="shared" ca="1" si="10"/>
        <v>1.2210383698528926</v>
      </c>
      <c r="R34">
        <f t="shared" ca="1" si="11"/>
        <v>1.2421772337727792</v>
      </c>
      <c r="S34">
        <f t="shared" ca="1" si="8"/>
        <v>0.9829824091561532</v>
      </c>
      <c r="T34">
        <f t="shared" ca="1" si="9"/>
        <v>49.570909182923906</v>
      </c>
      <c r="U34">
        <f>70</f>
        <v>70</v>
      </c>
      <c r="V34">
        <f>30</f>
        <v>30</v>
      </c>
      <c r="W34">
        <f t="shared" ca="1" si="7"/>
        <v>290.67357575785468</v>
      </c>
      <c r="X34">
        <f t="shared" ca="1" si="17"/>
        <v>292.15389166374985</v>
      </c>
      <c r="Y34">
        <f t="shared" ca="1" si="16"/>
        <v>-1.2129994035209961</v>
      </c>
    </row>
    <row r="35" spans="1:27" x14ac:dyDescent="0.25">
      <c r="A35" s="21">
        <f t="shared" ca="1" si="0"/>
        <v>45341</v>
      </c>
      <c r="B35" vm="100">
        <f ca="1"/>
        <v>45342</v>
      </c>
      <c r="C35" vm="101">
        <f ca="1"/>
        <v>292.64999999999998</v>
      </c>
      <c r="D35" vm="102">
        <f ca="1"/>
        <v>2263994</v>
      </c>
      <c r="E35">
        <f t="shared" ca="1" si="1"/>
        <v>662557844.0999999</v>
      </c>
      <c r="F35">
        <f ca="1">SUM($E$2:E35)/SUM($D$2:D35)</f>
        <v>292.47786565884803</v>
      </c>
      <c r="G35">
        <f ca="1">_xlfn.STDEV.P($C$2:C35)</f>
        <v>4.0053684130885454</v>
      </c>
      <c r="H35">
        <f t="shared" ca="1" si="2"/>
        <v>296.48323407193658</v>
      </c>
      <c r="I35">
        <f t="shared" ca="1" si="3"/>
        <v>288.47249724575948</v>
      </c>
      <c r="J35">
        <f t="shared" ca="1" si="12"/>
        <v>292.26849999999996</v>
      </c>
      <c r="K35">
        <f t="shared" ca="1" si="13"/>
        <v>4.5658172439622602</v>
      </c>
      <c r="L35">
        <f t="shared" ca="1" si="14"/>
        <v>301.4001344879245</v>
      </c>
      <c r="M35">
        <f t="shared" ca="1" si="15"/>
        <v>283.13686551207542</v>
      </c>
      <c r="N35">
        <f t="shared" ca="1" si="4"/>
        <v>0.62999999999999545</v>
      </c>
      <c r="O35">
        <f t="shared" ca="1" si="5"/>
        <v>0.62999999999999545</v>
      </c>
      <c r="P35">
        <f t="shared" ca="1" si="6"/>
        <v>0</v>
      </c>
      <c r="Q35">
        <f t="shared" ca="1" si="10"/>
        <v>1.1788213434348285</v>
      </c>
      <c r="R35">
        <f t="shared" ca="1" si="11"/>
        <v>1.1534502885032951</v>
      </c>
      <c r="S35">
        <f t="shared" ca="1" si="8"/>
        <v>1.0219957939968567</v>
      </c>
      <c r="T35">
        <f t="shared" ca="1" si="9"/>
        <v>50.543912951306837</v>
      </c>
      <c r="U35">
        <f>70</f>
        <v>70</v>
      </c>
      <c r="V35">
        <f>30</f>
        <v>30</v>
      </c>
      <c r="W35">
        <f t="shared" ca="1" si="7"/>
        <v>290.97764102587701</v>
      </c>
      <c r="X35">
        <f t="shared" ca="1" si="17"/>
        <v>292.190640429398</v>
      </c>
      <c r="Y35">
        <f t="shared" ca="1" si="16"/>
        <v>-0.88922722184867098</v>
      </c>
    </row>
    <row r="36" spans="1:27" x14ac:dyDescent="0.25">
      <c r="A36" s="21">
        <f t="shared" ca="1" si="0"/>
        <v>45341</v>
      </c>
      <c r="B36" vm="103">
        <f ca="1"/>
        <v>45343</v>
      </c>
      <c r="C36" vm="104">
        <f ca="1"/>
        <v>293.91000000000003</v>
      </c>
      <c r="D36" vm="105">
        <f ca="1"/>
        <v>2076811</v>
      </c>
      <c r="E36">
        <f t="shared" ca="1" si="1"/>
        <v>610395521.01000011</v>
      </c>
      <c r="F36">
        <f ca="1">SUM($E$2:E36)/SUM($D$2:D36)</f>
        <v>292.50408270231458</v>
      </c>
      <c r="G36">
        <f ca="1">_xlfn.STDEV.P($C$2:C36)</f>
        <v>3.9515388477536324</v>
      </c>
      <c r="H36">
        <f t="shared" ca="1" si="2"/>
        <v>296.4556215500682</v>
      </c>
      <c r="I36">
        <f t="shared" ca="1" si="3"/>
        <v>288.55254385456095</v>
      </c>
      <c r="J36">
        <f t="shared" ca="1" si="12"/>
        <v>291.9615</v>
      </c>
      <c r="K36">
        <f t="shared" ca="1" si="13"/>
        <v>4.2074173538494675</v>
      </c>
      <c r="L36">
        <f t="shared" ca="1" si="14"/>
        <v>300.37633470769896</v>
      </c>
      <c r="M36">
        <f t="shared" ca="1" si="15"/>
        <v>283.54666529230104</v>
      </c>
      <c r="N36">
        <f t="shared" ca="1" si="4"/>
        <v>1.2600000000000477</v>
      </c>
      <c r="O36">
        <f t="shared" ca="1" si="5"/>
        <v>1.2600000000000477</v>
      </c>
      <c r="P36">
        <f t="shared" ca="1" si="6"/>
        <v>0</v>
      </c>
      <c r="Q36">
        <f t="shared" ca="1" si="10"/>
        <v>1.1846198189037729</v>
      </c>
      <c r="R36">
        <f t="shared" ca="1" si="11"/>
        <v>1.071060982181631</v>
      </c>
      <c r="S36">
        <f t="shared" ca="1" si="8"/>
        <v>1.1060246228845301</v>
      </c>
      <c r="T36">
        <f t="shared" ca="1" si="9"/>
        <v>52.517174341943658</v>
      </c>
      <c r="U36">
        <f>70</f>
        <v>70</v>
      </c>
      <c r="V36">
        <f>30</f>
        <v>30</v>
      </c>
      <c r="W36">
        <f t="shared" ca="1" si="7"/>
        <v>291.42877317574209</v>
      </c>
      <c r="X36">
        <f t="shared" ca="1" si="17"/>
        <v>292.31800039759077</v>
      </c>
      <c r="Y36">
        <f t="shared" ca="1" si="16"/>
        <v>-0.46508403424957123</v>
      </c>
      <c r="Z36" s="9">
        <f ca="1">AVERAGE(Y28:Y36)</f>
        <v>-1.4808756515174777</v>
      </c>
    </row>
    <row r="37" spans="1:27" x14ac:dyDescent="0.25">
      <c r="A37" s="21">
        <f t="shared" ca="1" si="0"/>
        <v>45341</v>
      </c>
      <c r="B37" vm="106">
        <f ca="1"/>
        <v>45344</v>
      </c>
      <c r="C37" vm="107">
        <f ca="1"/>
        <v>295.92</v>
      </c>
      <c r="D37" vm="108">
        <f ca="1"/>
        <v>3146598</v>
      </c>
      <c r="E37">
        <f t="shared" ca="1" si="1"/>
        <v>931141280.16000009</v>
      </c>
      <c r="F37">
        <f ca="1">SUM($E$2:E37)/SUM($D$2:D37)</f>
        <v>292.59626977170575</v>
      </c>
      <c r="G37">
        <f ca="1">_xlfn.STDEV.P($C$2:C37)</f>
        <v>3.9277685348783269</v>
      </c>
      <c r="H37">
        <f t="shared" ca="1" si="2"/>
        <v>296.52403830658409</v>
      </c>
      <c r="I37">
        <f t="shared" ca="1" si="3"/>
        <v>288.66850123682741</v>
      </c>
      <c r="J37">
        <f t="shared" ca="1" si="12"/>
        <v>291.73549999999994</v>
      </c>
      <c r="K37">
        <f t="shared" ca="1" si="13"/>
        <v>3.8327404995436472</v>
      </c>
      <c r="L37">
        <f t="shared" ca="1" si="14"/>
        <v>299.40098099908727</v>
      </c>
      <c r="M37">
        <f t="shared" ca="1" si="15"/>
        <v>284.07001900091262</v>
      </c>
      <c r="N37">
        <f t="shared" ca="1" si="4"/>
        <v>2.0099999999999909</v>
      </c>
      <c r="O37">
        <f t="shared" ca="1" si="5"/>
        <v>2.0099999999999909</v>
      </c>
      <c r="P37">
        <f t="shared" ca="1" si="6"/>
        <v>0</v>
      </c>
      <c r="Q37">
        <f t="shared" ca="1" si="10"/>
        <v>1.2435755461249314</v>
      </c>
      <c r="R37">
        <f t="shared" ca="1" si="11"/>
        <v>0.99455662631151454</v>
      </c>
      <c r="S37">
        <f t="shared" ca="1" si="8"/>
        <v>1.2503818417428343</v>
      </c>
      <c r="T37">
        <f t="shared" ca="1" si="9"/>
        <v>55.56309682869027</v>
      </c>
      <c r="U37">
        <f>70</f>
        <v>70</v>
      </c>
      <c r="V37">
        <f>30</f>
        <v>30</v>
      </c>
      <c r="W37">
        <f t="shared" ca="1" si="7"/>
        <v>292.11973114870489</v>
      </c>
      <c r="X37">
        <f t="shared" ca="1" si="17"/>
        <v>292.58481518295446</v>
      </c>
      <c r="Y37">
        <f t="shared" ca="1" si="16"/>
        <v>1.8504890897872883E-2</v>
      </c>
      <c r="Z37">
        <f ca="1">Y37*(2/(9+1)) + Z36*(1-(2/(9+1)))</f>
        <v>-1.1809995430344078</v>
      </c>
      <c r="AA37">
        <f ca="1">Y37-Z37</f>
        <v>1.1995044339322807</v>
      </c>
    </row>
    <row r="38" spans="1:27" x14ac:dyDescent="0.25">
      <c r="A38" s="21">
        <f t="shared" ca="1" si="0"/>
        <v>45341</v>
      </c>
      <c r="B38" vm="109">
        <f ca="1"/>
        <v>45345</v>
      </c>
      <c r="C38" vm="110">
        <f ca="1"/>
        <v>297.75</v>
      </c>
      <c r="D38" vm="111">
        <f ca="1"/>
        <v>2199138</v>
      </c>
      <c r="E38">
        <f t="shared" ca="1" si="1"/>
        <v>654793339.5</v>
      </c>
      <c r="F38">
        <f ca="1">SUM($E$2:E38)/SUM($D$2:D38)</f>
        <v>292.69167681907788</v>
      </c>
      <c r="G38">
        <f ca="1">_xlfn.STDEV.P($C$2:C38)</f>
        <v>3.9506919256018089</v>
      </c>
      <c r="H38">
        <f t="shared" ca="1" si="2"/>
        <v>296.64236874467969</v>
      </c>
      <c r="I38">
        <f t="shared" ca="1" si="3"/>
        <v>288.74098489347608</v>
      </c>
      <c r="J38">
        <f t="shared" ca="1" si="12"/>
        <v>291.76249999999999</v>
      </c>
      <c r="K38">
        <f t="shared" ca="1" si="13"/>
        <v>3.8750047538171168</v>
      </c>
      <c r="L38">
        <f t="shared" ca="1" si="14"/>
        <v>299.51250950763421</v>
      </c>
      <c r="M38">
        <f t="shared" ca="1" si="15"/>
        <v>284.01249049236577</v>
      </c>
      <c r="N38">
        <f t="shared" ca="1" si="4"/>
        <v>1.8299999999999841</v>
      </c>
      <c r="O38">
        <f t="shared" ca="1" si="5"/>
        <v>1.8299999999999841</v>
      </c>
      <c r="P38">
        <f t="shared" ca="1" si="6"/>
        <v>0</v>
      </c>
      <c r="Q38">
        <f t="shared" ca="1" si="10"/>
        <v>1.2854630071160067</v>
      </c>
      <c r="R38">
        <f t="shared" ca="1" si="11"/>
        <v>0.92351686728926352</v>
      </c>
      <c r="S38">
        <f t="shared" ca="1" si="8"/>
        <v>1.3919215259047073</v>
      </c>
      <c r="T38">
        <f t="shared" ca="1" si="9"/>
        <v>58.19260836235982</v>
      </c>
      <c r="U38">
        <f>70</f>
        <v>70</v>
      </c>
      <c r="V38">
        <f>30</f>
        <v>30</v>
      </c>
      <c r="W38">
        <f t="shared" ca="1" si="7"/>
        <v>292.98592635659645</v>
      </c>
      <c r="X38">
        <f t="shared" ca="1" si="17"/>
        <v>292.96742146569858</v>
      </c>
      <c r="Y38">
        <f t="shared" ca="1" si="16"/>
        <v>0.34691781070404204</v>
      </c>
      <c r="Z38">
        <f t="shared" ref="Z38:Z101" ca="1" si="18">Y38*(2/(9+1)) + Z37*(1-(2/(9+1)))</f>
        <v>-0.87541607228671781</v>
      </c>
      <c r="AA38">
        <f t="shared" ref="AA38:AA101" ca="1" si="19">Y38-Z38</f>
        <v>1.22233388299076</v>
      </c>
    </row>
    <row r="39" spans="1:27" x14ac:dyDescent="0.25">
      <c r="A39" s="21">
        <f t="shared" ca="1" si="0"/>
        <v>45348</v>
      </c>
      <c r="B39" vm="112">
        <f ca="1"/>
        <v>45348</v>
      </c>
      <c r="C39" vm="113">
        <f ca="1"/>
        <v>297.12</v>
      </c>
      <c r="D39" vm="114">
        <f ca="1"/>
        <v>2595344</v>
      </c>
      <c r="E39">
        <f t="shared" ca="1" si="1"/>
        <v>771128609.27999997</v>
      </c>
      <c r="F39">
        <f ca="1">SUM($E$2:E39)/SUM($D$2:D39)</f>
        <v>292.78635599155723</v>
      </c>
      <c r="G39">
        <f ca="1">_xlfn.STDEV.P($C$2:C39)</f>
        <v>3.9508058366620298</v>
      </c>
      <c r="H39">
        <f t="shared" ca="1" si="2"/>
        <v>296.73716182821926</v>
      </c>
      <c r="I39">
        <f t="shared" ca="1" si="3"/>
        <v>288.8355501548952</v>
      </c>
      <c r="J39">
        <f t="shared" ca="1" si="12"/>
        <v>292.00549999999998</v>
      </c>
      <c r="K39">
        <f t="shared" ca="1" si="13"/>
        <v>4.0560020178028813</v>
      </c>
      <c r="L39">
        <f t="shared" ca="1" si="14"/>
        <v>300.11750403560575</v>
      </c>
      <c r="M39">
        <f t="shared" ca="1" si="15"/>
        <v>283.89349596439422</v>
      </c>
      <c r="N39">
        <f t="shared" ca="1" si="4"/>
        <v>-0.62999999999999545</v>
      </c>
      <c r="O39">
        <f t="shared" ca="1" si="5"/>
        <v>0</v>
      </c>
      <c r="P39">
        <f t="shared" ca="1" si="6"/>
        <v>0.62999999999999545</v>
      </c>
      <c r="Q39">
        <f t="shared" ca="1" si="10"/>
        <v>1.1936442208934348</v>
      </c>
      <c r="R39">
        <f t="shared" ca="1" si="11"/>
        <v>0.90255137676860142</v>
      </c>
      <c r="S39">
        <f t="shared" ca="1" si="8"/>
        <v>1.3225221872321897</v>
      </c>
      <c r="T39">
        <f t="shared" ca="1" si="9"/>
        <v>56.943360735264882</v>
      </c>
      <c r="U39">
        <f>70</f>
        <v>70</v>
      </c>
      <c r="V39">
        <f>30</f>
        <v>30</v>
      </c>
      <c r="W39">
        <f t="shared" ca="1" si="7"/>
        <v>293.62193768635086</v>
      </c>
      <c r="X39">
        <f t="shared" ca="1" si="17"/>
        <v>293.27501987564682</v>
      </c>
      <c r="Y39">
        <f t="shared" ca="1" si="16"/>
        <v>0.33223371299425253</v>
      </c>
      <c r="Z39">
        <f t="shared" ca="1" si="18"/>
        <v>-0.63388611523052374</v>
      </c>
      <c r="AA39">
        <f t="shared" ca="1" si="19"/>
        <v>0.96611982822477627</v>
      </c>
    </row>
    <row r="40" spans="1:27" x14ac:dyDescent="0.25">
      <c r="A40" s="21">
        <f t="shared" ca="1" si="0"/>
        <v>45348</v>
      </c>
      <c r="B40" vm="115">
        <f ca="1"/>
        <v>45349</v>
      </c>
      <c r="C40" vm="116">
        <f ca="1"/>
        <v>293.76</v>
      </c>
      <c r="D40" vm="117">
        <f ca="1"/>
        <v>2811237</v>
      </c>
      <c r="E40">
        <f t="shared" ca="1" si="1"/>
        <v>825828981.12</v>
      </c>
      <c r="F40">
        <f ca="1">SUM($E$2:E40)/SUM($D$2:D40)</f>
        <v>292.80839412409767</v>
      </c>
      <c r="G40">
        <f ca="1">_xlfn.STDEV.P($C$2:C40)</f>
        <v>3.9007686155733374</v>
      </c>
      <c r="H40">
        <f t="shared" ca="1" si="2"/>
        <v>296.709162739671</v>
      </c>
      <c r="I40">
        <f t="shared" ca="1" si="3"/>
        <v>288.90762550852435</v>
      </c>
      <c r="J40">
        <f t="shared" ca="1" si="12"/>
        <v>292.07799999999997</v>
      </c>
      <c r="K40">
        <f t="shared" ca="1" si="13"/>
        <v>4.0746476760832353</v>
      </c>
      <c r="L40">
        <f t="shared" ca="1" si="14"/>
        <v>300.22729535216644</v>
      </c>
      <c r="M40">
        <f t="shared" ca="1" si="15"/>
        <v>283.92870464783351</v>
      </c>
      <c r="N40">
        <f t="shared" ca="1" si="4"/>
        <v>-3.3600000000000136</v>
      </c>
      <c r="O40">
        <f t="shared" ca="1" si="5"/>
        <v>0</v>
      </c>
      <c r="P40">
        <f t="shared" ca="1" si="6"/>
        <v>3.3600000000000136</v>
      </c>
      <c r="Q40">
        <f t="shared" ca="1" si="10"/>
        <v>1.1083839194010465</v>
      </c>
      <c r="R40">
        <f t="shared" ca="1" si="11"/>
        <v>1.0780834212851309</v>
      </c>
      <c r="S40">
        <f t="shared" ca="1" si="8"/>
        <v>1.0281058937719272</v>
      </c>
      <c r="T40">
        <f t="shared" ca="1" si="9"/>
        <v>50.692909918023439</v>
      </c>
      <c r="U40">
        <f>70</f>
        <v>70</v>
      </c>
      <c r="V40">
        <f>30</f>
        <v>30</v>
      </c>
      <c r="W40">
        <f t="shared" ca="1" si="7"/>
        <v>293.64317804229688</v>
      </c>
      <c r="X40">
        <f t="shared" ca="1" si="17"/>
        <v>293.31094432930263</v>
      </c>
      <c r="Y40">
        <f t="shared" ca="1" si="16"/>
        <v>0.43101701293107908</v>
      </c>
      <c r="Z40">
        <f t="shared" ca="1" si="18"/>
        <v>-0.42090548959820318</v>
      </c>
      <c r="AA40">
        <f t="shared" ca="1" si="19"/>
        <v>0.85192250252928226</v>
      </c>
    </row>
    <row r="41" spans="1:27" x14ac:dyDescent="0.25">
      <c r="A41" s="21">
        <f t="shared" ca="1" si="0"/>
        <v>45348</v>
      </c>
      <c r="B41" vm="118">
        <f ca="1"/>
        <v>45350</v>
      </c>
      <c r="C41" vm="119">
        <f ca="1"/>
        <v>295.19</v>
      </c>
      <c r="D41" vm="120">
        <f ca="1"/>
        <v>2507286</v>
      </c>
      <c r="E41">
        <f t="shared" ca="1" si="1"/>
        <v>740125754.34000003</v>
      </c>
      <c r="F41">
        <f ca="1">SUM($E$2:E41)/SUM($D$2:D41)</f>
        <v>292.8555212479713</v>
      </c>
      <c r="G41">
        <f ca="1">_xlfn.STDEV.P($C$2:C41)</f>
        <v>3.8638209634376159</v>
      </c>
      <c r="H41">
        <f t="shared" ca="1" si="2"/>
        <v>296.7193422114089</v>
      </c>
      <c r="I41">
        <f t="shared" ca="1" si="3"/>
        <v>288.99170028453369</v>
      </c>
      <c r="J41">
        <f t="shared" ca="1" si="12"/>
        <v>292.10500000000002</v>
      </c>
      <c r="K41">
        <f t="shared" ca="1" si="13"/>
        <v>4.0943291976766307</v>
      </c>
      <c r="L41">
        <f t="shared" ca="1" si="14"/>
        <v>300.2936583953533</v>
      </c>
      <c r="M41">
        <f t="shared" ca="1" si="15"/>
        <v>283.91634160464673</v>
      </c>
      <c r="N41">
        <f t="shared" ca="1" si="4"/>
        <v>1.4300000000000068</v>
      </c>
      <c r="O41">
        <f t="shared" ca="1" si="5"/>
        <v>1.4300000000000068</v>
      </c>
      <c r="P41">
        <f t="shared" ca="1" si="6"/>
        <v>0</v>
      </c>
      <c r="Q41">
        <f t="shared" ca="1" si="10"/>
        <v>1.1313564965866865</v>
      </c>
      <c r="R41">
        <f t="shared" ca="1" si="11"/>
        <v>1.0010774626219072</v>
      </c>
      <c r="S41">
        <f t="shared" ca="1" si="8"/>
        <v>1.1301388142567583</v>
      </c>
      <c r="T41">
        <f t="shared" ca="1" si="9"/>
        <v>53.054702665050641</v>
      </c>
      <c r="U41">
        <f>70</f>
        <v>70</v>
      </c>
      <c r="V41">
        <f>30</f>
        <v>30</v>
      </c>
      <c r="W41">
        <f t="shared" ca="1" si="7"/>
        <v>293.88115065117427</v>
      </c>
      <c r="X41">
        <f t="shared" ca="1" si="17"/>
        <v>293.45013363824319</v>
      </c>
      <c r="Y41">
        <f t="shared" ca="1" si="16"/>
        <v>0.27136270931549689</v>
      </c>
      <c r="Z41">
        <f t="shared" ca="1" si="18"/>
        <v>-0.28245184981546317</v>
      </c>
      <c r="AA41">
        <f t="shared" ca="1" si="19"/>
        <v>0.55381455913096</v>
      </c>
    </row>
    <row r="42" spans="1:27" x14ac:dyDescent="0.25">
      <c r="A42" s="21">
        <f t="shared" ca="1" si="0"/>
        <v>45348</v>
      </c>
      <c r="B42" vm="121">
        <f ca="1"/>
        <v>45351</v>
      </c>
      <c r="C42" vm="122">
        <f ca="1"/>
        <v>292.27999999999997</v>
      </c>
      <c r="D42" vm="123">
        <f ca="1"/>
        <v>3601848</v>
      </c>
      <c r="E42">
        <f t="shared" ca="1" si="1"/>
        <v>1052748133.4399999</v>
      </c>
      <c r="F42">
        <f ca="1">SUM($E$2:E42)/SUM($D$2:D42)</f>
        <v>292.83961342771505</v>
      </c>
      <c r="G42">
        <f ca="1">_xlfn.STDEV.P($C$2:C42)</f>
        <v>3.8195281126042797</v>
      </c>
      <c r="H42">
        <f t="shared" ca="1" si="2"/>
        <v>296.65914154031935</v>
      </c>
      <c r="I42">
        <f t="shared" ca="1" si="3"/>
        <v>289.02008531511075</v>
      </c>
      <c r="J42">
        <f t="shared" ca="1" si="12"/>
        <v>292.08299999999997</v>
      </c>
      <c r="K42">
        <f t="shared" ca="1" si="13"/>
        <v>4.0920321807655728</v>
      </c>
      <c r="L42">
        <f t="shared" ca="1" si="14"/>
        <v>300.26706436153114</v>
      </c>
      <c r="M42">
        <f t="shared" ca="1" si="15"/>
        <v>283.8989356384688</v>
      </c>
      <c r="N42">
        <f t="shared" ca="1" si="4"/>
        <v>-2.910000000000025</v>
      </c>
      <c r="O42">
        <f t="shared" ca="1" si="5"/>
        <v>0</v>
      </c>
      <c r="P42">
        <f t="shared" ca="1" si="6"/>
        <v>2.910000000000025</v>
      </c>
      <c r="Q42">
        <f t="shared" ca="1" si="10"/>
        <v>1.0505453182590661</v>
      </c>
      <c r="R42">
        <f t="shared" ca="1" si="11"/>
        <v>1.1374290724346299</v>
      </c>
      <c r="S42">
        <f t="shared" ca="1" si="8"/>
        <v>0.92361391467725373</v>
      </c>
      <c r="T42">
        <f t="shared" ca="1" si="9"/>
        <v>48.014516199432819</v>
      </c>
      <c r="U42">
        <f>70</f>
        <v>70</v>
      </c>
      <c r="V42">
        <f>30</f>
        <v>30</v>
      </c>
      <c r="W42">
        <f t="shared" ca="1" si="7"/>
        <v>293.63481978176287</v>
      </c>
      <c r="X42">
        <f t="shared" ca="1" si="17"/>
        <v>293.36345707244737</v>
      </c>
      <c r="Y42">
        <f t="shared" ca="1" si="16"/>
        <v>1.9538252530423961E-2</v>
      </c>
      <c r="Z42">
        <f t="shared" ca="1" si="18"/>
        <v>-0.22205382934628576</v>
      </c>
      <c r="AA42">
        <f t="shared" ca="1" si="19"/>
        <v>0.24159208187670972</v>
      </c>
    </row>
    <row r="43" spans="1:27" x14ac:dyDescent="0.25">
      <c r="A43" s="21">
        <f t="shared" ca="1" si="0"/>
        <v>45348</v>
      </c>
      <c r="B43" vm="124">
        <f ca="1"/>
        <v>45352</v>
      </c>
      <c r="C43" vm="125">
        <f ca="1"/>
        <v>290.73</v>
      </c>
      <c r="D43" vm="126">
        <f ca="1"/>
        <v>3028869</v>
      </c>
      <c r="E43">
        <f t="shared" ca="1" si="1"/>
        <v>880583084.37</v>
      </c>
      <c r="F43">
        <f ca="1">SUM($E$2:E43)/SUM($D$2:D43)</f>
        <v>292.79169216615418</v>
      </c>
      <c r="G43">
        <f ca="1">_xlfn.STDEV.P($C$2:C43)</f>
        <v>3.7933796608961612</v>
      </c>
      <c r="H43">
        <f t="shared" ca="1" si="2"/>
        <v>296.58507182705034</v>
      </c>
      <c r="I43">
        <f t="shared" ca="1" si="3"/>
        <v>288.99831250525801</v>
      </c>
      <c r="J43">
        <f t="shared" ca="1" si="12"/>
        <v>291.71549999999996</v>
      </c>
      <c r="K43">
        <f t="shared" ca="1" si="13"/>
        <v>3.8478654027778489</v>
      </c>
      <c r="L43">
        <f t="shared" ca="1" si="14"/>
        <v>299.41123080555565</v>
      </c>
      <c r="M43">
        <f t="shared" ca="1" si="15"/>
        <v>284.01976919444428</v>
      </c>
      <c r="N43">
        <f t="shared" ca="1" si="4"/>
        <v>-1.5499999999999545</v>
      </c>
      <c r="O43">
        <f t="shared" ca="1" si="5"/>
        <v>0</v>
      </c>
      <c r="P43">
        <f t="shared" ca="1" si="6"/>
        <v>1.5499999999999545</v>
      </c>
      <c r="Q43">
        <f t="shared" ca="1" si="10"/>
        <v>0.97550636695484705</v>
      </c>
      <c r="R43">
        <f t="shared" ca="1" si="11"/>
        <v>1.1668984244035816</v>
      </c>
      <c r="S43">
        <f t="shared" ca="1" si="8"/>
        <v>0.83598224708670954</v>
      </c>
      <c r="T43">
        <f t="shared" ca="1" si="9"/>
        <v>45.533242405433121</v>
      </c>
      <c r="U43">
        <f>70</f>
        <v>70</v>
      </c>
      <c r="V43">
        <f>30</f>
        <v>30</v>
      </c>
      <c r="W43">
        <f t="shared" ca="1" si="7"/>
        <v>293.18792443072243</v>
      </c>
      <c r="X43">
        <f t="shared" ca="1" si="17"/>
        <v>293.16838617819201</v>
      </c>
      <c r="Y43">
        <f t="shared" ca="1" si="16"/>
        <v>-0.16123063244396008</v>
      </c>
      <c r="Z43">
        <f t="shared" ca="1" si="18"/>
        <v>-0.20988918996582065</v>
      </c>
      <c r="AA43">
        <f t="shared" ca="1" si="19"/>
        <v>4.8658557521860574E-2</v>
      </c>
    </row>
    <row r="44" spans="1:27" x14ac:dyDescent="0.25">
      <c r="A44" s="21">
        <f t="shared" ca="1" si="0"/>
        <v>45355</v>
      </c>
      <c r="B44" vm="127">
        <f ca="1"/>
        <v>45355</v>
      </c>
      <c r="C44" vm="128">
        <f ca="1"/>
        <v>290.94</v>
      </c>
      <c r="D44" vm="129">
        <f ca="1"/>
        <v>2832011</v>
      </c>
      <c r="E44">
        <f t="shared" ca="1" si="1"/>
        <v>823945280.34000003</v>
      </c>
      <c r="F44">
        <f ca="1">SUM($E$2:E44)/SUM($D$2:D44)</f>
        <v>292.75318149519404</v>
      </c>
      <c r="G44">
        <f ca="1">_xlfn.STDEV.P($C$2:C44)</f>
        <v>3.7643942166409898</v>
      </c>
      <c r="H44">
        <f t="shared" ca="1" si="2"/>
        <v>296.51757571183504</v>
      </c>
      <c r="I44">
        <f t="shared" ca="1" si="3"/>
        <v>288.98878727855305</v>
      </c>
      <c r="J44">
        <f t="shared" ca="1" si="12"/>
        <v>291.40999999999997</v>
      </c>
      <c r="K44">
        <f t="shared" ca="1" si="13"/>
        <v>3.6389211819467939</v>
      </c>
      <c r="L44">
        <f t="shared" ca="1" si="14"/>
        <v>298.68784236389354</v>
      </c>
      <c r="M44">
        <f t="shared" ca="1" si="15"/>
        <v>284.1321576361064</v>
      </c>
      <c r="N44">
        <f t="shared" ca="1" si="4"/>
        <v>0.20999999999997954</v>
      </c>
      <c r="O44">
        <f t="shared" ca="1" si="5"/>
        <v>0.20999999999997954</v>
      </c>
      <c r="P44">
        <f t="shared" ca="1" si="6"/>
        <v>0</v>
      </c>
      <c r="Q44">
        <f t="shared" ca="1" si="10"/>
        <v>0.92082734074378514</v>
      </c>
      <c r="R44">
        <f t="shared" ca="1" si="11"/>
        <v>1.0835485369461828</v>
      </c>
      <c r="S44">
        <f t="shared" ca="1" si="8"/>
        <v>0.84982565094776219</v>
      </c>
      <c r="T44">
        <f t="shared" ca="1" si="9"/>
        <v>45.940851264136825</v>
      </c>
      <c r="U44">
        <f>70</f>
        <v>70</v>
      </c>
      <c r="V44">
        <f>30</f>
        <v>30</v>
      </c>
      <c r="W44">
        <f t="shared" ca="1" si="7"/>
        <v>292.84208990291899</v>
      </c>
      <c r="X44">
        <f t="shared" ca="1" si="17"/>
        <v>293.00332053536295</v>
      </c>
      <c r="Y44">
        <f t="shared" ca="1" si="16"/>
        <v>-0.17338596246730731</v>
      </c>
      <c r="Z44">
        <f t="shared" ca="1" si="18"/>
        <v>-0.20258854446611799</v>
      </c>
      <c r="AA44">
        <f t="shared" ca="1" si="19"/>
        <v>2.9202581998810678E-2</v>
      </c>
    </row>
    <row r="45" spans="1:27" x14ac:dyDescent="0.25">
      <c r="A45" s="21">
        <f t="shared" ca="1" si="0"/>
        <v>45355</v>
      </c>
      <c r="B45" vm="130">
        <f ca="1"/>
        <v>45356</v>
      </c>
      <c r="C45" vm="131">
        <f ca="1"/>
        <v>292.54000000000002</v>
      </c>
      <c r="D45" vm="132">
        <f ca="1"/>
        <v>2969609</v>
      </c>
      <c r="E45">
        <f t="shared" ca="1" si="1"/>
        <v>868729416.86000001</v>
      </c>
      <c r="F45">
        <f ca="1">SUM($E$2:E45)/SUM($D$2:D45)</f>
        <v>292.74863164791458</v>
      </c>
      <c r="G45">
        <f ca="1">_xlfn.STDEV.P($C$2:C45)</f>
        <v>3.7224570053964059</v>
      </c>
      <c r="H45">
        <f t="shared" ca="1" si="2"/>
        <v>296.47108865331097</v>
      </c>
      <c r="I45">
        <f t="shared" ca="1" si="3"/>
        <v>289.02617464251819</v>
      </c>
      <c r="J45">
        <f t="shared" ca="1" si="12"/>
        <v>291.73849999999993</v>
      </c>
      <c r="K45">
        <f t="shared" ca="1" si="13"/>
        <v>3.4114224151718382</v>
      </c>
      <c r="L45">
        <f t="shared" ca="1" si="14"/>
        <v>298.56134483034361</v>
      </c>
      <c r="M45">
        <f t="shared" ca="1" si="15"/>
        <v>284.91565516965625</v>
      </c>
      <c r="N45">
        <f t="shared" ca="1" si="4"/>
        <v>1.6000000000000227</v>
      </c>
      <c r="O45">
        <f t="shared" ca="1" si="5"/>
        <v>1.6000000000000227</v>
      </c>
      <c r="P45">
        <f t="shared" ca="1" si="6"/>
        <v>0</v>
      </c>
      <c r="Q45">
        <f t="shared" ca="1" si="10"/>
        <v>0.96933967354780215</v>
      </c>
      <c r="R45">
        <f t="shared" ca="1" si="11"/>
        <v>1.0061522128785982</v>
      </c>
      <c r="S45">
        <f t="shared" ca="1" si="8"/>
        <v>0.96341255442307727</v>
      </c>
      <c r="T45">
        <f t="shared" ca="1" si="9"/>
        <v>49.068269032544883</v>
      </c>
      <c r="U45">
        <f>70</f>
        <v>70</v>
      </c>
      <c r="V45">
        <f>30</f>
        <v>30</v>
      </c>
      <c r="W45">
        <f t="shared" ca="1" si="7"/>
        <v>292.79561453323913</v>
      </c>
      <c r="X45">
        <f t="shared" ca="1" si="17"/>
        <v>292.96900049570644</v>
      </c>
      <c r="Y45">
        <f t="shared" ca="1" si="16"/>
        <v>-0.14982234966544183</v>
      </c>
      <c r="Z45">
        <f t="shared" ca="1" si="18"/>
        <v>-0.19203530550598277</v>
      </c>
      <c r="AA45">
        <f t="shared" ca="1" si="19"/>
        <v>4.2212955840540939E-2</v>
      </c>
    </row>
    <row r="46" spans="1:27" x14ac:dyDescent="0.25">
      <c r="A46" s="21">
        <f t="shared" ca="1" si="0"/>
        <v>45355</v>
      </c>
      <c r="B46" vm="133">
        <f ca="1"/>
        <v>45357</v>
      </c>
      <c r="C46" vm="134">
        <f ca="1"/>
        <v>292.93</v>
      </c>
      <c r="D46" vm="135">
        <f ca="1"/>
        <v>2347965</v>
      </c>
      <c r="E46">
        <f t="shared" ca="1" si="1"/>
        <v>687789387.45000005</v>
      </c>
      <c r="F46">
        <f ca="1">SUM($E$2:E46)/SUM($D$2:D46)</f>
        <v>292.75164142040614</v>
      </c>
      <c r="G46">
        <f ca="1">_xlfn.STDEV.P($C$2:C46)</f>
        <v>3.6809815250357216</v>
      </c>
      <c r="H46">
        <f t="shared" ca="1" si="2"/>
        <v>296.43262294544189</v>
      </c>
      <c r="I46">
        <f t="shared" ca="1" si="3"/>
        <v>289.0706598953704</v>
      </c>
      <c r="J46">
        <f t="shared" ca="1" si="12"/>
        <v>292.15249999999997</v>
      </c>
      <c r="K46">
        <f t="shared" ca="1" si="13"/>
        <v>2.9811969955566147</v>
      </c>
      <c r="L46">
        <f t="shared" ca="1" si="14"/>
        <v>298.11489399111321</v>
      </c>
      <c r="M46">
        <f t="shared" ca="1" si="15"/>
        <v>286.19010600888674</v>
      </c>
      <c r="N46">
        <f t="shared" ca="1" si="4"/>
        <v>0.38999999999998636</v>
      </c>
      <c r="O46">
        <f t="shared" ca="1" si="5"/>
        <v>0.38999999999998636</v>
      </c>
      <c r="P46">
        <f t="shared" ca="1" si="6"/>
        <v>0</v>
      </c>
      <c r="Q46">
        <f t="shared" ca="1" si="10"/>
        <v>0.92795826829438677</v>
      </c>
      <c r="R46">
        <f t="shared" ca="1" si="11"/>
        <v>0.93428419767298398</v>
      </c>
      <c r="S46">
        <f t="shared" ca="1" si="8"/>
        <v>0.99322911658534607</v>
      </c>
      <c r="T46">
        <f t="shared" ca="1" si="9"/>
        <v>49.830152907201828</v>
      </c>
      <c r="U46">
        <f>70</f>
        <v>70</v>
      </c>
      <c r="V46">
        <f>30</f>
        <v>30</v>
      </c>
      <c r="W46">
        <f t="shared" ca="1" si="7"/>
        <v>292.81628922043313</v>
      </c>
      <c r="X46">
        <f t="shared" ca="1" si="17"/>
        <v>292.96611157009858</v>
      </c>
      <c r="Y46">
        <f t="shared" ca="1" si="16"/>
        <v>-0.27483863764501848</v>
      </c>
      <c r="Z46">
        <f t="shared" ca="1" si="18"/>
        <v>-0.20859597193378993</v>
      </c>
      <c r="AA46">
        <f t="shared" ca="1" si="19"/>
        <v>-6.6242665711228554E-2</v>
      </c>
    </row>
    <row r="47" spans="1:27" x14ac:dyDescent="0.25">
      <c r="A47" s="21">
        <f t="shared" ca="1" si="0"/>
        <v>45355</v>
      </c>
      <c r="B47" vm="136">
        <f ca="1"/>
        <v>45358</v>
      </c>
      <c r="C47" vm="137">
        <f ca="1"/>
        <v>291.11</v>
      </c>
      <c r="D47" vm="138">
        <f ca="1"/>
        <v>2237730</v>
      </c>
      <c r="E47">
        <f t="shared" ca="1" si="1"/>
        <v>651425580.30000007</v>
      </c>
      <c r="F47">
        <f ca="1">SUM($E$2:E47)/SUM($D$2:D47)</f>
        <v>292.72608196415501</v>
      </c>
      <c r="G47">
        <f ca="1">_xlfn.STDEV.P($C$2:C47)</f>
        <v>3.6525914616383335</v>
      </c>
      <c r="H47">
        <f t="shared" ca="1" si="2"/>
        <v>296.37867342579335</v>
      </c>
      <c r="I47">
        <f t="shared" ca="1" si="3"/>
        <v>289.07349050251668</v>
      </c>
      <c r="J47">
        <f t="shared" ca="1" si="12"/>
        <v>292.34149999999994</v>
      </c>
      <c r="K47">
        <f t="shared" ca="1" si="13"/>
        <v>2.7718420153202672</v>
      </c>
      <c r="L47">
        <f t="shared" ca="1" si="14"/>
        <v>297.88518403064046</v>
      </c>
      <c r="M47">
        <f t="shared" ca="1" si="15"/>
        <v>286.79781596935942</v>
      </c>
      <c r="N47">
        <f t="shared" ca="1" si="4"/>
        <v>-1.8199999999999932</v>
      </c>
      <c r="O47">
        <f t="shared" ca="1" si="5"/>
        <v>0</v>
      </c>
      <c r="P47">
        <f t="shared" ca="1" si="6"/>
        <v>1.8199999999999932</v>
      </c>
      <c r="Q47">
        <f t="shared" ca="1" si="10"/>
        <v>0.86167553484478776</v>
      </c>
      <c r="R47">
        <f t="shared" ca="1" si="11"/>
        <v>0.99754961212491311</v>
      </c>
      <c r="S47">
        <f t="shared" ca="1" si="8"/>
        <v>0.86379216068191789</v>
      </c>
      <c r="T47">
        <f t="shared" ca="1" si="9"/>
        <v>46.345948808255343</v>
      </c>
      <c r="U47">
        <f>70</f>
        <v>70</v>
      </c>
      <c r="V47">
        <f>30</f>
        <v>30</v>
      </c>
      <c r="W47">
        <f t="shared" ca="1" si="7"/>
        <v>292.55378318652032</v>
      </c>
      <c r="X47">
        <f t="shared" ca="1" si="17"/>
        <v>292.82862182416534</v>
      </c>
      <c r="Y47">
        <f t="shared" ca="1" si="16"/>
        <v>-0.25478201269856982</v>
      </c>
      <c r="Z47">
        <f t="shared" ca="1" si="18"/>
        <v>-0.2178331800867459</v>
      </c>
      <c r="AA47">
        <f t="shared" ca="1" si="19"/>
        <v>-3.6948832611823912E-2</v>
      </c>
    </row>
    <row r="48" spans="1:27" x14ac:dyDescent="0.25">
      <c r="A48" s="21">
        <f t="shared" ca="1" si="0"/>
        <v>45355</v>
      </c>
      <c r="B48" vm="139">
        <f ca="1"/>
        <v>45359</v>
      </c>
      <c r="C48" vm="140">
        <f ca="1"/>
        <v>292.55</v>
      </c>
      <c r="D48" vm="141">
        <f ca="1"/>
        <v>2482336</v>
      </c>
      <c r="E48">
        <f t="shared" ca="1" si="1"/>
        <v>726207396.80000007</v>
      </c>
      <c r="F48">
        <f ca="1">SUM($E$2:E48)/SUM($D$2:D48)</f>
        <v>292.72309242495231</v>
      </c>
      <c r="G48">
        <f ca="1">_xlfn.STDEV.P($C$2:C48)</f>
        <v>3.6143384668831833</v>
      </c>
      <c r="H48">
        <f t="shared" ca="1" si="2"/>
        <v>296.33743089183548</v>
      </c>
      <c r="I48">
        <f t="shared" ca="1" si="3"/>
        <v>289.10875395806914</v>
      </c>
      <c r="J48">
        <f t="shared" ca="1" si="12"/>
        <v>292.37250000000006</v>
      </c>
      <c r="K48">
        <f t="shared" ca="1" si="13"/>
        <v>2.7704642875195189</v>
      </c>
      <c r="L48">
        <f t="shared" ca="1" si="14"/>
        <v>297.91342857503912</v>
      </c>
      <c r="M48">
        <f t="shared" ca="1" si="15"/>
        <v>286.831571424961</v>
      </c>
      <c r="N48">
        <f t="shared" ca="1" si="4"/>
        <v>1.4399999999999977</v>
      </c>
      <c r="O48">
        <f t="shared" ca="1" si="5"/>
        <v>1.4399999999999977</v>
      </c>
      <c r="P48">
        <f t="shared" ca="1" si="6"/>
        <v>0</v>
      </c>
      <c r="Q48">
        <f t="shared" ca="1" si="10"/>
        <v>0.90298442521301703</v>
      </c>
      <c r="R48">
        <f t="shared" ca="1" si="11"/>
        <v>0.92629606840170509</v>
      </c>
      <c r="S48">
        <f t="shared" ca="1" si="8"/>
        <v>0.97483348576777229</v>
      </c>
      <c r="T48">
        <f t="shared" ca="1" si="9"/>
        <v>49.362819336070672</v>
      </c>
      <c r="U48">
        <f>70</f>
        <v>70</v>
      </c>
      <c r="V48">
        <f>30</f>
        <v>30</v>
      </c>
      <c r="W48">
        <f t="shared" ca="1" si="7"/>
        <v>292.5532011578249</v>
      </c>
      <c r="X48">
        <f t="shared" ca="1" si="17"/>
        <v>292.80798317052347</v>
      </c>
      <c r="Y48">
        <f t="shared" ca="1" si="16"/>
        <v>-5.5082012951970682E-2</v>
      </c>
      <c r="Z48">
        <f t="shared" ca="1" si="18"/>
        <v>-0.18528294665979086</v>
      </c>
      <c r="AA48">
        <f t="shared" ca="1" si="19"/>
        <v>0.13020093370782018</v>
      </c>
    </row>
    <row r="49" spans="1:27" x14ac:dyDescent="0.25">
      <c r="A49" s="21">
        <f t="shared" ca="1" si="0"/>
        <v>45362</v>
      </c>
      <c r="B49" vm="142">
        <f ca="1"/>
        <v>45362</v>
      </c>
      <c r="C49" vm="143">
        <f ca="1"/>
        <v>294.82</v>
      </c>
      <c r="D49" vm="144">
        <f ca="1"/>
        <v>2893336</v>
      </c>
      <c r="E49">
        <f t="shared" ca="1" si="1"/>
        <v>853013319.51999998</v>
      </c>
      <c r="F49">
        <f ca="1">SUM($E$2:E49)/SUM($D$2:D49)</f>
        <v>292.7637832574195</v>
      </c>
      <c r="G49">
        <f ca="1">_xlfn.STDEV.P($C$2:C49)</f>
        <v>3.585214132135468</v>
      </c>
      <c r="H49">
        <f t="shared" ca="1" si="2"/>
        <v>296.348997389555</v>
      </c>
      <c r="I49">
        <f t="shared" ca="1" si="3"/>
        <v>289.17856912528401</v>
      </c>
      <c r="J49">
        <f t="shared" ca="1" si="12"/>
        <v>292.64</v>
      </c>
      <c r="K49">
        <f t="shared" ca="1" si="13"/>
        <v>2.7335017064101783</v>
      </c>
      <c r="L49">
        <f t="shared" ca="1" si="14"/>
        <v>298.10700341282035</v>
      </c>
      <c r="M49">
        <f t="shared" ca="1" si="15"/>
        <v>287.17299658717963</v>
      </c>
      <c r="N49">
        <f t="shared" ca="1" si="4"/>
        <v>2.2699999999999818</v>
      </c>
      <c r="O49">
        <f t="shared" ca="1" si="5"/>
        <v>2.2699999999999818</v>
      </c>
      <c r="P49">
        <f t="shared" ca="1" si="6"/>
        <v>0</v>
      </c>
      <c r="Q49">
        <f t="shared" ca="1" si="10"/>
        <v>1.0006283948406574</v>
      </c>
      <c r="R49">
        <f t="shared" ca="1" si="11"/>
        <v>0.86013206351586902</v>
      </c>
      <c r="S49">
        <f t="shared" ca="1" si="8"/>
        <v>1.1633427438462143</v>
      </c>
      <c r="T49">
        <f t="shared" ca="1" si="9"/>
        <v>53.775239598784204</v>
      </c>
      <c r="U49">
        <f>70</f>
        <v>70</v>
      </c>
      <c r="V49">
        <f>30</f>
        <v>30</v>
      </c>
      <c r="W49">
        <f t="shared" ca="1" si="7"/>
        <v>292.90193944123644</v>
      </c>
      <c r="X49">
        <f t="shared" ca="1" si="17"/>
        <v>292.95702145418841</v>
      </c>
      <c r="Y49">
        <f t="shared" ca="1" si="16"/>
        <v>6.1322055373125295E-2</v>
      </c>
      <c r="Z49">
        <f t="shared" ca="1" si="18"/>
        <v>-0.13596194625320765</v>
      </c>
      <c r="AA49">
        <f t="shared" ca="1" si="19"/>
        <v>0.19728400162633294</v>
      </c>
    </row>
    <row r="50" spans="1:27" x14ac:dyDescent="0.25">
      <c r="A50" s="21">
        <f t="shared" ca="1" si="0"/>
        <v>45362</v>
      </c>
      <c r="B50" vm="145">
        <f ca="1"/>
        <v>45363</v>
      </c>
      <c r="C50" vm="146">
        <f ca="1"/>
        <v>294.31</v>
      </c>
      <c r="D50" vm="147">
        <f ca="1"/>
        <v>2233076</v>
      </c>
      <c r="E50">
        <f t="shared" ca="1" si="1"/>
        <v>657216597.56000006</v>
      </c>
      <c r="F50">
        <f ca="1">SUM($E$2:E50)/SUM($D$2:D50)</f>
        <v>292.78659908010746</v>
      </c>
      <c r="G50">
        <f ca="1">_xlfn.STDEV.P($C$2:C50)</f>
        <v>3.5525197983897066</v>
      </c>
      <c r="H50">
        <f t="shared" ca="1" si="2"/>
        <v>296.33911887849717</v>
      </c>
      <c r="I50">
        <f t="shared" ca="1" si="3"/>
        <v>289.23407928171775</v>
      </c>
      <c r="J50">
        <f t="shared" ca="1" si="12"/>
        <v>292.88350000000003</v>
      </c>
      <c r="K50">
        <f t="shared" ca="1" si="13"/>
        <v>2.6490480415265734</v>
      </c>
      <c r="L50">
        <f t="shared" ca="1" si="14"/>
        <v>298.18159608305319</v>
      </c>
      <c r="M50">
        <f t="shared" ca="1" si="15"/>
        <v>287.58540391694686</v>
      </c>
      <c r="N50">
        <f t="shared" ca="1" si="4"/>
        <v>-0.50999999999999091</v>
      </c>
      <c r="O50">
        <f t="shared" ca="1" si="5"/>
        <v>0</v>
      </c>
      <c r="P50">
        <f t="shared" ca="1" si="6"/>
        <v>0.50999999999999091</v>
      </c>
      <c r="Q50">
        <f t="shared" ca="1" si="10"/>
        <v>0.92915493806632465</v>
      </c>
      <c r="R50">
        <f t="shared" ca="1" si="11"/>
        <v>0.83512263040759205</v>
      </c>
      <c r="S50">
        <f t="shared" ca="1" si="8"/>
        <v>1.1125970057988237</v>
      </c>
      <c r="T50">
        <f t="shared" ca="1" si="9"/>
        <v>52.664895516981197</v>
      </c>
      <c r="U50">
        <f>70</f>
        <v>70</v>
      </c>
      <c r="V50">
        <f>30</f>
        <v>30</v>
      </c>
      <c r="W50">
        <f t="shared" ca="1" si="7"/>
        <v>293.11856414258466</v>
      </c>
      <c r="X50">
        <f t="shared" ca="1" si="17"/>
        <v>293.05724208721153</v>
      </c>
      <c r="Y50">
        <f t="shared" ca="1" si="16"/>
        <v>-0.76156731622819507</v>
      </c>
      <c r="Z50">
        <f t="shared" ca="1" si="18"/>
        <v>-0.26108302024820518</v>
      </c>
      <c r="AA50">
        <f t="shared" ca="1" si="19"/>
        <v>-0.50048429597998989</v>
      </c>
    </row>
    <row r="51" spans="1:27" x14ac:dyDescent="0.25">
      <c r="A51" s="21">
        <f t="shared" ca="1" si="0"/>
        <v>45362</v>
      </c>
      <c r="B51" vm="148">
        <f ca="1"/>
        <v>45364</v>
      </c>
      <c r="C51" vm="149">
        <f ca="1"/>
        <v>282.86</v>
      </c>
      <c r="D51" vm="150">
        <f ca="1"/>
        <v>5441262</v>
      </c>
      <c r="E51">
        <f t="shared" ca="1" si="1"/>
        <v>1539115369.3200002</v>
      </c>
      <c r="F51">
        <f ca="1">SUM($E$2:E51)/SUM($D$2:D51)</f>
        <v>292.44207356075367</v>
      </c>
      <c r="G51">
        <f ca="1">_xlfn.STDEV.P($C$2:C51)</f>
        <v>3.799430041466743</v>
      </c>
      <c r="H51">
        <f t="shared" ca="1" si="2"/>
        <v>296.2415036022204</v>
      </c>
      <c r="I51">
        <f t="shared" ca="1" si="3"/>
        <v>288.64264351928693</v>
      </c>
      <c r="J51">
        <f t="shared" ca="1" si="12"/>
        <v>292.67099999999999</v>
      </c>
      <c r="K51">
        <f t="shared" ca="1" si="13"/>
        <v>3.2409045196153405</v>
      </c>
      <c r="L51">
        <f t="shared" ca="1" si="14"/>
        <v>299.15280903923065</v>
      </c>
      <c r="M51">
        <f t="shared" ca="1" si="15"/>
        <v>286.18919096076934</v>
      </c>
      <c r="N51">
        <f t="shared" ca="1" si="4"/>
        <v>-11.449999999999989</v>
      </c>
      <c r="O51">
        <f t="shared" ca="1" si="5"/>
        <v>0</v>
      </c>
      <c r="P51">
        <f t="shared" ca="1" si="6"/>
        <v>11.449999999999989</v>
      </c>
      <c r="Q51">
        <f t="shared" ca="1" si="10"/>
        <v>0.86278672820444435</v>
      </c>
      <c r="R51">
        <f t="shared" ca="1" si="11"/>
        <v>1.593328156807049</v>
      </c>
      <c r="S51">
        <f t="shared" ca="1" si="8"/>
        <v>0.54149970583173923</v>
      </c>
      <c r="T51">
        <f t="shared" ca="1" si="9"/>
        <v>35.128109579467292</v>
      </c>
      <c r="U51">
        <f>70</f>
        <v>70</v>
      </c>
      <c r="V51">
        <f>30</f>
        <v>30</v>
      </c>
      <c r="W51">
        <f t="shared" ca="1" si="7"/>
        <v>291.54032350526393</v>
      </c>
      <c r="X51">
        <f t="shared" ca="1" si="17"/>
        <v>292.30189082149212</v>
      </c>
      <c r="Y51">
        <f t="shared" ca="1" si="16"/>
        <v>-1.4877448316852906</v>
      </c>
      <c r="Z51">
        <f t="shared" ca="1" si="18"/>
        <v>-0.50641538253562235</v>
      </c>
      <c r="AA51">
        <f t="shared" ca="1" si="19"/>
        <v>-0.98132944914966824</v>
      </c>
    </row>
    <row r="52" spans="1:27" x14ac:dyDescent="0.25">
      <c r="A52" s="21">
        <f t="shared" ca="1" si="0"/>
        <v>45362</v>
      </c>
      <c r="B52" vm="151">
        <f ca="1"/>
        <v>45365</v>
      </c>
      <c r="C52" vm="152">
        <f ca="1"/>
        <v>281.73</v>
      </c>
      <c r="D52" vm="153">
        <f ca="1"/>
        <v>4659308</v>
      </c>
      <c r="E52">
        <f t="shared" ca="1" si="1"/>
        <v>1312666842.8400002</v>
      </c>
      <c r="F52">
        <f ca="1">SUM($E$2:E52)/SUM($D$2:D52)</f>
        <v>292.13290361404211</v>
      </c>
      <c r="G52">
        <f ca="1">_xlfn.STDEV.P($C$2:C52)</f>
        <v>4.0696562838105015</v>
      </c>
      <c r="H52">
        <f t="shared" ca="1" si="2"/>
        <v>296.20255989785261</v>
      </c>
      <c r="I52">
        <f t="shared" ca="1" si="3"/>
        <v>288.0632473302316</v>
      </c>
      <c r="J52">
        <f t="shared" ca="1" si="12"/>
        <v>292.34899999999999</v>
      </c>
      <c r="K52">
        <f t="shared" ca="1" si="13"/>
        <v>3.9532703317366802</v>
      </c>
      <c r="L52">
        <f t="shared" ca="1" si="14"/>
        <v>300.25554066347337</v>
      </c>
      <c r="M52">
        <f t="shared" ca="1" si="15"/>
        <v>284.44245933652661</v>
      </c>
      <c r="N52">
        <f t="shared" ca="1" si="4"/>
        <v>-1.1299999999999955</v>
      </c>
      <c r="O52">
        <f t="shared" ca="1" si="5"/>
        <v>0</v>
      </c>
      <c r="P52">
        <f t="shared" ca="1" si="6"/>
        <v>1.1299999999999955</v>
      </c>
      <c r="Q52">
        <f t="shared" ca="1" si="10"/>
        <v>0.80115910476126984</v>
      </c>
      <c r="R52">
        <f t="shared" ca="1" si="11"/>
        <v>1.560233288463688</v>
      </c>
      <c r="S52">
        <f t="shared" ca="1" si="8"/>
        <v>0.51348673989012605</v>
      </c>
      <c r="T52">
        <f t="shared" ca="1" si="9"/>
        <v>33.927402623124621</v>
      </c>
      <c r="U52">
        <f>70</f>
        <v>70</v>
      </c>
      <c r="V52">
        <f>30</f>
        <v>30</v>
      </c>
      <c r="W52">
        <f t="shared" ca="1" si="7"/>
        <v>290.03104296599258</v>
      </c>
      <c r="X52">
        <f t="shared" ca="1" si="17"/>
        <v>291.51878779767787</v>
      </c>
      <c r="Y52">
        <f t="shared" ca="1" si="16"/>
        <v>-2.2463426591040729</v>
      </c>
      <c r="Z52">
        <f t="shared" ca="1" si="18"/>
        <v>-0.85440083784931253</v>
      </c>
      <c r="AA52">
        <f t="shared" ca="1" si="19"/>
        <v>-1.3919418212547603</v>
      </c>
    </row>
    <row r="53" spans="1:27" x14ac:dyDescent="0.25">
      <c r="A53" s="21">
        <f t="shared" ca="1" si="0"/>
        <v>45362</v>
      </c>
      <c r="B53" vm="154">
        <f ca="1"/>
        <v>45366</v>
      </c>
      <c r="C53" vm="155">
        <f ca="1"/>
        <v>279.14</v>
      </c>
      <c r="D53" vm="156">
        <f ca="1"/>
        <v>5071675</v>
      </c>
      <c r="E53">
        <f t="shared" ca="1" si="1"/>
        <v>1415707359.5</v>
      </c>
      <c r="F53">
        <f ca="1">SUM($E$2:E53)/SUM($D$2:D53)</f>
        <v>291.73714900040574</v>
      </c>
      <c r="G53">
        <f ca="1">_xlfn.STDEV.P($C$2:C53)</f>
        <v>4.4401284156692045</v>
      </c>
      <c r="H53">
        <f t="shared" ca="1" si="2"/>
        <v>296.17727741607496</v>
      </c>
      <c r="I53">
        <f t="shared" ca="1" si="3"/>
        <v>287.29702058473652</v>
      </c>
      <c r="J53">
        <f t="shared" ca="1" si="12"/>
        <v>291.71300000000008</v>
      </c>
      <c r="K53">
        <f t="shared" ca="1" si="13"/>
        <v>4.9369030351980143</v>
      </c>
      <c r="L53">
        <f t="shared" ca="1" si="14"/>
        <v>301.58680607039611</v>
      </c>
      <c r="M53">
        <f t="shared" ca="1" si="15"/>
        <v>281.83919392960405</v>
      </c>
      <c r="N53">
        <f t="shared" ca="1" si="4"/>
        <v>-2.5900000000000318</v>
      </c>
      <c r="O53">
        <f t="shared" ca="1" si="5"/>
        <v>0</v>
      </c>
      <c r="P53">
        <f t="shared" ca="1" si="6"/>
        <v>2.5900000000000318</v>
      </c>
      <c r="Q53">
        <f t="shared" ca="1" si="10"/>
        <v>0.74393345442117909</v>
      </c>
      <c r="R53">
        <f t="shared" ca="1" si="11"/>
        <v>1.633788053573427</v>
      </c>
      <c r="S53">
        <f t="shared" ca="1" si="8"/>
        <v>0.45534269441745834</v>
      </c>
      <c r="T53">
        <f t="shared" ca="1" si="9"/>
        <v>31.287661398521806</v>
      </c>
      <c r="U53">
        <f>70</f>
        <v>70</v>
      </c>
      <c r="V53">
        <f>30</f>
        <v>30</v>
      </c>
      <c r="W53">
        <f t="shared" ca="1" si="7"/>
        <v>288.35549789430138</v>
      </c>
      <c r="X53">
        <f t="shared" ca="1" si="17"/>
        <v>290.60184055340545</v>
      </c>
      <c r="Y53">
        <f t="shared" ca="1" si="16"/>
        <v>-2.859758704413764</v>
      </c>
      <c r="Z53">
        <f t="shared" ca="1" si="18"/>
        <v>-1.2554724111622029</v>
      </c>
      <c r="AA53">
        <f t="shared" ca="1" si="19"/>
        <v>-1.6042862932515611</v>
      </c>
    </row>
    <row r="54" spans="1:27" x14ac:dyDescent="0.25">
      <c r="A54" s="21">
        <f t="shared" ca="1" si="0"/>
        <v>45369</v>
      </c>
      <c r="B54" vm="157">
        <f ca="1"/>
        <v>45369</v>
      </c>
      <c r="C54" vm="158">
        <f ca="1"/>
        <v>278.58</v>
      </c>
      <c r="D54" vm="159">
        <f ca="1"/>
        <v>3319435</v>
      </c>
      <c r="E54">
        <f t="shared" ca="1" si="1"/>
        <v>924728202.29999995</v>
      </c>
      <c r="F54">
        <f ca="1">SUM($E$2:E54)/SUM($D$2:D54)</f>
        <v>291.47997829120607</v>
      </c>
      <c r="G54">
        <f ca="1">_xlfn.STDEV.P($C$2:C54)</f>
        <v>4.7855577125502853</v>
      </c>
      <c r="H54">
        <f t="shared" ca="1" si="2"/>
        <v>296.26553600375632</v>
      </c>
      <c r="I54">
        <f t="shared" ca="1" si="3"/>
        <v>286.69442057865581</v>
      </c>
      <c r="J54">
        <f t="shared" ca="1" si="12"/>
        <v>291.04100000000005</v>
      </c>
      <c r="K54">
        <f t="shared" ca="1" si="13"/>
        <v>5.7419828777540838</v>
      </c>
      <c r="L54">
        <f t="shared" ca="1" si="14"/>
        <v>302.52496575550822</v>
      </c>
      <c r="M54">
        <f t="shared" ca="1" si="15"/>
        <v>279.55703424449189</v>
      </c>
      <c r="N54">
        <f t="shared" ca="1" si="4"/>
        <v>-0.56000000000000227</v>
      </c>
      <c r="O54">
        <f t="shared" ca="1" si="5"/>
        <v>0</v>
      </c>
      <c r="P54">
        <f t="shared" ca="1" si="6"/>
        <v>0.56000000000000227</v>
      </c>
      <c r="Q54">
        <f t="shared" ca="1" si="10"/>
        <v>0.69079535053395191</v>
      </c>
      <c r="R54">
        <f t="shared" ca="1" si="11"/>
        <v>1.557088906889611</v>
      </c>
      <c r="S54">
        <f t="shared" ca="1" si="8"/>
        <v>0.44364541258845758</v>
      </c>
      <c r="T54">
        <f t="shared" ca="1" si="9"/>
        <v>30.730912779544738</v>
      </c>
      <c r="U54">
        <f>70</f>
        <v>70</v>
      </c>
      <c r="V54">
        <f>30</f>
        <v>30</v>
      </c>
      <c r="W54">
        <f t="shared" ca="1" si="7"/>
        <v>286.85157514133198</v>
      </c>
      <c r="X54">
        <f t="shared" ca="1" si="17"/>
        <v>289.71133384574574</v>
      </c>
      <c r="Y54">
        <f t="shared" ca="1" si="16"/>
        <v>-2.9655432561018529</v>
      </c>
      <c r="Z54">
        <f t="shared" ca="1" si="18"/>
        <v>-1.5974865801501328</v>
      </c>
      <c r="AA54">
        <f t="shared" ca="1" si="19"/>
        <v>-1.3680566759517201</v>
      </c>
    </row>
    <row r="55" spans="1:27" x14ac:dyDescent="0.25">
      <c r="A55" s="21">
        <f t="shared" ca="1" si="0"/>
        <v>45369</v>
      </c>
      <c r="B55" vm="160">
        <f ca="1"/>
        <v>45370</v>
      </c>
      <c r="C55" vm="161">
        <f ca="1"/>
        <v>282.87</v>
      </c>
      <c r="D55" vm="162">
        <f ca="1"/>
        <v>4055380</v>
      </c>
      <c r="E55">
        <f t="shared" ca="1" si="1"/>
        <v>1147145340.5999999</v>
      </c>
      <c r="F55">
        <f ca="1">SUM($E$2:E55)/SUM($D$2:D55)</f>
        <v>291.27917063788192</v>
      </c>
      <c r="G55">
        <f ca="1">_xlfn.STDEV.P($C$2:C55)</f>
        <v>4.9044940338831138</v>
      </c>
      <c r="H55">
        <f t="shared" ca="1" si="2"/>
        <v>296.18366467176503</v>
      </c>
      <c r="I55">
        <f t="shared" ca="1" si="3"/>
        <v>286.37467660399881</v>
      </c>
      <c r="J55">
        <f t="shared" ca="1" si="12"/>
        <v>290.55200000000002</v>
      </c>
      <c r="K55">
        <f t="shared" ca="1" si="13"/>
        <v>6.0080249841796052</v>
      </c>
      <c r="L55">
        <f t="shared" ca="1" si="14"/>
        <v>302.56804996835922</v>
      </c>
      <c r="M55">
        <f t="shared" ca="1" si="15"/>
        <v>278.53595003164082</v>
      </c>
      <c r="N55">
        <f t="shared" ca="1" si="4"/>
        <v>4.2900000000000205</v>
      </c>
      <c r="O55">
        <f t="shared" ca="1" si="5"/>
        <v>4.2900000000000205</v>
      </c>
      <c r="P55">
        <f t="shared" ca="1" si="6"/>
        <v>0</v>
      </c>
      <c r="Q55">
        <f t="shared" ca="1" si="10"/>
        <v>0.94788139692438544</v>
      </c>
      <c r="R55">
        <f t="shared" ca="1" si="11"/>
        <v>1.4458682706832102</v>
      </c>
      <c r="S55">
        <f t="shared" ca="1" si="8"/>
        <v>0.65557936095830283</v>
      </c>
      <c r="T55">
        <f t="shared" ca="1" si="9"/>
        <v>39.598183960135394</v>
      </c>
      <c r="U55">
        <f>70</f>
        <v>70</v>
      </c>
      <c r="V55">
        <f>30</f>
        <v>30</v>
      </c>
      <c r="W55">
        <f t="shared" ca="1" si="7"/>
        <v>286.23902511958863</v>
      </c>
      <c r="X55">
        <f t="shared" ca="1" si="17"/>
        <v>289.20456837569049</v>
      </c>
      <c r="Y55">
        <f t="shared" ca="1" si="16"/>
        <v>-2.8885876398335881</v>
      </c>
      <c r="Z55">
        <f t="shared" ca="1" si="18"/>
        <v>-1.8557067920868238</v>
      </c>
      <c r="AA55">
        <f t="shared" ca="1" si="19"/>
        <v>-1.0328808477467644</v>
      </c>
    </row>
    <row r="56" spans="1:27" x14ac:dyDescent="0.25">
      <c r="A56" s="21">
        <f t="shared" ca="1" si="0"/>
        <v>45369</v>
      </c>
      <c r="B56" vm="163">
        <f ca="1"/>
        <v>45371</v>
      </c>
      <c r="C56" vm="164">
        <f ca="1"/>
        <v>284.45</v>
      </c>
      <c r="D56" vm="165">
        <f ca="1"/>
        <v>2867302</v>
      </c>
      <c r="E56">
        <f t="shared" ca="1" si="1"/>
        <v>815604053.89999998</v>
      </c>
      <c r="F56">
        <f ca="1">SUM($E$2:E56)/SUM($D$2:D56)</f>
        <v>291.1683846205205</v>
      </c>
      <c r="G56">
        <f ca="1">_xlfn.STDEV.P($C$2:C56)</f>
        <v>4.9635952379248662</v>
      </c>
      <c r="H56">
        <f t="shared" ca="1" si="2"/>
        <v>296.13197985844539</v>
      </c>
      <c r="I56">
        <f t="shared" ca="1" si="3"/>
        <v>286.20478938259561</v>
      </c>
      <c r="J56">
        <f t="shared" ca="1" si="12"/>
        <v>290.07900000000006</v>
      </c>
      <c r="K56">
        <f t="shared" ca="1" si="13"/>
        <v>6.1014000981655645</v>
      </c>
      <c r="L56">
        <f t="shared" ca="1" si="14"/>
        <v>302.28180019633118</v>
      </c>
      <c r="M56">
        <f t="shared" ca="1" si="15"/>
        <v>277.87619980366895</v>
      </c>
      <c r="N56">
        <f t="shared" ca="1" si="4"/>
        <v>1.5799999999999841</v>
      </c>
      <c r="O56">
        <f t="shared" ca="1" si="5"/>
        <v>1.5799999999999841</v>
      </c>
      <c r="P56">
        <f t="shared" ca="1" si="6"/>
        <v>0</v>
      </c>
      <c r="Q56">
        <f t="shared" ca="1" si="10"/>
        <v>0.99303272571549961</v>
      </c>
      <c r="R56">
        <f t="shared" ca="1" si="11"/>
        <v>1.3425919656344096</v>
      </c>
      <c r="S56">
        <f t="shared" ca="1" si="8"/>
        <v>0.73963851351238041</v>
      </c>
      <c r="T56">
        <f t="shared" ca="1" si="9"/>
        <v>42.51679344687701</v>
      </c>
      <c r="U56">
        <f>70</f>
        <v>70</v>
      </c>
      <c r="V56">
        <f>30</f>
        <v>30</v>
      </c>
      <c r="W56">
        <f t="shared" ca="1" si="7"/>
        <v>285.96379048580576</v>
      </c>
      <c r="X56">
        <f t="shared" ca="1" si="17"/>
        <v>288.85237812563935</v>
      </c>
      <c r="Y56">
        <f t="shared" ca="1" si="16"/>
        <v>-2.8687667138133293</v>
      </c>
      <c r="Z56">
        <f t="shared" ca="1" si="18"/>
        <v>-2.0583187764321251</v>
      </c>
      <c r="AA56">
        <f t="shared" ca="1" si="19"/>
        <v>-0.81044793738120413</v>
      </c>
    </row>
    <row r="57" spans="1:27" x14ac:dyDescent="0.25">
      <c r="A57" s="21">
        <f t="shared" ca="1" si="0"/>
        <v>45369</v>
      </c>
      <c r="B57" vm="166">
        <f ca="1"/>
        <v>45372</v>
      </c>
      <c r="C57" vm="167">
        <f ca="1"/>
        <v>283.52999999999997</v>
      </c>
      <c r="D57" vm="168">
        <f ca="1"/>
        <v>3653332</v>
      </c>
      <c r="E57">
        <f t="shared" ca="1" si="1"/>
        <v>1035829221.9599999</v>
      </c>
      <c r="F57">
        <f ca="1">SUM($E$2:E57)/SUM($D$2:D57)</f>
        <v>291.01369932913701</v>
      </c>
      <c r="G57">
        <f ca="1">_xlfn.STDEV.P($C$2:C57)</f>
        <v>5.0416539818247141</v>
      </c>
      <c r="H57">
        <f t="shared" ca="1" si="2"/>
        <v>296.05535331096172</v>
      </c>
      <c r="I57">
        <f t="shared" ca="1" si="3"/>
        <v>285.9720453473123</v>
      </c>
      <c r="J57">
        <f t="shared" ca="1" si="12"/>
        <v>289.45950000000005</v>
      </c>
      <c r="K57">
        <f t="shared" ca="1" si="13"/>
        <v>6.1061276168848817</v>
      </c>
      <c r="L57">
        <f t="shared" ca="1" si="14"/>
        <v>301.67175523376983</v>
      </c>
      <c r="M57">
        <f t="shared" ca="1" si="15"/>
        <v>277.24724476623027</v>
      </c>
      <c r="N57">
        <f t="shared" ca="1" si="4"/>
        <v>-0.92000000000001592</v>
      </c>
      <c r="O57">
        <f t="shared" ca="1" si="5"/>
        <v>0</v>
      </c>
      <c r="P57">
        <f t="shared" ca="1" si="6"/>
        <v>0.92000000000001592</v>
      </c>
      <c r="Q57">
        <f t="shared" ca="1" si="10"/>
        <v>0.92210181673582103</v>
      </c>
      <c r="R57">
        <f t="shared" ca="1" si="11"/>
        <v>1.312406825231953</v>
      </c>
      <c r="S57">
        <f t="shared" ca="1" si="8"/>
        <v>0.70260364317508794</v>
      </c>
      <c r="T57">
        <f t="shared" ca="1" si="9"/>
        <v>41.266424278573886</v>
      </c>
      <c r="U57">
        <f>70</f>
        <v>70</v>
      </c>
      <c r="V57">
        <f>30</f>
        <v>30</v>
      </c>
      <c r="W57">
        <f t="shared" ca="1" si="7"/>
        <v>285.58936118029715</v>
      </c>
      <c r="X57">
        <f t="shared" ca="1" si="17"/>
        <v>288.45812789411048</v>
      </c>
      <c r="Y57">
        <f t="shared" ca="1" si="16"/>
        <v>-2.892339871902152</v>
      </c>
      <c r="Z57">
        <f t="shared" ca="1" si="18"/>
        <v>-2.2251229955261307</v>
      </c>
      <c r="AA57">
        <f t="shared" ca="1" si="19"/>
        <v>-0.66721687637602134</v>
      </c>
    </row>
    <row r="58" spans="1:27" x14ac:dyDescent="0.25">
      <c r="A58" s="21">
        <f t="shared" ca="1" si="0"/>
        <v>45369</v>
      </c>
      <c r="B58" vm="169">
        <f ca="1"/>
        <v>45373</v>
      </c>
      <c r="C58" vm="170">
        <f ca="1"/>
        <v>282.63</v>
      </c>
      <c r="D58" vm="171">
        <f ca="1"/>
        <v>2556320</v>
      </c>
      <c r="E58">
        <f t="shared" ca="1" si="1"/>
        <v>722492721.60000002</v>
      </c>
      <c r="F58">
        <f ca="1">SUM($E$2:E58)/SUM($D$2:D58)</f>
        <v>290.8965611532887</v>
      </c>
      <c r="G58">
        <f ca="1">_xlfn.STDEV.P($C$2:C58)</f>
        <v>5.1378963962180313</v>
      </c>
      <c r="H58">
        <f t="shared" ca="1" si="2"/>
        <v>296.03445754950673</v>
      </c>
      <c r="I58">
        <f t="shared" ca="1" si="3"/>
        <v>285.75866475707068</v>
      </c>
      <c r="J58">
        <f t="shared" ca="1" si="12"/>
        <v>288.70349999999996</v>
      </c>
      <c r="K58">
        <f t="shared" ca="1" si="13"/>
        <v>5.959910167991322</v>
      </c>
      <c r="L58">
        <f t="shared" ca="1" si="14"/>
        <v>300.62332033598261</v>
      </c>
      <c r="M58">
        <f t="shared" ca="1" si="15"/>
        <v>276.78367966401731</v>
      </c>
      <c r="N58">
        <f t="shared" ca="1" si="4"/>
        <v>-0.89999999999997726</v>
      </c>
      <c r="O58">
        <f t="shared" ca="1" si="5"/>
        <v>0</v>
      </c>
      <c r="P58">
        <f t="shared" ca="1" si="6"/>
        <v>0.89999999999997726</v>
      </c>
      <c r="Q58">
        <f t="shared" ca="1" si="10"/>
        <v>0.85623740125469094</v>
      </c>
      <c r="R58">
        <f t="shared" ca="1" si="11"/>
        <v>1.2829491948582403</v>
      </c>
      <c r="S58">
        <f t="shared" ca="1" si="8"/>
        <v>0.66739774629134951</v>
      </c>
      <c r="T58">
        <f t="shared" ca="1" si="9"/>
        <v>40.0263073268382</v>
      </c>
      <c r="U58">
        <f>70</f>
        <v>70</v>
      </c>
      <c r="V58">
        <f>30</f>
        <v>30</v>
      </c>
      <c r="W58">
        <f t="shared" ca="1" si="7"/>
        <v>285.1340748448668</v>
      </c>
      <c r="X58">
        <f t="shared" ca="1" si="17"/>
        <v>288.02641471676895</v>
      </c>
      <c r="Y58">
        <f t="shared" ca="1" si="16"/>
        <v>-3.1977337721494905</v>
      </c>
      <c r="Z58">
        <f t="shared" ca="1" si="18"/>
        <v>-2.419645150850803</v>
      </c>
      <c r="AA58">
        <f t="shared" ca="1" si="19"/>
        <v>-0.7780886212986875</v>
      </c>
    </row>
    <row r="59" spans="1:27" x14ac:dyDescent="0.25">
      <c r="A59" s="21">
        <f t="shared" ca="1" si="0"/>
        <v>45376</v>
      </c>
      <c r="B59" vm="172">
        <f ca="1"/>
        <v>45376</v>
      </c>
      <c r="C59" vm="173">
        <f ca="1"/>
        <v>278.62</v>
      </c>
      <c r="D59" vm="174">
        <f ca="1"/>
        <v>2985467</v>
      </c>
      <c r="E59">
        <f t="shared" ca="1" si="1"/>
        <v>831810815.53999996</v>
      </c>
      <c r="F59">
        <f ca="1">SUM($E$2:E59)/SUM($D$2:D59)</f>
        <v>290.69945188417296</v>
      </c>
      <c r="G59">
        <f ca="1">_xlfn.STDEV.P($C$2:C59)</f>
        <v>5.364909761395726</v>
      </c>
      <c r="H59">
        <f t="shared" ca="1" si="2"/>
        <v>296.06436164556868</v>
      </c>
      <c r="I59">
        <f t="shared" ca="1" si="3"/>
        <v>285.33454212277724</v>
      </c>
      <c r="J59">
        <f t="shared" ca="1" si="12"/>
        <v>287.77850000000001</v>
      </c>
      <c r="K59">
        <f t="shared" ca="1" si="13"/>
        <v>6.0202161833888379</v>
      </c>
      <c r="L59">
        <f t="shared" ca="1" si="14"/>
        <v>299.81893236677769</v>
      </c>
      <c r="M59">
        <f t="shared" ca="1" si="15"/>
        <v>275.73806763322233</v>
      </c>
      <c r="N59">
        <f t="shared" ca="1" si="4"/>
        <v>-4.0099999999999909</v>
      </c>
      <c r="O59">
        <f t="shared" ca="1" si="5"/>
        <v>0</v>
      </c>
      <c r="P59">
        <f t="shared" ca="1" si="6"/>
        <v>4.0099999999999909</v>
      </c>
      <c r="Q59">
        <f t="shared" ca="1" si="10"/>
        <v>0.79507758687935592</v>
      </c>
      <c r="R59">
        <f t="shared" ca="1" si="11"/>
        <v>1.4777385380826511</v>
      </c>
      <c r="S59">
        <f t="shared" ca="1" si="8"/>
        <v>0.53803671379577067</v>
      </c>
      <c r="T59">
        <f t="shared" ca="1" si="9"/>
        <v>34.98204620018025</v>
      </c>
      <c r="U59">
        <f>70</f>
        <v>70</v>
      </c>
      <c r="V59">
        <f>30</f>
        <v>30</v>
      </c>
      <c r="W59">
        <f t="shared" ca="1" si="7"/>
        <v>284.13190948411807</v>
      </c>
      <c r="X59">
        <f t="shared" ca="1" si="17"/>
        <v>287.32964325626756</v>
      </c>
      <c r="Y59">
        <f t="shared" ca="1" si="16"/>
        <v>-3.4005610869056682</v>
      </c>
      <c r="Z59">
        <f t="shared" ca="1" si="18"/>
        <v>-2.6158283380617764</v>
      </c>
      <c r="AA59">
        <f t="shared" ca="1" si="19"/>
        <v>-0.78473274884389177</v>
      </c>
    </row>
    <row r="60" spans="1:27" x14ac:dyDescent="0.25">
      <c r="A60" s="21">
        <f t="shared" ca="1" si="0"/>
        <v>45376</v>
      </c>
      <c r="B60" vm="175">
        <f ca="1"/>
        <v>45377</v>
      </c>
      <c r="C60" vm="173">
        <f ca="1"/>
        <v>278.62</v>
      </c>
      <c r="D60" vm="176">
        <f ca="1"/>
        <v>2572061</v>
      </c>
      <c r="E60">
        <f t="shared" ca="1" si="1"/>
        <v>716627635.82000005</v>
      </c>
      <c r="F60">
        <f ca="1">SUM($E$2:E60)/SUM($D$2:D60)</f>
        <v>290.53464310469479</v>
      </c>
      <c r="G60">
        <f ca="1">_xlfn.STDEV.P($C$2:C60)</f>
        <v>5.5669642697519821</v>
      </c>
      <c r="H60">
        <f t="shared" ca="1" si="2"/>
        <v>296.10160737444676</v>
      </c>
      <c r="I60">
        <f t="shared" ca="1" si="3"/>
        <v>284.96767883494283</v>
      </c>
      <c r="J60">
        <f t="shared" ca="1" si="12"/>
        <v>287.0215</v>
      </c>
      <c r="K60">
        <f t="shared" ca="1" si="13"/>
        <v>6.178297564011765</v>
      </c>
      <c r="L60">
        <f t="shared" ca="1" si="14"/>
        <v>299.37809512802352</v>
      </c>
      <c r="M60">
        <f t="shared" ca="1" si="15"/>
        <v>274.66490487197649</v>
      </c>
      <c r="N60">
        <f t="shared" ca="1" si="4"/>
        <v>0</v>
      </c>
      <c r="O60">
        <f t="shared" ca="1" si="5"/>
        <v>0</v>
      </c>
      <c r="P60">
        <f t="shared" ca="1" si="6"/>
        <v>0</v>
      </c>
      <c r="Q60">
        <f t="shared" ca="1" si="10"/>
        <v>0.73828633067368765</v>
      </c>
      <c r="R60">
        <f t="shared" ca="1" si="11"/>
        <v>1.3721857853624617</v>
      </c>
      <c r="S60">
        <f t="shared" ca="1" si="8"/>
        <v>0.53803671379577067</v>
      </c>
      <c r="T60">
        <f t="shared" ca="1" si="9"/>
        <v>34.98204620018025</v>
      </c>
      <c r="U60">
        <f>70</f>
        <v>70</v>
      </c>
      <c r="V60">
        <f>30</f>
        <v>30</v>
      </c>
      <c r="W60">
        <f t="shared" ca="1" si="7"/>
        <v>283.28392340963836</v>
      </c>
      <c r="X60">
        <f t="shared" ca="1" si="17"/>
        <v>286.68448449654403</v>
      </c>
      <c r="Y60">
        <f t="shared" ca="1" si="16"/>
        <v>-3.2494934721203208</v>
      </c>
      <c r="Z60">
        <f t="shared" ca="1" si="18"/>
        <v>-2.7425613648734855</v>
      </c>
      <c r="AA60">
        <f t="shared" ca="1" si="19"/>
        <v>-0.50693210724683535</v>
      </c>
    </row>
    <row r="61" spans="1:27" x14ac:dyDescent="0.25">
      <c r="A61" s="21">
        <f t="shared" ca="1" si="0"/>
        <v>45376</v>
      </c>
      <c r="B61" vm="177">
        <f ca="1"/>
        <v>45378</v>
      </c>
      <c r="C61" vm="178">
        <f ca="1"/>
        <v>282.02</v>
      </c>
      <c r="D61" vm="179">
        <f ca="1"/>
        <v>2604991</v>
      </c>
      <c r="E61">
        <f t="shared" ca="1" si="1"/>
        <v>734659561.81999993</v>
      </c>
      <c r="F61">
        <f ca="1">SUM($E$2:E61)/SUM($D$2:D61)</f>
        <v>290.41858797173694</v>
      </c>
      <c r="G61">
        <f ca="1">_xlfn.STDEV.P($C$2:C61)</f>
        <v>5.6421279747390827</v>
      </c>
      <c r="H61">
        <f t="shared" ca="1" si="2"/>
        <v>296.06071594647602</v>
      </c>
      <c r="I61">
        <f t="shared" ca="1" si="3"/>
        <v>284.77645999699786</v>
      </c>
      <c r="J61">
        <f t="shared" ca="1" si="12"/>
        <v>286.363</v>
      </c>
      <c r="K61">
        <f t="shared" ca="1" si="13"/>
        <v>5.9598393655498745</v>
      </c>
      <c r="L61">
        <f t="shared" ca="1" si="14"/>
        <v>298.28267873109974</v>
      </c>
      <c r="M61">
        <f t="shared" ca="1" si="15"/>
        <v>274.44332126890026</v>
      </c>
      <c r="N61">
        <f t="shared" ca="1" si="4"/>
        <v>3.3999999999999773</v>
      </c>
      <c r="O61">
        <f t="shared" ca="1" si="5"/>
        <v>3.3999999999999773</v>
      </c>
      <c r="P61">
        <f t="shared" ca="1" si="6"/>
        <v>0</v>
      </c>
      <c r="Q61">
        <f t="shared" ca="1" si="10"/>
        <v>0.92840873562556558</v>
      </c>
      <c r="R61">
        <f t="shared" ca="1" si="11"/>
        <v>1.2741725149794287</v>
      </c>
      <c r="S61">
        <f t="shared" ca="1" si="8"/>
        <v>0.72863660509939232</v>
      </c>
      <c r="T61">
        <f t="shared" ca="1" si="9"/>
        <v>42.150941554167623</v>
      </c>
      <c r="U61">
        <f>70</f>
        <v>70</v>
      </c>
      <c r="V61">
        <f>30</f>
        <v>30</v>
      </c>
      <c r="W61">
        <f t="shared" ca="1" si="7"/>
        <v>283.08947365430936</v>
      </c>
      <c r="X61">
        <f t="shared" ca="1" si="17"/>
        <v>286.33896712642968</v>
      </c>
      <c r="Y61">
        <f t="shared" ca="1" si="16"/>
        <v>-3.0996884352130678</v>
      </c>
      <c r="Z61">
        <f t="shared" ca="1" si="18"/>
        <v>-2.8139867789414019</v>
      </c>
      <c r="AA61">
        <f t="shared" ca="1" si="19"/>
        <v>-0.28570165627166588</v>
      </c>
    </row>
    <row r="62" spans="1:27" x14ac:dyDescent="0.25">
      <c r="A62" s="21">
        <f t="shared" ca="1" si="0"/>
        <v>45376</v>
      </c>
      <c r="B62" vm="180">
        <f ca="1"/>
        <v>45379</v>
      </c>
      <c r="C62" vm="181">
        <f ca="1"/>
        <v>281.95</v>
      </c>
      <c r="D62" vm="182">
        <f ca="1"/>
        <v>3454073</v>
      </c>
      <c r="E62">
        <f t="shared" ca="1" si="1"/>
        <v>973875882.3499999</v>
      </c>
      <c r="F62">
        <f ca="1">SUM($E$2:E62)/SUM($D$2:D62)</f>
        <v>290.26825460003124</v>
      </c>
      <c r="G62">
        <f ca="1">_xlfn.STDEV.P($C$2:C62)</f>
        <v>5.7118269263758172</v>
      </c>
      <c r="H62">
        <f t="shared" ca="1" si="2"/>
        <v>295.98008152640705</v>
      </c>
      <c r="I62">
        <f t="shared" ca="1" si="3"/>
        <v>284.55642767365543</v>
      </c>
      <c r="J62">
        <f t="shared" ca="1" si="12"/>
        <v>285.84649999999999</v>
      </c>
      <c r="K62">
        <f t="shared" ca="1" si="13"/>
        <v>5.8669558815274501</v>
      </c>
      <c r="L62">
        <f t="shared" ca="1" si="14"/>
        <v>297.58041176305488</v>
      </c>
      <c r="M62">
        <f t="shared" ca="1" si="15"/>
        <v>274.1125882369451</v>
      </c>
      <c r="N62">
        <f t="shared" ca="1" si="4"/>
        <v>-6.9999999999993179E-2</v>
      </c>
      <c r="O62">
        <f t="shared" ca="1" si="5"/>
        <v>0</v>
      </c>
      <c r="P62">
        <f t="shared" ca="1" si="6"/>
        <v>6.9999999999993179E-2</v>
      </c>
      <c r="Q62">
        <f t="shared" ca="1" si="10"/>
        <v>0.86209382593802519</v>
      </c>
      <c r="R62">
        <f t="shared" ca="1" si="11"/>
        <v>1.1881601924808975</v>
      </c>
      <c r="S62">
        <f t="shared" ca="1" si="8"/>
        <v>0.72557036617929394</v>
      </c>
      <c r="T62">
        <f t="shared" ca="1" si="9"/>
        <v>42.048147117050348</v>
      </c>
      <c r="U62">
        <f>70</f>
        <v>70</v>
      </c>
      <c r="V62">
        <f>30</f>
        <v>30</v>
      </c>
      <c r="W62">
        <f t="shared" ca="1" si="7"/>
        <v>282.91417001518482</v>
      </c>
      <c r="X62">
        <f t="shared" ca="1" si="17"/>
        <v>286.01385845039789</v>
      </c>
      <c r="Y62">
        <f t="shared" ca="1" si="16"/>
        <v>-3.0850014298274004</v>
      </c>
      <c r="Z62">
        <f t="shared" ca="1" si="18"/>
        <v>-2.8681897091186017</v>
      </c>
      <c r="AA62">
        <f t="shared" ca="1" si="19"/>
        <v>-0.21681172070879873</v>
      </c>
    </row>
    <row r="63" spans="1:27" x14ac:dyDescent="0.25">
      <c r="A63" s="21">
        <f t="shared" ca="1" si="0"/>
        <v>45383</v>
      </c>
      <c r="B63" vm="183">
        <f ca="1"/>
        <v>45383</v>
      </c>
      <c r="C63" vm="184">
        <f ca="1"/>
        <v>280.22000000000003</v>
      </c>
      <c r="D63" vm="185">
        <f ca="1"/>
        <v>2408799</v>
      </c>
      <c r="E63">
        <f t="shared" ca="1" si="1"/>
        <v>674993655.78000009</v>
      </c>
      <c r="F63">
        <f ca="1">SUM($E$2:E63)/SUM($D$2:D63)</f>
        <v>290.14538042736029</v>
      </c>
      <c r="G63">
        <f ca="1">_xlfn.STDEV.P($C$2:C63)</f>
        <v>5.8209958347180057</v>
      </c>
      <c r="H63">
        <f t="shared" ca="1" si="2"/>
        <v>295.96637626207831</v>
      </c>
      <c r="I63">
        <f t="shared" ca="1" si="3"/>
        <v>284.32438459264228</v>
      </c>
      <c r="J63">
        <f t="shared" ca="1" si="12"/>
        <v>285.32100000000003</v>
      </c>
      <c r="K63">
        <f t="shared" ca="1" si="13"/>
        <v>5.8772002822683165</v>
      </c>
      <c r="L63">
        <f t="shared" ca="1" si="14"/>
        <v>297.07540056453666</v>
      </c>
      <c r="M63">
        <f t="shared" ca="1" si="15"/>
        <v>273.56659943546339</v>
      </c>
      <c r="N63">
        <f t="shared" ca="1" si="4"/>
        <v>-1.7299999999999613</v>
      </c>
      <c r="O63">
        <f t="shared" ca="1" si="5"/>
        <v>0</v>
      </c>
      <c r="P63">
        <f t="shared" ca="1" si="6"/>
        <v>1.7299999999999613</v>
      </c>
      <c r="Q63">
        <f t="shared" ca="1" si="10"/>
        <v>0.80051569551388047</v>
      </c>
      <c r="R63">
        <f t="shared" ca="1" si="11"/>
        <v>1.2268630358751165</v>
      </c>
      <c r="S63">
        <f t="shared" ca="1" si="8"/>
        <v>0.6524898640726231</v>
      </c>
      <c r="T63">
        <f t="shared" ca="1" si="9"/>
        <v>39.485256657764751</v>
      </c>
      <c r="U63">
        <f>70</f>
        <v>70</v>
      </c>
      <c r="V63">
        <f>30</f>
        <v>30</v>
      </c>
      <c r="W63">
        <f t="shared" ca="1" si="7"/>
        <v>282.49968232054101</v>
      </c>
      <c r="X63">
        <f t="shared" ca="1" si="17"/>
        <v>285.58468375036841</v>
      </c>
      <c r="Y63">
        <f t="shared" ca="1" si="16"/>
        <v>-3.2361725631596983</v>
      </c>
      <c r="Z63">
        <f t="shared" ca="1" si="18"/>
        <v>-2.9417862799268213</v>
      </c>
      <c r="AA63">
        <f t="shared" ca="1" si="19"/>
        <v>-0.29438628323287697</v>
      </c>
    </row>
    <row r="64" spans="1:27" x14ac:dyDescent="0.25">
      <c r="A64" s="21">
        <f t="shared" ca="1" si="0"/>
        <v>45383</v>
      </c>
      <c r="B64" vm="186">
        <f ca="1"/>
        <v>45384</v>
      </c>
      <c r="C64" vm="187">
        <f ca="1"/>
        <v>277.74</v>
      </c>
      <c r="D64" vm="188">
        <f ca="1"/>
        <v>2907899</v>
      </c>
      <c r="E64">
        <f t="shared" ca="1" si="1"/>
        <v>807639868.25999999</v>
      </c>
      <c r="F64">
        <f ca="1">SUM($E$2:E64)/SUM($D$2:D64)</f>
        <v>289.96491476828601</v>
      </c>
      <c r="G64">
        <f ca="1">_xlfn.STDEV.P($C$2:C64)</f>
        <v>5.9959900432405195</v>
      </c>
      <c r="H64">
        <f t="shared" ca="1" si="2"/>
        <v>295.96090481152652</v>
      </c>
      <c r="I64">
        <f t="shared" ca="1" si="3"/>
        <v>283.9689247250455</v>
      </c>
      <c r="J64">
        <f t="shared" ca="1" si="12"/>
        <v>284.66099999999994</v>
      </c>
      <c r="K64">
        <f t="shared" ca="1" si="13"/>
        <v>5.953656903644668</v>
      </c>
      <c r="L64">
        <f t="shared" ca="1" si="14"/>
        <v>296.56831380728926</v>
      </c>
      <c r="M64">
        <f t="shared" ca="1" si="15"/>
        <v>272.75368619271063</v>
      </c>
      <c r="N64">
        <f t="shared" ca="1" si="4"/>
        <v>-2.4800000000000182</v>
      </c>
      <c r="O64">
        <f t="shared" ca="1" si="5"/>
        <v>0</v>
      </c>
      <c r="P64">
        <f t="shared" ca="1" si="6"/>
        <v>2.4800000000000182</v>
      </c>
      <c r="Q64">
        <f t="shared" ca="1" si="10"/>
        <v>0.74333600297717461</v>
      </c>
      <c r="R64">
        <f t="shared" ca="1" si="11"/>
        <v>1.3163728190268951</v>
      </c>
      <c r="S64">
        <f t="shared" ca="1" si="8"/>
        <v>0.56468501341942956</v>
      </c>
      <c r="T64">
        <f t="shared" ca="1" si="9"/>
        <v>36.089373169452095</v>
      </c>
      <c r="U64">
        <f>70</f>
        <v>70</v>
      </c>
      <c r="V64">
        <f>30</f>
        <v>30</v>
      </c>
      <c r="W64">
        <f t="shared" ca="1" si="7"/>
        <v>281.76742350199623</v>
      </c>
      <c r="X64">
        <f t="shared" ca="1" si="17"/>
        <v>285.00359606515593</v>
      </c>
      <c r="Y64">
        <f t="shared" ca="1" si="16"/>
        <v>-3.4932306013754442</v>
      </c>
      <c r="Z64">
        <f t="shared" ca="1" si="18"/>
        <v>-3.0520751442165457</v>
      </c>
      <c r="AA64">
        <f t="shared" ca="1" si="19"/>
        <v>-0.44115545715889848</v>
      </c>
    </row>
    <row r="65" spans="1:27" x14ac:dyDescent="0.25">
      <c r="A65" s="21">
        <f t="shared" ca="1" si="0"/>
        <v>45383</v>
      </c>
      <c r="B65" vm="189">
        <f ca="1"/>
        <v>45385</v>
      </c>
      <c r="C65" vm="190">
        <f ca="1"/>
        <v>275.54000000000002</v>
      </c>
      <c r="D65" vm="191">
        <f ca="1"/>
        <v>2747979</v>
      </c>
      <c r="E65">
        <f t="shared" ca="1" si="1"/>
        <v>757178133.66000009</v>
      </c>
      <c r="F65">
        <f ca="1">SUM($E$2:E65)/SUM($D$2:D65)</f>
        <v>289.76929979001346</v>
      </c>
      <c r="G65">
        <f ca="1">_xlfn.STDEV.P($C$2:C65)</f>
        <v>6.2297396614946914</v>
      </c>
      <c r="H65">
        <f t="shared" ca="1" si="2"/>
        <v>295.99903945150817</v>
      </c>
      <c r="I65">
        <f t="shared" ca="1" si="3"/>
        <v>283.53956012851876</v>
      </c>
      <c r="J65">
        <f t="shared" ca="1" si="12"/>
        <v>283.81099999999992</v>
      </c>
      <c r="K65">
        <f t="shared" ca="1" si="13"/>
        <v>5.9830399771705567</v>
      </c>
      <c r="L65">
        <f t="shared" ca="1" si="14"/>
        <v>295.77707995434105</v>
      </c>
      <c r="M65">
        <f t="shared" ca="1" si="15"/>
        <v>271.8449200456588</v>
      </c>
      <c r="N65">
        <f t="shared" ca="1" si="4"/>
        <v>-2.1999999999999886</v>
      </c>
      <c r="O65">
        <f t="shared" ca="1" si="5"/>
        <v>0</v>
      </c>
      <c r="P65">
        <f t="shared" ca="1" si="6"/>
        <v>2.1999999999999886</v>
      </c>
      <c r="Q65">
        <f t="shared" ca="1" si="10"/>
        <v>0.69024057419309071</v>
      </c>
      <c r="R65">
        <f t="shared" ca="1" si="11"/>
        <v>1.3794890462392588</v>
      </c>
      <c r="S65">
        <f t="shared" ca="1" si="8"/>
        <v>0.50035959044025291</v>
      </c>
      <c r="T65">
        <f t="shared" ca="1" si="9"/>
        <v>33.349311300328452</v>
      </c>
      <c r="U65">
        <f>70</f>
        <v>70</v>
      </c>
      <c r="V65">
        <f>30</f>
        <v>30</v>
      </c>
      <c r="W65">
        <f t="shared" ca="1" si="7"/>
        <v>280.80935834784299</v>
      </c>
      <c r="X65">
        <f t="shared" ca="1" si="17"/>
        <v>284.30258894921843</v>
      </c>
      <c r="Y65">
        <f t="shared" ca="1" si="16"/>
        <v>-4.0895782882809613</v>
      </c>
      <c r="Z65">
        <f t="shared" ca="1" si="18"/>
        <v>-3.2595757730294292</v>
      </c>
      <c r="AA65">
        <f t="shared" ca="1" si="19"/>
        <v>-0.83000251525153201</v>
      </c>
    </row>
    <row r="66" spans="1:27" x14ac:dyDescent="0.25">
      <c r="A66" s="21">
        <f t="shared" ca="1" si="0"/>
        <v>45383</v>
      </c>
      <c r="B66" vm="192">
        <f ca="1"/>
        <v>45386</v>
      </c>
      <c r="C66" vm="193">
        <f ca="1"/>
        <v>270.08999999999997</v>
      </c>
      <c r="D66" vm="194">
        <f ca="1"/>
        <v>4095144</v>
      </c>
      <c r="E66">
        <f t="shared" ca="1" si="1"/>
        <v>1106057442.9599998</v>
      </c>
      <c r="F66">
        <f ca="1">SUM($E$2:E66)/SUM($D$2:D66)</f>
        <v>289.37947889566328</v>
      </c>
      <c r="G66">
        <f ca="1">_xlfn.STDEV.P($C$2:C66)</f>
        <v>6.6595237742205189</v>
      </c>
      <c r="H66">
        <f t="shared" ca="1" si="2"/>
        <v>296.03900266988381</v>
      </c>
      <c r="I66">
        <f t="shared" ca="1" si="3"/>
        <v>282.71995512144275</v>
      </c>
      <c r="J66">
        <f t="shared" ca="1" si="12"/>
        <v>282.66899999999998</v>
      </c>
      <c r="K66">
        <f t="shared" ca="1" si="13"/>
        <v>6.3210799377121791</v>
      </c>
      <c r="L66">
        <f t="shared" ca="1" si="14"/>
        <v>295.31115987542432</v>
      </c>
      <c r="M66">
        <f t="shared" ca="1" si="15"/>
        <v>270.02684012457564</v>
      </c>
      <c r="N66">
        <f t="shared" ca="1" si="4"/>
        <v>-5.4500000000000455</v>
      </c>
      <c r="O66">
        <f t="shared" ca="1" si="5"/>
        <v>0</v>
      </c>
      <c r="P66">
        <f t="shared" ca="1" si="6"/>
        <v>5.4500000000000455</v>
      </c>
      <c r="Q66">
        <f t="shared" ca="1" si="10"/>
        <v>0.64093767603644136</v>
      </c>
      <c r="R66">
        <f t="shared" ca="1" si="11"/>
        <v>1.6702398286507436</v>
      </c>
      <c r="S66">
        <f t="shared" ca="1" si="8"/>
        <v>0.3837399067139986</v>
      </c>
      <c r="T66">
        <f t="shared" ca="1" si="9"/>
        <v>27.73208352610682</v>
      </c>
      <c r="U66">
        <f>70</f>
        <v>70</v>
      </c>
      <c r="V66">
        <f>30</f>
        <v>30</v>
      </c>
      <c r="W66">
        <f t="shared" ca="1" si="7"/>
        <v>279.16022629432871</v>
      </c>
      <c r="X66">
        <f t="shared" ca="1" si="17"/>
        <v>283.24980458260967</v>
      </c>
      <c r="Y66">
        <f t="shared" ca="1" si="16"/>
        <v>-4.7814224499501847</v>
      </c>
      <c r="Z66">
        <f t="shared" ca="1" si="18"/>
        <v>-3.5639451084135807</v>
      </c>
      <c r="AA66">
        <f t="shared" ca="1" si="19"/>
        <v>-1.217477341536604</v>
      </c>
    </row>
    <row r="67" spans="1:27" x14ac:dyDescent="0.25">
      <c r="A67" s="21">
        <f t="shared" ref="A67:A130" ca="1" si="20">B67 - WEEKDAY(B67, 2) + 1</f>
        <v>45383</v>
      </c>
      <c r="B67" vm="195">
        <f ca="1"/>
        <v>45387</v>
      </c>
      <c r="C67" vm="196">
        <f ca="1"/>
        <v>266.69</v>
      </c>
      <c r="D67" vm="197">
        <f ca="1"/>
        <v>6816035</v>
      </c>
      <c r="E67">
        <f t="shared" ref="E67:E130" ca="1" si="21">C67*D67</f>
        <v>1817768374.1500001</v>
      </c>
      <c r="F67">
        <f ca="1">SUM($E$2:E67)/SUM($D$2:D67)</f>
        <v>288.65528485666675</v>
      </c>
      <c r="G67">
        <f ca="1">_xlfn.STDEV.P($C$2:C67)</f>
        <v>7.1917486133442567</v>
      </c>
      <c r="H67">
        <f t="shared" ref="H67:H130" ca="1" si="22">F67 + G67</f>
        <v>295.84703347001101</v>
      </c>
      <c r="I67">
        <f t="shared" ref="I67:I130" ca="1" si="23">F67 - G67</f>
        <v>281.46353624332249</v>
      </c>
      <c r="J67">
        <f t="shared" ca="1" si="12"/>
        <v>281.44799999999998</v>
      </c>
      <c r="K67">
        <f t="shared" ca="1" si="13"/>
        <v>6.9336180272184338</v>
      </c>
      <c r="L67">
        <f t="shared" ca="1" si="14"/>
        <v>295.31523605443687</v>
      </c>
      <c r="M67">
        <f t="shared" ca="1" si="15"/>
        <v>267.58076394556309</v>
      </c>
      <c r="N67">
        <f t="shared" ca="1" si="4"/>
        <v>-3.3999999999999773</v>
      </c>
      <c r="O67">
        <f t="shared" ca="1" si="5"/>
        <v>0</v>
      </c>
      <c r="P67">
        <f t="shared" ca="1" si="6"/>
        <v>3.3999999999999773</v>
      </c>
      <c r="Q67">
        <f t="shared" ca="1" si="10"/>
        <v>0.59515641346240977</v>
      </c>
      <c r="R67">
        <f t="shared" ca="1" si="11"/>
        <v>1.7937941266042603</v>
      </c>
      <c r="S67">
        <f t="shared" ca="1" si="8"/>
        <v>0.33178635420613728</v>
      </c>
      <c r="T67">
        <f t="shared" ca="1" si="9"/>
        <v>24.912881346040777</v>
      </c>
      <c r="U67">
        <f>70</f>
        <v>70</v>
      </c>
      <c r="V67">
        <f>30</f>
        <v>30</v>
      </c>
      <c r="W67">
        <f t="shared" ca="1" si="7"/>
        <v>277.24172994135506</v>
      </c>
      <c r="X67">
        <f t="shared" ca="1" si="17"/>
        <v>282.02315239130525</v>
      </c>
      <c r="Y67">
        <f t="shared" ca="1" si="16"/>
        <v>-5.1995747424265915</v>
      </c>
      <c r="Z67">
        <f t="shared" ca="1" si="18"/>
        <v>-3.891071035216183</v>
      </c>
      <c r="AA67">
        <f t="shared" ca="1" si="19"/>
        <v>-1.3085037072104084</v>
      </c>
    </row>
    <row r="68" spans="1:27" x14ac:dyDescent="0.25">
      <c r="A68" s="21">
        <f t="shared" ca="1" si="20"/>
        <v>45390</v>
      </c>
      <c r="B68" vm="198">
        <f ca="1"/>
        <v>45390</v>
      </c>
      <c r="C68" vm="199">
        <f ca="1"/>
        <v>267.56</v>
      </c>
      <c r="D68" vm="200">
        <f ca="1"/>
        <v>3753206</v>
      </c>
      <c r="E68">
        <f t="shared" ca="1" si="21"/>
        <v>1004207797.36</v>
      </c>
      <c r="F68">
        <f ca="1">SUM($E$2:E68)/SUM($D$2:D68)</f>
        <v>288.29093392730647</v>
      </c>
      <c r="G68">
        <f ca="1">_xlfn.STDEV.P($C$2:C68)</f>
        <v>7.6198951731919786</v>
      </c>
      <c r="H68">
        <f t="shared" ca="1" si="22"/>
        <v>295.91082910049846</v>
      </c>
      <c r="I68">
        <f t="shared" ca="1" si="23"/>
        <v>280.67103875411448</v>
      </c>
      <c r="J68">
        <f t="shared" ca="1" si="12"/>
        <v>280.19849999999997</v>
      </c>
      <c r="K68">
        <f t="shared" ca="1" si="13"/>
        <v>7.0778500117955083</v>
      </c>
      <c r="L68">
        <f t="shared" ca="1" si="14"/>
        <v>294.35420002359098</v>
      </c>
      <c r="M68">
        <f t="shared" ca="1" si="15"/>
        <v>266.04279997640896</v>
      </c>
      <c r="N68">
        <f t="shared" ref="N68:N131" ca="1" si="24">C68-C67</f>
        <v>0.87000000000000455</v>
      </c>
      <c r="O68">
        <f t="shared" ref="O68:O131" ca="1" si="25">MAX(N68,0)</f>
        <v>0.87000000000000455</v>
      </c>
      <c r="P68">
        <f t="shared" ref="P68:P131" ca="1" si="26">MAX(-N68,0)</f>
        <v>0</v>
      </c>
      <c r="Q68">
        <f t="shared" ca="1" si="10"/>
        <v>0.61478809821509517</v>
      </c>
      <c r="R68">
        <f t="shared" ca="1" si="11"/>
        <v>1.6656659747039559</v>
      </c>
      <c r="S68">
        <f t="shared" ca="1" si="8"/>
        <v>0.3690944688501327</v>
      </c>
      <c r="T68">
        <f t="shared" ca="1" si="9"/>
        <v>26.959021254400781</v>
      </c>
      <c r="U68">
        <f>70</f>
        <v>70</v>
      </c>
      <c r="V68">
        <f>30</f>
        <v>30</v>
      </c>
      <c r="W68">
        <f t="shared" ca="1" si="7"/>
        <v>275.75223302730046</v>
      </c>
      <c r="X68">
        <f t="shared" ca="1" si="17"/>
        <v>280.95180776972705</v>
      </c>
      <c r="Y68">
        <f t="shared" ca="1" si="16"/>
        <v>-5.3179610143961895</v>
      </c>
      <c r="Z68">
        <f t="shared" ca="1" si="18"/>
        <v>-4.1764490310521847</v>
      </c>
      <c r="AA68">
        <f t="shared" ca="1" si="19"/>
        <v>-1.1415119833440048</v>
      </c>
    </row>
    <row r="69" spans="1:27" x14ac:dyDescent="0.25">
      <c r="A69" s="21">
        <f t="shared" ca="1" si="20"/>
        <v>45390</v>
      </c>
      <c r="B69" vm="201">
        <f ca="1"/>
        <v>45391</v>
      </c>
      <c r="C69" vm="202">
        <f ca="1"/>
        <v>269.44</v>
      </c>
      <c r="D69" vm="203">
        <f ca="1"/>
        <v>3935142</v>
      </c>
      <c r="E69">
        <f t="shared" ca="1" si="21"/>
        <v>1060284660.48</v>
      </c>
      <c r="F69">
        <f ca="1">SUM($E$2:E69)/SUM($D$2:D69)</f>
        <v>287.95563580310449</v>
      </c>
      <c r="G69">
        <f ca="1">_xlfn.STDEV.P($C$2:C69)</f>
        <v>7.9298441200420893</v>
      </c>
      <c r="H69">
        <f t="shared" ca="1" si="22"/>
        <v>295.88547992314659</v>
      </c>
      <c r="I69">
        <f t="shared" ca="1" si="23"/>
        <v>280.02579168306238</v>
      </c>
      <c r="J69">
        <f t="shared" ca="1" si="12"/>
        <v>278.92949999999996</v>
      </c>
      <c r="K69">
        <f t="shared" ca="1" si="13"/>
        <v>6.5757652946654295</v>
      </c>
      <c r="L69">
        <f t="shared" ca="1" si="14"/>
        <v>292.08103058933079</v>
      </c>
      <c r="M69">
        <f t="shared" ca="1" si="15"/>
        <v>265.77796941066913</v>
      </c>
      <c r="N69">
        <f t="shared" ca="1" si="24"/>
        <v>1.8799999999999955</v>
      </c>
      <c r="O69">
        <f t="shared" ca="1" si="25"/>
        <v>1.8799999999999955</v>
      </c>
      <c r="P69">
        <f t="shared" ca="1" si="26"/>
        <v>0</v>
      </c>
      <c r="Q69">
        <f t="shared" ca="1" si="10"/>
        <v>0.70516037691401656</v>
      </c>
      <c r="R69">
        <f t="shared" ca="1" si="11"/>
        <v>1.5466898336536734</v>
      </c>
      <c r="S69">
        <f t="shared" ca="1" si="8"/>
        <v>0.45591582848142798</v>
      </c>
      <c r="T69">
        <f t="shared" ca="1" si="9"/>
        <v>31.314710614621475</v>
      </c>
      <c r="U69">
        <f>70</f>
        <v>70</v>
      </c>
      <c r="V69">
        <f>30</f>
        <v>30</v>
      </c>
      <c r="W69">
        <f t="shared" ca="1" si="7"/>
        <v>274.78112025386963</v>
      </c>
      <c r="X69">
        <f t="shared" ca="1" si="17"/>
        <v>280.09908126826582</v>
      </c>
      <c r="Y69">
        <f t="shared" ca="1" si="16"/>
        <v>-5.4115347486812766</v>
      </c>
      <c r="Z69">
        <f t="shared" ca="1" si="18"/>
        <v>-4.4234661745780031</v>
      </c>
      <c r="AA69">
        <f t="shared" ca="1" si="19"/>
        <v>-0.98806857410327353</v>
      </c>
    </row>
    <row r="70" spans="1:27" x14ac:dyDescent="0.25">
      <c r="A70" s="21">
        <f t="shared" ca="1" si="20"/>
        <v>45390</v>
      </c>
      <c r="B70" vm="204">
        <f ca="1"/>
        <v>45392</v>
      </c>
      <c r="C70" vm="205">
        <f ca="1"/>
        <v>268.67</v>
      </c>
      <c r="D70" vm="206">
        <f ca="1"/>
        <v>3817458</v>
      </c>
      <c r="E70">
        <f t="shared" ca="1" si="21"/>
        <v>1025636440.86</v>
      </c>
      <c r="F70">
        <f ca="1">SUM($E$2:E70)/SUM($D$2:D70)</f>
        <v>287.62850888058665</v>
      </c>
      <c r="G70">
        <f ca="1">_xlfn.STDEV.P($C$2:C70)</f>
        <v>8.2363581202535237</v>
      </c>
      <c r="H70">
        <f t="shared" ca="1" si="22"/>
        <v>295.86486700084015</v>
      </c>
      <c r="I70">
        <f t="shared" ca="1" si="23"/>
        <v>279.39215076033315</v>
      </c>
      <c r="J70">
        <f t="shared" ca="1" si="12"/>
        <v>277.64749999999992</v>
      </c>
      <c r="K70">
        <f t="shared" ca="1" si="13"/>
        <v>5.8821772508592689</v>
      </c>
      <c r="L70">
        <f t="shared" ca="1" si="14"/>
        <v>289.41185450171844</v>
      </c>
      <c r="M70">
        <f t="shared" ca="1" si="15"/>
        <v>265.88314549828141</v>
      </c>
      <c r="N70">
        <f t="shared" ca="1" si="24"/>
        <v>-0.76999999999998181</v>
      </c>
      <c r="O70">
        <f t="shared" ca="1" si="25"/>
        <v>0</v>
      </c>
      <c r="P70">
        <f t="shared" ca="1" si="26"/>
        <v>0.76999999999998181</v>
      </c>
      <c r="Q70">
        <f t="shared" ca="1" si="10"/>
        <v>0.6547917785630154</v>
      </c>
      <c r="R70">
        <f t="shared" ca="1" si="11"/>
        <v>1.4912119883926955</v>
      </c>
      <c r="S70">
        <f t="shared" ca="1" si="8"/>
        <v>0.43910039864203576</v>
      </c>
      <c r="T70">
        <f t="shared" ca="1" si="9"/>
        <v>30.512144882760069</v>
      </c>
      <c r="U70">
        <f>70</f>
        <v>70</v>
      </c>
      <c r="V70">
        <f>30</f>
        <v>30</v>
      </c>
      <c r="W70">
        <f t="shared" ca="1" si="7"/>
        <v>273.84094790712044</v>
      </c>
      <c r="X70">
        <f t="shared" ca="1" si="17"/>
        <v>279.25248265580171</v>
      </c>
      <c r="Y70">
        <f t="shared" ca="1" si="16"/>
        <v>-5.4271661957857305</v>
      </c>
      <c r="Z70">
        <f t="shared" ca="1" si="18"/>
        <v>-4.6242061788195485</v>
      </c>
      <c r="AA70">
        <f t="shared" ca="1" si="19"/>
        <v>-0.80296001696618191</v>
      </c>
    </row>
    <row r="71" spans="1:27" x14ac:dyDescent="0.25">
      <c r="A71" s="21">
        <f t="shared" ca="1" si="20"/>
        <v>45390</v>
      </c>
      <c r="B71" vm="207">
        <f ca="1"/>
        <v>45393</v>
      </c>
      <c r="C71" vm="208">
        <f ca="1"/>
        <v>268.62</v>
      </c>
      <c r="D71" vm="209">
        <f ca="1"/>
        <v>2519172</v>
      </c>
      <c r="E71">
        <f t="shared" ca="1" si="21"/>
        <v>676699982.63999999</v>
      </c>
      <c r="F71">
        <f ca="1">SUM($E$2:E71)/SUM($D$2:D71)</f>
        <v>287.41809244432676</v>
      </c>
      <c r="G71">
        <f ca="1">_xlfn.STDEV.P($C$2:C71)</f>
        <v>8.5155226917838522</v>
      </c>
      <c r="H71">
        <f t="shared" ca="1" si="22"/>
        <v>295.93361513611063</v>
      </c>
      <c r="I71">
        <f t="shared" ca="1" si="23"/>
        <v>278.90256975254289</v>
      </c>
      <c r="J71">
        <f t="shared" ca="1" si="12"/>
        <v>276.93549999999993</v>
      </c>
      <c r="K71">
        <f t="shared" ca="1" si="13"/>
        <v>6.0766459541947606</v>
      </c>
      <c r="L71">
        <f t="shared" ca="1" si="14"/>
        <v>289.08879190838945</v>
      </c>
      <c r="M71">
        <f t="shared" ca="1" si="15"/>
        <v>264.78220809161041</v>
      </c>
      <c r="N71">
        <f t="shared" ca="1" si="24"/>
        <v>-5.0000000000011369E-2</v>
      </c>
      <c r="O71">
        <f t="shared" ca="1" si="25"/>
        <v>0</v>
      </c>
      <c r="P71">
        <f t="shared" ca="1" si="26"/>
        <v>5.0000000000011369E-2</v>
      </c>
      <c r="Q71">
        <f t="shared" ca="1" si="10"/>
        <v>0.60802093723708572</v>
      </c>
      <c r="R71">
        <f t="shared" ca="1" si="11"/>
        <v>1.3882682749360753</v>
      </c>
      <c r="S71">
        <f t="shared" ca="1" si="8"/>
        <v>0.43797077856949723</v>
      </c>
      <c r="T71">
        <f t="shared" ca="1" si="9"/>
        <v>30.457557628896566</v>
      </c>
      <c r="U71">
        <f>70</f>
        <v>70</v>
      </c>
      <c r="V71">
        <f>30</f>
        <v>30</v>
      </c>
      <c r="W71">
        <f t="shared" ca="1" si="7"/>
        <v>273.03772515217884</v>
      </c>
      <c r="X71">
        <f t="shared" ca="1" si="17"/>
        <v>278.46489134796457</v>
      </c>
      <c r="Y71">
        <f t="shared" ca="1" si="16"/>
        <v>-5.4756846663571537</v>
      </c>
      <c r="Z71">
        <f t="shared" ca="1" si="18"/>
        <v>-4.7945018763270699</v>
      </c>
      <c r="AA71">
        <f t="shared" ca="1" si="19"/>
        <v>-0.68118279003008375</v>
      </c>
    </row>
    <row r="72" spans="1:27" x14ac:dyDescent="0.25">
      <c r="A72" s="21">
        <f t="shared" ca="1" si="20"/>
        <v>45390</v>
      </c>
      <c r="B72" vm="210">
        <f ca="1"/>
        <v>45394</v>
      </c>
      <c r="C72" vm="211">
        <f ca="1"/>
        <v>267.39</v>
      </c>
      <c r="D72" vm="212">
        <f ca="1"/>
        <v>2708630</v>
      </c>
      <c r="E72">
        <f t="shared" ca="1" si="21"/>
        <v>724260575.69999993</v>
      </c>
      <c r="F72">
        <f ca="1">SUM($E$2:E72)/SUM($D$2:D72)</f>
        <v>287.18251995780224</v>
      </c>
      <c r="G72">
        <f ca="1">_xlfn.STDEV.P($C$2:C72)</f>
        <v>8.8089360816106961</v>
      </c>
      <c r="H72">
        <f t="shared" ca="1" si="22"/>
        <v>295.99145603941292</v>
      </c>
      <c r="I72">
        <f t="shared" ca="1" si="23"/>
        <v>278.37358387619156</v>
      </c>
      <c r="J72">
        <f t="shared" ca="1" si="12"/>
        <v>276.21849999999995</v>
      </c>
      <c r="K72">
        <f t="shared" ca="1" si="13"/>
        <v>6.3222017109298401</v>
      </c>
      <c r="L72">
        <f t="shared" ca="1" si="14"/>
        <v>288.86290342185964</v>
      </c>
      <c r="M72">
        <f t="shared" ca="1" si="15"/>
        <v>263.57409657814026</v>
      </c>
      <c r="N72">
        <f t="shared" ca="1" si="24"/>
        <v>-1.2300000000000182</v>
      </c>
      <c r="O72">
        <f t="shared" ca="1" si="25"/>
        <v>0</v>
      </c>
      <c r="P72">
        <f t="shared" ca="1" si="26"/>
        <v>1.2300000000000182</v>
      </c>
      <c r="Q72">
        <f t="shared" ca="1" si="10"/>
        <v>0.56459087029157962</v>
      </c>
      <c r="R72">
        <f t="shared" ca="1" si="11"/>
        <v>1.3769633981549283</v>
      </c>
      <c r="S72">
        <f t="shared" ca="1" si="8"/>
        <v>0.41002605519370167</v>
      </c>
      <c r="T72">
        <f t="shared" ca="1" si="9"/>
        <v>29.079324717682226</v>
      </c>
      <c r="U72">
        <f>70</f>
        <v>70</v>
      </c>
      <c r="V72">
        <f>30</f>
        <v>30</v>
      </c>
      <c r="W72">
        <f t="shared" ca="1" si="7"/>
        <v>272.16884435953597</v>
      </c>
      <c r="X72">
        <f t="shared" ca="1" si="17"/>
        <v>277.64452902589312</v>
      </c>
      <c r="Y72">
        <f t="shared" ca="1" si="16"/>
        <v>-5.5438323607779694</v>
      </c>
      <c r="Z72">
        <f t="shared" ca="1" si="18"/>
        <v>-4.9443679732172505</v>
      </c>
      <c r="AA72">
        <f t="shared" ca="1" si="19"/>
        <v>-0.59946438756071885</v>
      </c>
    </row>
    <row r="73" spans="1:27" x14ac:dyDescent="0.25">
      <c r="A73" s="21">
        <f t="shared" ca="1" si="20"/>
        <v>45397</v>
      </c>
      <c r="B73" vm="213">
        <f ca="1"/>
        <v>45397</v>
      </c>
      <c r="C73" vm="214">
        <f ca="1"/>
        <v>266.23</v>
      </c>
      <c r="D73" vm="215">
        <f ca="1"/>
        <v>3686881</v>
      </c>
      <c r="E73">
        <f t="shared" ca="1" si="21"/>
        <v>981558328.63000011</v>
      </c>
      <c r="F73">
        <f ca="1">SUM($E$2:E73)/SUM($D$2:D73)</f>
        <v>286.85235373091353</v>
      </c>
      <c r="G73">
        <f ca="1">_xlfn.STDEV.P($C$2:C73)</f>
        <v>9.1130363978268676</v>
      </c>
      <c r="H73">
        <f t="shared" ca="1" si="22"/>
        <v>295.96539012874041</v>
      </c>
      <c r="I73">
        <f t="shared" ca="1" si="23"/>
        <v>277.73931733308666</v>
      </c>
      <c r="J73">
        <f t="shared" ca="1" si="12"/>
        <v>275.57299999999998</v>
      </c>
      <c r="K73">
        <f t="shared" ca="1" si="13"/>
        <v>6.6583387370155682</v>
      </c>
      <c r="L73">
        <f t="shared" ca="1" si="14"/>
        <v>288.88967747403109</v>
      </c>
      <c r="M73">
        <f t="shared" ca="1" si="15"/>
        <v>262.25632252596887</v>
      </c>
      <c r="N73">
        <f t="shared" ca="1" si="24"/>
        <v>-1.1599999999999682</v>
      </c>
      <c r="O73">
        <f t="shared" ca="1" si="25"/>
        <v>0</v>
      </c>
      <c r="P73">
        <f t="shared" ca="1" si="26"/>
        <v>1.1599999999999682</v>
      </c>
      <c r="Q73">
        <f t="shared" ca="1" si="10"/>
        <v>0.52426295098503828</v>
      </c>
      <c r="R73">
        <f t="shared" ca="1" si="11"/>
        <v>1.3614660125724309</v>
      </c>
      <c r="S73">
        <f t="shared" ca="1" si="8"/>
        <v>0.38507237503084352</v>
      </c>
      <c r="T73">
        <f t="shared" ca="1" si="9"/>
        <v>27.801606758799778</v>
      </c>
      <c r="U73">
        <f>70</f>
        <v>70</v>
      </c>
      <c r="V73">
        <f>30</f>
        <v>30</v>
      </c>
      <c r="W73">
        <f t="shared" ca="1" si="7"/>
        <v>271.25517599653045</v>
      </c>
      <c r="X73">
        <f t="shared" ca="1" si="17"/>
        <v>276.79900835730842</v>
      </c>
      <c r="Y73">
        <f t="shared" ca="1" si="16"/>
        <v>-5.5978645161130771</v>
      </c>
      <c r="Z73">
        <f t="shared" ca="1" si="18"/>
        <v>-5.0750672817964162</v>
      </c>
      <c r="AA73">
        <f t="shared" ca="1" si="19"/>
        <v>-0.52279723431666092</v>
      </c>
    </row>
    <row r="74" spans="1:27" x14ac:dyDescent="0.25">
      <c r="A74" s="21">
        <f t="shared" ca="1" si="20"/>
        <v>45397</v>
      </c>
      <c r="B74" vm="216">
        <f ca="1"/>
        <v>45398</v>
      </c>
      <c r="C74" vm="217">
        <f ca="1"/>
        <v>265.43</v>
      </c>
      <c r="D74" vm="218">
        <f ca="1"/>
        <v>2912853</v>
      </c>
      <c r="E74">
        <f t="shared" ca="1" si="21"/>
        <v>773158571.78999996</v>
      </c>
      <c r="F74">
        <f ca="1">SUM($E$2:E74)/SUM($D$2:D74)</f>
        <v>286.58893321304333</v>
      </c>
      <c r="G74">
        <f ca="1">_xlfn.STDEV.P($C$2:C74)</f>
        <v>9.4151918956134573</v>
      </c>
      <c r="H74">
        <f t="shared" ca="1" si="22"/>
        <v>296.00412510865681</v>
      </c>
      <c r="I74">
        <f t="shared" ca="1" si="23"/>
        <v>277.17374131742986</v>
      </c>
      <c r="J74">
        <f t="shared" ca="1" si="12"/>
        <v>274.91549999999995</v>
      </c>
      <c r="K74">
        <f t="shared" ca="1" si="13"/>
        <v>6.9869362874016874</v>
      </c>
      <c r="L74">
        <f t="shared" ca="1" si="14"/>
        <v>288.8893725748033</v>
      </c>
      <c r="M74">
        <f t="shared" ca="1" si="15"/>
        <v>260.9416274251966</v>
      </c>
      <c r="N74">
        <f t="shared" ca="1" si="24"/>
        <v>-0.80000000000001137</v>
      </c>
      <c r="O74">
        <f t="shared" ca="1" si="25"/>
        <v>0</v>
      </c>
      <c r="P74">
        <f t="shared" ca="1" si="26"/>
        <v>0.80000000000001137</v>
      </c>
      <c r="Q74">
        <f t="shared" ca="1" si="10"/>
        <v>0.48681559734324986</v>
      </c>
      <c r="R74">
        <f t="shared" ca="1" si="11"/>
        <v>1.3213612973886868</v>
      </c>
      <c r="S74">
        <f t="shared" ca="1" si="8"/>
        <v>0.36841974886453027</v>
      </c>
      <c r="T74">
        <f t="shared" ca="1" si="9"/>
        <v>26.923007298764347</v>
      </c>
      <c r="U74">
        <f>70</f>
        <v>70</v>
      </c>
      <c r="V74">
        <f>30</f>
        <v>30</v>
      </c>
      <c r="W74">
        <f t="shared" ca="1" si="7"/>
        <v>270.35899507398733</v>
      </c>
      <c r="X74">
        <f t="shared" ca="1" si="17"/>
        <v>275.95685959010041</v>
      </c>
      <c r="Y74">
        <f t="shared" ca="1" si="16"/>
        <v>-5.2158342729583751</v>
      </c>
      <c r="Z74">
        <f t="shared" ca="1" si="18"/>
        <v>-5.1032206800288078</v>
      </c>
      <c r="AA74">
        <f t="shared" ca="1" si="19"/>
        <v>-0.1126135929295673</v>
      </c>
    </row>
    <row r="75" spans="1:27" x14ac:dyDescent="0.25">
      <c r="A75" s="21">
        <f t="shared" ca="1" si="20"/>
        <v>45397</v>
      </c>
      <c r="B75" vm="219">
        <f ca="1"/>
        <v>45399</v>
      </c>
      <c r="C75" vm="220">
        <f ca="1"/>
        <v>269.95</v>
      </c>
      <c r="D75" vm="221">
        <f ca="1"/>
        <v>3383099</v>
      </c>
      <c r="E75">
        <f t="shared" ca="1" si="21"/>
        <v>913267575.04999995</v>
      </c>
      <c r="F75">
        <f ca="1">SUM($E$2:E75)/SUM($D$2:D75)</f>
        <v>286.35464768681078</v>
      </c>
      <c r="G75">
        <f ca="1">_xlfn.STDEV.P($C$2:C75)</f>
        <v>9.5672213223727454</v>
      </c>
      <c r="H75">
        <f t="shared" ca="1" si="22"/>
        <v>295.92186900918352</v>
      </c>
      <c r="I75">
        <f t="shared" ca="1" si="23"/>
        <v>276.78742636443803</v>
      </c>
      <c r="J75">
        <f t="shared" ca="1" si="12"/>
        <v>274.26949999999999</v>
      </c>
      <c r="K75">
        <f t="shared" ca="1" si="13"/>
        <v>6.8077513676845225</v>
      </c>
      <c r="L75">
        <f t="shared" ca="1" si="14"/>
        <v>287.88500273536903</v>
      </c>
      <c r="M75">
        <f t="shared" ca="1" si="15"/>
        <v>260.65399726463096</v>
      </c>
      <c r="N75">
        <f t="shared" ca="1" si="24"/>
        <v>4.5199999999999818</v>
      </c>
      <c r="O75">
        <f t="shared" ca="1" si="25"/>
        <v>4.5199999999999818</v>
      </c>
      <c r="P75">
        <f t="shared" ca="1" si="26"/>
        <v>0</v>
      </c>
      <c r="Q75">
        <f t="shared" ca="1" si="10"/>
        <v>0.77490019753301642</v>
      </c>
      <c r="R75">
        <f t="shared" ca="1" si="11"/>
        <v>1.2269783475752092</v>
      </c>
      <c r="S75">
        <f t="shared" ca="1" si="8"/>
        <v>0.63155164805018527</v>
      </c>
      <c r="T75">
        <f t="shared" ca="1" si="9"/>
        <v>38.708651902312269</v>
      </c>
      <c r="U75">
        <f>70</f>
        <v>70</v>
      </c>
      <c r="V75">
        <f>30</f>
        <v>30</v>
      </c>
      <c r="W75">
        <f t="shared" ca="1" si="7"/>
        <v>270.29607275491236</v>
      </c>
      <c r="X75">
        <f t="shared" ca="1" si="17"/>
        <v>275.51190702787073</v>
      </c>
      <c r="Y75">
        <f t="shared" ca="1" si="16"/>
        <v>-4.7749178799117544</v>
      </c>
      <c r="Z75">
        <f t="shared" ca="1" si="18"/>
        <v>-5.0375601200053977</v>
      </c>
      <c r="AA75">
        <f t="shared" ca="1" si="19"/>
        <v>0.26264224009364323</v>
      </c>
    </row>
    <row r="76" spans="1:27" x14ac:dyDescent="0.25">
      <c r="A76" s="21">
        <f t="shared" ca="1" si="20"/>
        <v>45397</v>
      </c>
      <c r="B76" vm="222">
        <f ca="1"/>
        <v>45400</v>
      </c>
      <c r="C76" vm="223">
        <f ca="1"/>
        <v>270.98</v>
      </c>
      <c r="D76" vm="224">
        <f ca="1"/>
        <v>3402674</v>
      </c>
      <c r="E76">
        <f t="shared" ca="1" si="21"/>
        <v>922056600.5200001</v>
      </c>
      <c r="F76">
        <f ca="1">SUM($E$2:E76)/SUM($D$2:D76)</f>
        <v>286.13995193987887</v>
      </c>
      <c r="G76">
        <f ca="1">_xlfn.STDEV.P($C$2:C76)</f>
        <v>9.6839682554897575</v>
      </c>
      <c r="H76">
        <f t="shared" ca="1" si="22"/>
        <v>295.8239201953686</v>
      </c>
      <c r="I76">
        <f t="shared" ca="1" si="23"/>
        <v>276.45598368438914</v>
      </c>
      <c r="J76">
        <f t="shared" ca="1" si="12"/>
        <v>273.59600000000012</v>
      </c>
      <c r="K76">
        <f t="shared" ca="1" si="13"/>
        <v>6.4017689989400139</v>
      </c>
      <c r="L76">
        <f t="shared" ca="1" si="14"/>
        <v>286.39953799788015</v>
      </c>
      <c r="M76">
        <f t="shared" ca="1" si="15"/>
        <v>260.79246200212009</v>
      </c>
      <c r="N76">
        <f t="shared" ca="1" si="24"/>
        <v>1.0300000000000296</v>
      </c>
      <c r="O76">
        <f t="shared" ca="1" si="25"/>
        <v>1.0300000000000296</v>
      </c>
      <c r="P76">
        <f t="shared" ca="1" si="26"/>
        <v>0</v>
      </c>
      <c r="Q76">
        <f t="shared" ca="1" si="10"/>
        <v>0.79312161199494591</v>
      </c>
      <c r="R76">
        <f t="shared" ca="1" si="11"/>
        <v>1.1393370370341229</v>
      </c>
      <c r="S76">
        <f t="shared" ca="1" si="8"/>
        <v>0.69612554162161588</v>
      </c>
      <c r="T76">
        <f t="shared" ca="1" si="9"/>
        <v>41.042100041490485</v>
      </c>
      <c r="U76">
        <f>70</f>
        <v>70</v>
      </c>
      <c r="V76">
        <f>30</f>
        <v>30</v>
      </c>
      <c r="W76">
        <f t="shared" ca="1" si="7"/>
        <v>270.40129233107967</v>
      </c>
      <c r="X76">
        <f t="shared" ca="1" si="17"/>
        <v>275.17621021099143</v>
      </c>
      <c r="Y76">
        <f t="shared" ca="1" si="16"/>
        <v>-4.2944857442778925</v>
      </c>
      <c r="Z76">
        <f t="shared" ca="1" si="18"/>
        <v>-4.8889452448598965</v>
      </c>
      <c r="AA76">
        <f t="shared" ca="1" si="19"/>
        <v>0.59445950058200392</v>
      </c>
    </row>
    <row r="77" spans="1:27" x14ac:dyDescent="0.25">
      <c r="A77" s="21">
        <f t="shared" ca="1" si="20"/>
        <v>45397</v>
      </c>
      <c r="B77" vm="225">
        <f ca="1"/>
        <v>45401</v>
      </c>
      <c r="C77" vm="226">
        <f ca="1"/>
        <v>271.99</v>
      </c>
      <c r="D77" vm="227">
        <f ca="1"/>
        <v>3017097</v>
      </c>
      <c r="E77">
        <f t="shared" ca="1" si="21"/>
        <v>820620213.02999997</v>
      </c>
      <c r="F77">
        <f ca="1">SUM($E$2:E77)/SUM($D$2:D77)</f>
        <v>285.96689150409293</v>
      </c>
      <c r="G77">
        <f ca="1">_xlfn.STDEV.P($C$2:C77)</f>
        <v>9.7709066427071445</v>
      </c>
      <c r="H77">
        <f t="shared" ca="1" si="22"/>
        <v>295.73779814680006</v>
      </c>
      <c r="I77">
        <f t="shared" ca="1" si="23"/>
        <v>276.1959848613858</v>
      </c>
      <c r="J77">
        <f t="shared" ca="1" si="12"/>
        <v>273.01900000000006</v>
      </c>
      <c r="K77">
        <f t="shared" ca="1" si="13"/>
        <v>5.9643969122046014</v>
      </c>
      <c r="L77">
        <f t="shared" ca="1" si="14"/>
        <v>284.94779382440925</v>
      </c>
      <c r="M77">
        <f t="shared" ca="1" si="15"/>
        <v>261.09020617559088</v>
      </c>
      <c r="N77">
        <f t="shared" ca="1" si="24"/>
        <v>1.0099999999999909</v>
      </c>
      <c r="O77">
        <f t="shared" ca="1" si="25"/>
        <v>1.0099999999999909</v>
      </c>
      <c r="P77">
        <f t="shared" ca="1" si="26"/>
        <v>0</v>
      </c>
      <c r="Q77">
        <f t="shared" ca="1" si="10"/>
        <v>0.80861292542387775</v>
      </c>
      <c r="R77">
        <f t="shared" ca="1" si="11"/>
        <v>1.0579558201031143</v>
      </c>
      <c r="S77">
        <f t="shared" ca="1" si="8"/>
        <v>0.76431634484043565</v>
      </c>
      <c r="T77">
        <f t="shared" ca="1" si="9"/>
        <v>43.320822089281293</v>
      </c>
      <c r="U77">
        <f>70</f>
        <v>70</v>
      </c>
      <c r="V77">
        <f>30</f>
        <v>30</v>
      </c>
      <c r="W77">
        <f t="shared" ca="1" si="7"/>
        <v>270.64570889552897</v>
      </c>
      <c r="X77">
        <f t="shared" ca="1" si="17"/>
        <v>274.94019463980686</v>
      </c>
      <c r="Y77">
        <f t="shared" ca="1" si="16"/>
        <v>-3.582757025541639</v>
      </c>
      <c r="Z77">
        <f t="shared" ca="1" si="18"/>
        <v>-4.6277076009962457</v>
      </c>
      <c r="AA77">
        <f t="shared" ca="1" si="19"/>
        <v>1.0449505754546067</v>
      </c>
    </row>
    <row r="78" spans="1:27" x14ac:dyDescent="0.25">
      <c r="A78" s="21">
        <f t="shared" ca="1" si="20"/>
        <v>45404</v>
      </c>
      <c r="B78" vm="228">
        <f ca="1"/>
        <v>45404</v>
      </c>
      <c r="C78" vm="229">
        <f ca="1"/>
        <v>275.58</v>
      </c>
      <c r="D78" vm="230">
        <f ca="1"/>
        <v>3129435</v>
      </c>
      <c r="E78">
        <f t="shared" ca="1" si="21"/>
        <v>862409697.29999995</v>
      </c>
      <c r="F78">
        <f ca="1">SUM($E$2:E78)/SUM($D$2:D78)</f>
        <v>285.836775611549</v>
      </c>
      <c r="G78">
        <f ca="1">_xlfn.STDEV.P($C$2:C78)</f>
        <v>9.7900472796559281</v>
      </c>
      <c r="H78">
        <f t="shared" ca="1" si="22"/>
        <v>295.62682289120494</v>
      </c>
      <c r="I78">
        <f t="shared" ca="1" si="23"/>
        <v>276.04672833189306</v>
      </c>
      <c r="J78">
        <f t="shared" ca="1" si="12"/>
        <v>272.66649999999998</v>
      </c>
      <c r="K78">
        <f t="shared" ca="1" si="13"/>
        <v>5.5611852911142288</v>
      </c>
      <c r="L78">
        <f t="shared" ca="1" si="14"/>
        <v>283.78887058222847</v>
      </c>
      <c r="M78">
        <f t="shared" ca="1" si="15"/>
        <v>261.5441294177715</v>
      </c>
      <c r="N78">
        <f t="shared" ca="1" si="24"/>
        <v>3.589999999999975</v>
      </c>
      <c r="O78">
        <f t="shared" ca="1" si="25"/>
        <v>3.589999999999975</v>
      </c>
      <c r="P78">
        <f t="shared" ca="1" si="26"/>
        <v>0</v>
      </c>
      <c r="Q78">
        <f t="shared" ca="1" si="10"/>
        <v>1.0072834307507419</v>
      </c>
      <c r="R78">
        <f t="shared" ca="1" si="11"/>
        <v>0.98238754723860622</v>
      </c>
      <c r="S78">
        <f t="shared" ca="1" si="8"/>
        <v>1.0253422222035646</v>
      </c>
      <c r="T78">
        <f t="shared" ca="1" si="9"/>
        <v>50.625628151275897</v>
      </c>
      <c r="U78">
        <f>70</f>
        <v>70</v>
      </c>
      <c r="V78">
        <f>30</f>
        <v>30</v>
      </c>
      <c r="W78">
        <f t="shared" ca="1" si="7"/>
        <v>271.40483060390915</v>
      </c>
      <c r="X78">
        <f t="shared" ca="1" si="17"/>
        <v>274.98758762945079</v>
      </c>
      <c r="Y78">
        <f t="shared" ca="1" si="16"/>
        <v>-2.880601966411632</v>
      </c>
      <c r="Z78">
        <f t="shared" ca="1" si="18"/>
        <v>-4.2782864740793229</v>
      </c>
      <c r="AA78">
        <f t="shared" ca="1" si="19"/>
        <v>1.3976845076676909</v>
      </c>
    </row>
    <row r="79" spans="1:27" x14ac:dyDescent="0.25">
      <c r="A79" s="21">
        <f t="shared" ca="1" si="20"/>
        <v>45404</v>
      </c>
      <c r="B79" vm="231">
        <f ca="1"/>
        <v>45405</v>
      </c>
      <c r="C79" vm="232">
        <f ca="1"/>
        <v>276.88</v>
      </c>
      <c r="D79" vm="233">
        <f ca="1"/>
        <v>3275678</v>
      </c>
      <c r="E79">
        <f t="shared" ca="1" si="21"/>
        <v>906969724.63999999</v>
      </c>
      <c r="F79">
        <f ca="1">SUM($E$2:E79)/SUM($D$2:D79)</f>
        <v>285.72085141093396</v>
      </c>
      <c r="G79">
        <f ca="1">_xlfn.STDEV.P($C$2:C79)</f>
        <v>9.7890695964144161</v>
      </c>
      <c r="H79">
        <f t="shared" ca="1" si="22"/>
        <v>295.5099210073484</v>
      </c>
      <c r="I79">
        <f t="shared" ca="1" si="23"/>
        <v>275.93178181451952</v>
      </c>
      <c r="J79">
        <f t="shared" ca="1" si="12"/>
        <v>272.57949999999994</v>
      </c>
      <c r="K79">
        <f t="shared" ca="1" si="13"/>
        <v>5.4761054880078284</v>
      </c>
      <c r="L79">
        <f t="shared" ca="1" si="14"/>
        <v>283.53171097601557</v>
      </c>
      <c r="M79">
        <f t="shared" ca="1" si="15"/>
        <v>261.6272890239843</v>
      </c>
      <c r="N79">
        <f t="shared" ca="1" si="24"/>
        <v>1.3000000000000114</v>
      </c>
      <c r="O79">
        <f t="shared" ca="1" si="25"/>
        <v>1.3000000000000114</v>
      </c>
      <c r="P79">
        <f t="shared" ca="1" si="26"/>
        <v>0</v>
      </c>
      <c r="Q79">
        <f t="shared" ca="1" si="10"/>
        <v>1.0281917571256898</v>
      </c>
      <c r="R79">
        <f t="shared" ca="1" si="11"/>
        <v>0.91221700815013429</v>
      </c>
      <c r="S79">
        <f t="shared" ca="1" si="8"/>
        <v>1.1271350434593828</v>
      </c>
      <c r="T79">
        <f t="shared" ca="1" si="9"/>
        <v>52.988410252802325</v>
      </c>
      <c r="U79">
        <f>70</f>
        <v>70</v>
      </c>
      <c r="V79">
        <f>30</f>
        <v>30</v>
      </c>
      <c r="W79">
        <f t="shared" ref="W79:W142" ca="1" si="27">C79*(2/(12+1)) + W78*(1-(2/(12+1)))</f>
        <v>272.24716435715391</v>
      </c>
      <c r="X79">
        <f t="shared" ca="1" si="17"/>
        <v>275.12776632356554</v>
      </c>
      <c r="Y79">
        <f t="shared" ca="1" si="16"/>
        <v>-2.3080234788720873</v>
      </c>
      <c r="Z79">
        <f t="shared" ca="1" si="18"/>
        <v>-3.884233875037876</v>
      </c>
      <c r="AA79">
        <f t="shared" ca="1" si="19"/>
        <v>1.5762103961657887</v>
      </c>
    </row>
    <row r="80" spans="1:27" x14ac:dyDescent="0.25">
      <c r="A80" s="21">
        <f t="shared" ca="1" si="20"/>
        <v>45404</v>
      </c>
      <c r="B80" vm="234">
        <f ca="1"/>
        <v>45406</v>
      </c>
      <c r="C80" vm="235">
        <f ca="1"/>
        <v>276.75</v>
      </c>
      <c r="D80" vm="236">
        <f ca="1"/>
        <v>4071571</v>
      </c>
      <c r="E80">
        <f t="shared" ca="1" si="21"/>
        <v>1126807274.25</v>
      </c>
      <c r="F80">
        <f ca="1">SUM($E$2:E80)/SUM($D$2:D80)</f>
        <v>285.57881952193372</v>
      </c>
      <c r="G80">
        <f ca="1">_xlfn.STDEV.P($C$2:C80)</f>
        <v>9.788184809508131</v>
      </c>
      <c r="H80">
        <f t="shared" ca="1" si="22"/>
        <v>295.36700433144188</v>
      </c>
      <c r="I80">
        <f t="shared" ca="1" si="23"/>
        <v>275.79063471242557</v>
      </c>
      <c r="J80">
        <f t="shared" ca="1" si="12"/>
        <v>272.48599999999999</v>
      </c>
      <c r="K80">
        <f t="shared" ca="1" si="13"/>
        <v>5.3827085727305874</v>
      </c>
      <c r="L80">
        <f t="shared" ca="1" si="14"/>
        <v>283.25141714546118</v>
      </c>
      <c r="M80">
        <f t="shared" ca="1" si="15"/>
        <v>261.7205828545388</v>
      </c>
      <c r="N80">
        <f t="shared" ca="1" si="24"/>
        <v>-0.12999999999999545</v>
      </c>
      <c r="O80">
        <f t="shared" ca="1" si="25"/>
        <v>0</v>
      </c>
      <c r="P80">
        <f t="shared" ca="1" si="26"/>
        <v>0.12999999999999545</v>
      </c>
      <c r="Q80">
        <f t="shared" ca="1" si="10"/>
        <v>0.95474948875956911</v>
      </c>
      <c r="R80">
        <f t="shared" ca="1" si="11"/>
        <v>0.85634436471083863</v>
      </c>
      <c r="S80">
        <f t="shared" ref="S80:S143" ca="1" si="28">IF(R80=0,NA(),Q80/R80)</f>
        <v>1.1149130281040138</v>
      </c>
      <c r="T80">
        <f t="shared" ref="T80:T143" ca="1" si="29">100-(100/(1+S80))</f>
        <v>52.716731765727303</v>
      </c>
      <c r="U80">
        <f>70</f>
        <v>70</v>
      </c>
      <c r="V80">
        <f>30</f>
        <v>30</v>
      </c>
      <c r="W80">
        <f t="shared" ca="1" si="27"/>
        <v>272.93990830220713</v>
      </c>
      <c r="X80">
        <f t="shared" ca="1" si="17"/>
        <v>275.24793178107922</v>
      </c>
      <c r="Y80">
        <f t="shared" ca="1" si="16"/>
        <v>-1.9248577296160647</v>
      </c>
      <c r="Z80">
        <f t="shared" ca="1" si="18"/>
        <v>-3.4923586459535141</v>
      </c>
      <c r="AA80">
        <f t="shared" ca="1" si="19"/>
        <v>1.5675009163374494</v>
      </c>
    </row>
    <row r="81" spans="1:27" x14ac:dyDescent="0.25">
      <c r="A81" s="21">
        <f t="shared" ca="1" si="20"/>
        <v>45404</v>
      </c>
      <c r="B81" vm="237">
        <f ca="1"/>
        <v>45407</v>
      </c>
      <c r="C81" vm="238">
        <f ca="1"/>
        <v>275.60000000000002</v>
      </c>
      <c r="D81" vm="239">
        <f ca="1"/>
        <v>4179755</v>
      </c>
      <c r="E81">
        <f t="shared" ca="1" si="21"/>
        <v>1151940478</v>
      </c>
      <c r="F81">
        <f ca="1">SUM($E$2:E81)/SUM($D$2:D81)</f>
        <v>285.41922491143862</v>
      </c>
      <c r="G81">
        <f ca="1">_xlfn.STDEV.P($C$2:C81)</f>
        <v>9.8006456029373386</v>
      </c>
      <c r="H81">
        <f t="shared" ca="1" si="22"/>
        <v>295.21987051437594</v>
      </c>
      <c r="I81">
        <f t="shared" ca="1" si="23"/>
        <v>275.6185793085013</v>
      </c>
      <c r="J81">
        <f t="shared" ca="1" si="12"/>
        <v>272.16500000000002</v>
      </c>
      <c r="K81">
        <f t="shared" ca="1" si="13"/>
        <v>4.9589711369236786</v>
      </c>
      <c r="L81">
        <f t="shared" ca="1" si="14"/>
        <v>282.08294227384738</v>
      </c>
      <c r="M81">
        <f t="shared" ca="1" si="15"/>
        <v>262.24705772615266</v>
      </c>
      <c r="N81">
        <f t="shared" ca="1" si="24"/>
        <v>-1.1499999999999773</v>
      </c>
      <c r="O81">
        <f t="shared" ca="1" si="25"/>
        <v>0</v>
      </c>
      <c r="P81">
        <f t="shared" ca="1" si="26"/>
        <v>1.1499999999999773</v>
      </c>
      <c r="Q81">
        <f t="shared" ref="Q81:Q144" ca="1" si="30">(Q80*13+O81)/14</f>
        <v>0.88655309670531413</v>
      </c>
      <c r="R81">
        <f t="shared" ref="R81:R144" ca="1" si="31">(R80*13+P81)/14</f>
        <v>0.87731976723149141</v>
      </c>
      <c r="S81">
        <f t="shared" ca="1" si="28"/>
        <v>1.0105244744489912</v>
      </c>
      <c r="T81">
        <f t="shared" ca="1" si="29"/>
        <v>50.261734551922721</v>
      </c>
      <c r="U81">
        <f>70</f>
        <v>70</v>
      </c>
      <c r="V81">
        <f>30</f>
        <v>30</v>
      </c>
      <c r="W81">
        <f t="shared" ca="1" si="27"/>
        <v>273.34915317879063</v>
      </c>
      <c r="X81">
        <f t="shared" ca="1" si="17"/>
        <v>275.27401090840669</v>
      </c>
      <c r="Y81">
        <f t="shared" ca="1" si="16"/>
        <v>-1.8029488636221345</v>
      </c>
      <c r="Z81">
        <f t="shared" ca="1" si="18"/>
        <v>-3.1544766894872387</v>
      </c>
      <c r="AA81">
        <f t="shared" ca="1" si="19"/>
        <v>1.3515278258651042</v>
      </c>
    </row>
    <row r="82" spans="1:27" x14ac:dyDescent="0.25">
      <c r="A82" s="21">
        <f t="shared" ca="1" si="20"/>
        <v>45404</v>
      </c>
      <c r="B82" vm="240">
        <f ca="1"/>
        <v>45408</v>
      </c>
      <c r="C82" vm="241">
        <f ca="1"/>
        <v>273.08999999999997</v>
      </c>
      <c r="D82" vm="242">
        <f ca="1"/>
        <v>3636458</v>
      </c>
      <c r="E82">
        <f t="shared" ca="1" si="21"/>
        <v>993080315.21999991</v>
      </c>
      <c r="F82">
        <f ca="1">SUM($E$2:E82)/SUM($D$2:D82)</f>
        <v>285.25002456211791</v>
      </c>
      <c r="G82">
        <f ca="1">_xlfn.STDEV.P($C$2:C82)</f>
        <v>9.84812789700411</v>
      </c>
      <c r="H82">
        <f t="shared" ca="1" si="22"/>
        <v>295.09815245912205</v>
      </c>
      <c r="I82">
        <f t="shared" ca="1" si="23"/>
        <v>275.40189666511378</v>
      </c>
      <c r="J82">
        <f t="shared" ca="1" si="12"/>
        <v>271.72199999999998</v>
      </c>
      <c r="K82">
        <f t="shared" ca="1" si="13"/>
        <v>4.4034730312381987</v>
      </c>
      <c r="L82">
        <f t="shared" ca="1" si="14"/>
        <v>280.52894606247639</v>
      </c>
      <c r="M82">
        <f t="shared" ca="1" si="15"/>
        <v>262.91505393752357</v>
      </c>
      <c r="N82">
        <f t="shared" ca="1" si="24"/>
        <v>-2.5100000000000477</v>
      </c>
      <c r="O82">
        <f t="shared" ca="1" si="25"/>
        <v>0</v>
      </c>
      <c r="P82">
        <f t="shared" ca="1" si="26"/>
        <v>2.5100000000000477</v>
      </c>
      <c r="Q82">
        <f t="shared" ca="1" si="30"/>
        <v>0.82322787551207732</v>
      </c>
      <c r="R82">
        <f t="shared" ca="1" si="31"/>
        <v>0.99393978385781689</v>
      </c>
      <c r="S82">
        <f t="shared" ca="1" si="28"/>
        <v>0.8282472327617787</v>
      </c>
      <c r="T82">
        <f t="shared" ca="1" si="29"/>
        <v>45.302802483152981</v>
      </c>
      <c r="U82">
        <f>70</f>
        <v>70</v>
      </c>
      <c r="V82">
        <f>30</f>
        <v>30</v>
      </c>
      <c r="W82">
        <f t="shared" ca="1" si="27"/>
        <v>273.30928345897667</v>
      </c>
      <c r="X82">
        <f t="shared" ca="1" si="17"/>
        <v>275.1122323225988</v>
      </c>
      <c r="Y82">
        <f t="shared" ca="1" si="16"/>
        <v>-1.6501946368334757</v>
      </c>
      <c r="Z82">
        <f t="shared" ca="1" si="18"/>
        <v>-2.8536202789564862</v>
      </c>
      <c r="AA82">
        <f t="shared" ca="1" si="19"/>
        <v>1.2034256421230105</v>
      </c>
    </row>
    <row r="83" spans="1:27" x14ac:dyDescent="0.25">
      <c r="A83" s="21">
        <f t="shared" ca="1" si="20"/>
        <v>45411</v>
      </c>
      <c r="B83" vm="243">
        <f ca="1"/>
        <v>45411</v>
      </c>
      <c r="C83" vm="244">
        <f ca="1"/>
        <v>273.55</v>
      </c>
      <c r="D83" vm="245">
        <f ca="1"/>
        <v>3187813</v>
      </c>
      <c r="E83">
        <f t="shared" ca="1" si="21"/>
        <v>872026246.1500001</v>
      </c>
      <c r="F83">
        <f ca="1">SUM($E$2:E83)/SUM($D$2:D83)</f>
        <v>285.11094191091456</v>
      </c>
      <c r="G83">
        <f ca="1">_xlfn.STDEV.P($C$2:C83)</f>
        <v>9.8844852118374842</v>
      </c>
      <c r="H83">
        <f t="shared" ca="1" si="22"/>
        <v>294.99542712275206</v>
      </c>
      <c r="I83">
        <f t="shared" ca="1" si="23"/>
        <v>275.22645669907706</v>
      </c>
      <c r="J83">
        <f t="shared" ca="1" si="12"/>
        <v>271.38850000000002</v>
      </c>
      <c r="K83">
        <f t="shared" ca="1" si="13"/>
        <v>3.9558221914699754</v>
      </c>
      <c r="L83">
        <f t="shared" ca="1" si="14"/>
        <v>279.30014438293995</v>
      </c>
      <c r="M83">
        <f t="shared" ca="1" si="15"/>
        <v>263.4768556170601</v>
      </c>
      <c r="N83">
        <f t="shared" ca="1" si="24"/>
        <v>0.46000000000003638</v>
      </c>
      <c r="O83">
        <f t="shared" ca="1" si="25"/>
        <v>0.46000000000003638</v>
      </c>
      <c r="P83">
        <f t="shared" ca="1" si="26"/>
        <v>0</v>
      </c>
      <c r="Q83">
        <f t="shared" ca="1" si="30"/>
        <v>0.79728302726121725</v>
      </c>
      <c r="R83">
        <f t="shared" ca="1" si="31"/>
        <v>0.92294408501082992</v>
      </c>
      <c r="S83">
        <f t="shared" ca="1" si="28"/>
        <v>0.86384759403042477</v>
      </c>
      <c r="T83">
        <f t="shared" ca="1" si="29"/>
        <v>46.347544552310836</v>
      </c>
      <c r="U83">
        <f>70</f>
        <v>70</v>
      </c>
      <c r="V83">
        <f>30</f>
        <v>30</v>
      </c>
      <c r="W83">
        <f t="shared" ca="1" si="27"/>
        <v>273.34631677298023</v>
      </c>
      <c r="X83">
        <f t="shared" ca="1" si="17"/>
        <v>274.99651140981371</v>
      </c>
      <c r="Y83">
        <f t="shared" ca="1" si="16"/>
        <v>-1.5523935231177575</v>
      </c>
      <c r="Z83">
        <f t="shared" ca="1" si="18"/>
        <v>-2.5933749277887408</v>
      </c>
      <c r="AA83">
        <f t="shared" ca="1" si="19"/>
        <v>1.0409814046709833</v>
      </c>
    </row>
    <row r="84" spans="1:27" x14ac:dyDescent="0.25">
      <c r="A84" s="21">
        <f t="shared" ca="1" si="20"/>
        <v>45411</v>
      </c>
      <c r="B84" vm="246">
        <f ca="1"/>
        <v>45412</v>
      </c>
      <c r="C84" vm="247">
        <f ca="1"/>
        <v>273.04000000000002</v>
      </c>
      <c r="D84" vm="248">
        <f ca="1"/>
        <v>6894367</v>
      </c>
      <c r="E84">
        <f t="shared" ca="1" si="21"/>
        <v>1882437965.6800001</v>
      </c>
      <c r="F84">
        <f ca="1">SUM($E$2:E84)/SUM($D$2:D84)</f>
        <v>284.80838667206081</v>
      </c>
      <c r="G84">
        <f ca="1">_xlfn.STDEV.P($C$2:C84)</f>
        <v>9.9253045656765586</v>
      </c>
      <c r="H84">
        <f t="shared" ca="1" si="22"/>
        <v>294.73369123773739</v>
      </c>
      <c r="I84">
        <f t="shared" ca="1" si="23"/>
        <v>274.88308210638422</v>
      </c>
      <c r="J84">
        <f t="shared" ca="1" si="12"/>
        <v>271.15350000000001</v>
      </c>
      <c r="K84">
        <f t="shared" ca="1" si="13"/>
        <v>3.6892693257465954</v>
      </c>
      <c r="L84">
        <f t="shared" ca="1" si="14"/>
        <v>278.53203865149322</v>
      </c>
      <c r="M84">
        <f t="shared" ca="1" si="15"/>
        <v>263.77496134850679</v>
      </c>
      <c r="N84">
        <f t="shared" ca="1" si="24"/>
        <v>-0.50999999999999091</v>
      </c>
      <c r="O84">
        <f t="shared" ca="1" si="25"/>
        <v>0</v>
      </c>
      <c r="P84">
        <f t="shared" ca="1" si="26"/>
        <v>0.50999999999999091</v>
      </c>
      <c r="Q84">
        <f t="shared" ca="1" si="30"/>
        <v>0.74033423959970168</v>
      </c>
      <c r="R84">
        <f t="shared" ca="1" si="31"/>
        <v>0.89344807893862721</v>
      </c>
      <c r="S84">
        <f t="shared" ca="1" si="28"/>
        <v>0.82862592360059995</v>
      </c>
      <c r="T84">
        <f t="shared" ca="1" si="29"/>
        <v>45.314129746614299</v>
      </c>
      <c r="U84">
        <f>70</f>
        <v>70</v>
      </c>
      <c r="V84">
        <f>30</f>
        <v>30</v>
      </c>
      <c r="W84">
        <f t="shared" ca="1" si="27"/>
        <v>273.29919111559866</v>
      </c>
      <c r="X84">
        <f t="shared" ca="1" si="17"/>
        <v>274.85158463871642</v>
      </c>
      <c r="Y84">
        <f t="shared" ca="1" si="16"/>
        <v>-1.3471944337607624</v>
      </c>
      <c r="Z84">
        <f t="shared" ca="1" si="18"/>
        <v>-2.3441388289831453</v>
      </c>
      <c r="AA84">
        <f t="shared" ca="1" si="19"/>
        <v>0.99694439522238287</v>
      </c>
    </row>
    <row r="85" spans="1:27" x14ac:dyDescent="0.25">
      <c r="A85" s="21">
        <f t="shared" ca="1" si="20"/>
        <v>45411</v>
      </c>
      <c r="B85" vm="249">
        <f ca="1"/>
        <v>45413</v>
      </c>
      <c r="C85" vm="250">
        <f ca="1"/>
        <v>274.43</v>
      </c>
      <c r="D85" vm="251">
        <f ca="1"/>
        <v>4843553</v>
      </c>
      <c r="E85">
        <f t="shared" ca="1" si="21"/>
        <v>1329216249.79</v>
      </c>
      <c r="F85">
        <f ca="1">SUM($E$2:E85)/SUM($D$2:D85)</f>
        <v>284.62879668881232</v>
      </c>
      <c r="G85">
        <f ca="1">_xlfn.STDEV.P($C$2:C85)</f>
        <v>9.9428247011877211</v>
      </c>
      <c r="H85">
        <f t="shared" ca="1" si="22"/>
        <v>294.57162139000002</v>
      </c>
      <c r="I85">
        <f t="shared" ca="1" si="23"/>
        <v>274.68597198762461</v>
      </c>
      <c r="J85">
        <f t="shared" ca="1" si="12"/>
        <v>271.09800000000007</v>
      </c>
      <c r="K85">
        <f t="shared" ca="1" si="13"/>
        <v>3.6276418322593385</v>
      </c>
      <c r="L85">
        <f t="shared" ca="1" si="14"/>
        <v>278.35328366451876</v>
      </c>
      <c r="M85">
        <f t="shared" ca="1" si="15"/>
        <v>263.84271633548138</v>
      </c>
      <c r="N85">
        <f t="shared" ca="1" si="24"/>
        <v>1.3899999999999864</v>
      </c>
      <c r="O85">
        <f t="shared" ca="1" si="25"/>
        <v>1.3899999999999864</v>
      </c>
      <c r="P85">
        <f t="shared" ca="1" si="26"/>
        <v>0</v>
      </c>
      <c r="Q85">
        <f t="shared" ca="1" si="30"/>
        <v>0.78673893677115048</v>
      </c>
      <c r="R85">
        <f t="shared" ca="1" si="31"/>
        <v>0.82963035901443949</v>
      </c>
      <c r="S85">
        <f t="shared" ca="1" si="28"/>
        <v>0.94830056328430179</v>
      </c>
      <c r="T85">
        <f t="shared" ca="1" si="29"/>
        <v>48.673217118293415</v>
      </c>
      <c r="U85">
        <f>70</f>
        <v>70</v>
      </c>
      <c r="V85">
        <f>30</f>
        <v>30</v>
      </c>
      <c r="W85">
        <f t="shared" ca="1" si="27"/>
        <v>273.47316171319886</v>
      </c>
      <c r="X85">
        <f t="shared" ca="1" si="17"/>
        <v>274.82035614695963</v>
      </c>
      <c r="Y85">
        <f t="shared" ca="1" si="16"/>
        <v>-1.262811165076414</v>
      </c>
      <c r="Z85">
        <f t="shared" ca="1" si="18"/>
        <v>-2.1278732962017992</v>
      </c>
      <c r="AA85">
        <f t="shared" ca="1" si="19"/>
        <v>0.86506213112538521</v>
      </c>
    </row>
    <row r="86" spans="1:27" x14ac:dyDescent="0.25">
      <c r="A86" s="21">
        <f t="shared" ca="1" si="20"/>
        <v>45411</v>
      </c>
      <c r="B86" vm="252">
        <f ca="1"/>
        <v>45414</v>
      </c>
      <c r="C86" vm="253">
        <f ca="1"/>
        <v>273.27999999999997</v>
      </c>
      <c r="D86" vm="254">
        <f ca="1"/>
        <v>3083956</v>
      </c>
      <c r="E86">
        <f t="shared" ca="1" si="21"/>
        <v>842783495.67999995</v>
      </c>
      <c r="F86">
        <f ca="1">SUM($E$2:E86)/SUM($D$2:D86)</f>
        <v>284.50512013450066</v>
      </c>
      <c r="G86">
        <f ca="1">_xlfn.STDEV.P($C$2:C86)</f>
        <v>9.9739717625288655</v>
      </c>
      <c r="H86">
        <f t="shared" ca="1" si="22"/>
        <v>294.47909189702955</v>
      </c>
      <c r="I86">
        <f t="shared" ca="1" si="23"/>
        <v>274.53114837197177</v>
      </c>
      <c r="J86">
        <f t="shared" ref="J86:J149" ca="1" si="32">AVERAGE(C67:C86)</f>
        <v>271.25749999999999</v>
      </c>
      <c r="K86">
        <f t="shared" ref="K86:K149" ca="1" si="33">_xlfn.STDEV.S(C67:C86)</f>
        <v>3.6510429295865858</v>
      </c>
      <c r="L86">
        <f t="shared" ref="L86:L149" ca="1" si="34">J86 + 2*K86</f>
        <v>278.55958585917318</v>
      </c>
      <c r="M86">
        <f t="shared" ref="M86:M149" ca="1" si="35">J86-2*K86</f>
        <v>263.9554141408268</v>
      </c>
      <c r="N86">
        <f t="shared" ca="1" si="24"/>
        <v>-1.1500000000000341</v>
      </c>
      <c r="O86">
        <f t="shared" ca="1" si="25"/>
        <v>0</v>
      </c>
      <c r="P86">
        <f t="shared" ca="1" si="26"/>
        <v>1.1500000000000341</v>
      </c>
      <c r="Q86">
        <f t="shared" ca="1" si="30"/>
        <v>0.73054329843035404</v>
      </c>
      <c r="R86">
        <f t="shared" ca="1" si="31"/>
        <v>0.85251390479912481</v>
      </c>
      <c r="S86">
        <f t="shared" ca="1" si="28"/>
        <v>0.85692830852124302</v>
      </c>
      <c r="T86">
        <f t="shared" ca="1" si="29"/>
        <v>46.147624794607943</v>
      </c>
      <c r="U86">
        <f>70</f>
        <v>70</v>
      </c>
      <c r="V86">
        <f>30</f>
        <v>30</v>
      </c>
      <c r="W86">
        <f t="shared" ca="1" si="27"/>
        <v>273.44344452655287</v>
      </c>
      <c r="X86">
        <f t="shared" ca="1" si="17"/>
        <v>274.70625569162928</v>
      </c>
      <c r="Y86">
        <f t="shared" ca="1" si="16"/>
        <v>-1.4184332632287919</v>
      </c>
      <c r="Z86">
        <f t="shared" ca="1" si="18"/>
        <v>-1.9859852896071979</v>
      </c>
      <c r="AA86">
        <f t="shared" ca="1" si="19"/>
        <v>0.56755202637840596</v>
      </c>
    </row>
    <row r="87" spans="1:27" x14ac:dyDescent="0.25">
      <c r="A87" s="21">
        <f t="shared" ca="1" si="20"/>
        <v>45411</v>
      </c>
      <c r="B87" vm="255">
        <f ca="1"/>
        <v>45415</v>
      </c>
      <c r="C87" vm="256">
        <f ca="1"/>
        <v>270.32</v>
      </c>
      <c r="D87" vm="257">
        <f ca="1"/>
        <v>2642344</v>
      </c>
      <c r="E87">
        <f t="shared" ca="1" si="21"/>
        <v>714278430.07999992</v>
      </c>
      <c r="F87">
        <f ca="1">SUM($E$2:E87)/SUM($D$2:D87)</f>
        <v>284.37389547218595</v>
      </c>
      <c r="G87">
        <f ca="1">_xlfn.STDEV.P($C$2:C87)</f>
        <v>10.048804701701428</v>
      </c>
      <c r="H87">
        <f t="shared" ca="1" si="22"/>
        <v>294.42270017388739</v>
      </c>
      <c r="I87">
        <f t="shared" ca="1" si="23"/>
        <v>274.32509077048451</v>
      </c>
      <c r="J87">
        <f t="shared" ca="1" si="32"/>
        <v>271.43899999999996</v>
      </c>
      <c r="K87">
        <f t="shared" ca="1" si="33"/>
        <v>3.4990989817680944</v>
      </c>
      <c r="L87">
        <f t="shared" ca="1" si="34"/>
        <v>278.43719796353616</v>
      </c>
      <c r="M87">
        <f t="shared" ca="1" si="35"/>
        <v>264.44080203646377</v>
      </c>
      <c r="N87">
        <f t="shared" ca="1" si="24"/>
        <v>-2.9599999999999795</v>
      </c>
      <c r="O87">
        <f t="shared" ca="1" si="25"/>
        <v>0</v>
      </c>
      <c r="P87">
        <f t="shared" ca="1" si="26"/>
        <v>2.9599999999999795</v>
      </c>
      <c r="Q87">
        <f t="shared" ca="1" si="30"/>
        <v>0.67836163425675733</v>
      </c>
      <c r="R87">
        <f t="shared" ca="1" si="31"/>
        <v>1.0030486258849003</v>
      </c>
      <c r="S87">
        <f t="shared" ca="1" si="28"/>
        <v>0.67629984903104712</v>
      </c>
      <c r="T87">
        <f t="shared" ca="1" si="29"/>
        <v>40.344801642854598</v>
      </c>
      <c r="U87">
        <f>70</f>
        <v>70</v>
      </c>
      <c r="V87">
        <f>30</f>
        <v>30</v>
      </c>
      <c r="W87">
        <f t="shared" ca="1" si="27"/>
        <v>272.9629145993909</v>
      </c>
      <c r="X87">
        <f t="shared" ca="1" si="17"/>
        <v>274.38134786261969</v>
      </c>
      <c r="Y87">
        <f t="shared" ca="1" si="16"/>
        <v>-1.605562448240164</v>
      </c>
      <c r="Z87">
        <f t="shared" ca="1" si="18"/>
        <v>-1.9099007213337913</v>
      </c>
      <c r="AA87">
        <f t="shared" ca="1" si="19"/>
        <v>0.30433827309362727</v>
      </c>
    </row>
    <row r="88" spans="1:27" x14ac:dyDescent="0.25">
      <c r="A88" s="21">
        <f t="shared" ca="1" si="20"/>
        <v>45418</v>
      </c>
      <c r="B88" vm="258">
        <f ca="1"/>
        <v>45418</v>
      </c>
      <c r="C88" vm="259">
        <f ca="1"/>
        <v>269.3</v>
      </c>
      <c r="D88" vm="260">
        <f ca="1"/>
        <v>2481336</v>
      </c>
      <c r="E88">
        <f t="shared" ca="1" si="21"/>
        <v>668223784.80000007</v>
      </c>
      <c r="F88">
        <f ca="1">SUM($E$2:E88)/SUM($D$2:D88)</f>
        <v>284.24407366063593</v>
      </c>
      <c r="G88">
        <f ca="1">_xlfn.STDEV.P($C$2:C88)</f>
        <v>10.136177255973434</v>
      </c>
      <c r="H88">
        <f t="shared" ca="1" si="22"/>
        <v>294.38025091660938</v>
      </c>
      <c r="I88">
        <f t="shared" ca="1" si="23"/>
        <v>274.10789640466248</v>
      </c>
      <c r="J88">
        <f t="shared" ca="1" si="32"/>
        <v>271.52600000000001</v>
      </c>
      <c r="K88">
        <f t="shared" ca="1" si="33"/>
        <v>3.4182750343596258</v>
      </c>
      <c r="L88">
        <f t="shared" ca="1" si="34"/>
        <v>278.36255006871926</v>
      </c>
      <c r="M88">
        <f t="shared" ca="1" si="35"/>
        <v>264.68944993128076</v>
      </c>
      <c r="N88">
        <f t="shared" ca="1" si="24"/>
        <v>-1.0199999999999818</v>
      </c>
      <c r="O88">
        <f t="shared" ca="1" si="25"/>
        <v>0</v>
      </c>
      <c r="P88">
        <f t="shared" ca="1" si="26"/>
        <v>1.0199999999999818</v>
      </c>
      <c r="Q88">
        <f t="shared" ca="1" si="30"/>
        <v>0.62990723180984609</v>
      </c>
      <c r="R88">
        <f t="shared" ca="1" si="31"/>
        <v>1.0042594383216918</v>
      </c>
      <c r="S88">
        <f t="shared" ca="1" si="28"/>
        <v>0.62723556062618702</v>
      </c>
      <c r="T88">
        <f t="shared" ca="1" si="29"/>
        <v>38.546082435957608</v>
      </c>
      <c r="U88">
        <f>70</f>
        <v>70</v>
      </c>
      <c r="V88">
        <f>30</f>
        <v>30</v>
      </c>
      <c r="W88">
        <f t="shared" ca="1" si="27"/>
        <v>272.3993892764077</v>
      </c>
      <c r="X88">
        <f t="shared" ca="1" si="17"/>
        <v>274.00495172464787</v>
      </c>
      <c r="Y88">
        <f t="shared" ca="1" si="16"/>
        <v>-1.8774663687107704</v>
      </c>
      <c r="Z88">
        <f t="shared" ca="1" si="18"/>
        <v>-1.9034138508091873</v>
      </c>
      <c r="AA88">
        <f t="shared" ca="1" si="19"/>
        <v>2.5947482098416907E-2</v>
      </c>
    </row>
    <row r="89" spans="1:27" x14ac:dyDescent="0.25">
      <c r="A89" s="21">
        <f t="shared" ca="1" si="20"/>
        <v>45418</v>
      </c>
      <c r="B89" vm="261">
        <f ca="1"/>
        <v>45419</v>
      </c>
      <c r="C89" vm="262">
        <f ca="1"/>
        <v>267.5</v>
      </c>
      <c r="D89" vm="263">
        <f ca="1"/>
        <v>3160026</v>
      </c>
      <c r="E89">
        <f t="shared" ca="1" si="21"/>
        <v>845306955</v>
      </c>
      <c r="F89">
        <f ca="1">SUM($E$2:E89)/SUM($D$2:D89)</f>
        <v>284.06241715159047</v>
      </c>
      <c r="G89">
        <f ca="1">_xlfn.STDEV.P($C$2:C89)</f>
        <v>10.250741184651515</v>
      </c>
      <c r="H89">
        <f t="shared" ca="1" si="22"/>
        <v>294.313158336242</v>
      </c>
      <c r="I89">
        <f t="shared" ca="1" si="23"/>
        <v>273.81167596693894</v>
      </c>
      <c r="J89">
        <f t="shared" ca="1" si="32"/>
        <v>271.42899999999997</v>
      </c>
      <c r="K89">
        <f t="shared" ca="1" si="33"/>
        <v>3.5069598469929812</v>
      </c>
      <c r="L89">
        <f t="shared" ca="1" si="34"/>
        <v>278.44291969398591</v>
      </c>
      <c r="M89">
        <f t="shared" ca="1" si="35"/>
        <v>264.41508030601403</v>
      </c>
      <c r="N89">
        <f t="shared" ca="1" si="24"/>
        <v>-1.8000000000000114</v>
      </c>
      <c r="O89">
        <f t="shared" ca="1" si="25"/>
        <v>0</v>
      </c>
      <c r="P89">
        <f t="shared" ca="1" si="26"/>
        <v>1.8000000000000114</v>
      </c>
      <c r="Q89">
        <f t="shared" ca="1" si="30"/>
        <v>0.58491385810914287</v>
      </c>
      <c r="R89">
        <f t="shared" ca="1" si="31"/>
        <v>1.0610980498701432</v>
      </c>
      <c r="S89">
        <f t="shared" ca="1" si="28"/>
        <v>0.55123450484215331</v>
      </c>
      <c r="T89">
        <f t="shared" ca="1" si="29"/>
        <v>35.535214251712674</v>
      </c>
      <c r="U89">
        <f>70</f>
        <v>70</v>
      </c>
      <c r="V89">
        <f>30</f>
        <v>30</v>
      </c>
      <c r="W89">
        <f t="shared" ca="1" si="27"/>
        <v>271.64563708003726</v>
      </c>
      <c r="X89">
        <f t="shared" ca="1" si="17"/>
        <v>273.52310344874803</v>
      </c>
      <c r="Y89">
        <f t="shared" ca="1" si="16"/>
        <v>-1.9901265187237982</v>
      </c>
      <c r="Z89">
        <f t="shared" ca="1" si="18"/>
        <v>-1.9207563843921096</v>
      </c>
      <c r="AA89">
        <f t="shared" ca="1" si="19"/>
        <v>-6.9370134331688593E-2</v>
      </c>
    </row>
    <row r="90" spans="1:27" x14ac:dyDescent="0.25">
      <c r="A90" s="21">
        <f t="shared" ca="1" si="20"/>
        <v>45418</v>
      </c>
      <c r="B90" vm="264">
        <f ca="1"/>
        <v>45420</v>
      </c>
      <c r="C90" vm="265">
        <f ca="1"/>
        <v>268.49</v>
      </c>
      <c r="D90" vm="266">
        <f ca="1"/>
        <v>3259842</v>
      </c>
      <c r="E90">
        <f t="shared" ca="1" si="21"/>
        <v>875234978.58000004</v>
      </c>
      <c r="F90">
        <f ca="1">SUM($E$2:E90)/SUM($D$2:D90)</f>
        <v>283.89006438084942</v>
      </c>
      <c r="G90">
        <f ca="1">_xlfn.STDEV.P($C$2:C90)</f>
        <v>10.339721679696416</v>
      </c>
      <c r="H90">
        <f t="shared" ca="1" si="22"/>
        <v>294.22978606054585</v>
      </c>
      <c r="I90">
        <f t="shared" ca="1" si="23"/>
        <v>273.550342701153</v>
      </c>
      <c r="J90">
        <f t="shared" ca="1" si="32"/>
        <v>271.41999999999996</v>
      </c>
      <c r="K90">
        <f t="shared" ca="1" si="33"/>
        <v>3.5146355654455448</v>
      </c>
      <c r="L90">
        <f t="shared" ca="1" si="34"/>
        <v>278.44927113089102</v>
      </c>
      <c r="M90">
        <f t="shared" ca="1" si="35"/>
        <v>264.3907288691089</v>
      </c>
      <c r="N90">
        <f t="shared" ca="1" si="24"/>
        <v>0.99000000000000909</v>
      </c>
      <c r="O90">
        <f t="shared" ca="1" si="25"/>
        <v>0.99000000000000909</v>
      </c>
      <c r="P90">
        <f t="shared" ca="1" si="26"/>
        <v>0</v>
      </c>
      <c r="Q90">
        <f t="shared" ca="1" si="30"/>
        <v>0.61384858252991903</v>
      </c>
      <c r="R90">
        <f t="shared" ca="1" si="31"/>
        <v>0.98530533202227588</v>
      </c>
      <c r="S90">
        <f t="shared" ca="1" si="28"/>
        <v>0.62300341080062382</v>
      </c>
      <c r="T90">
        <f t="shared" ca="1" si="29"/>
        <v>38.385834968350295</v>
      </c>
      <c r="U90">
        <f>70</f>
        <v>70</v>
      </c>
      <c r="V90">
        <f>30</f>
        <v>30</v>
      </c>
      <c r="W90">
        <f t="shared" ca="1" si="27"/>
        <v>271.16015445233921</v>
      </c>
      <c r="X90">
        <f t="shared" ca="1" si="17"/>
        <v>273.15028097106301</v>
      </c>
      <c r="Y90">
        <f t="shared" ca="1" si="16"/>
        <v>-2.0987904366117505</v>
      </c>
      <c r="Z90">
        <f t="shared" ca="1" si="18"/>
        <v>-1.9563631948360378</v>
      </c>
      <c r="AA90">
        <f t="shared" ca="1" si="19"/>
        <v>-0.14242724177571264</v>
      </c>
    </row>
    <row r="91" spans="1:27" x14ac:dyDescent="0.25">
      <c r="A91" s="21">
        <f t="shared" ca="1" si="20"/>
        <v>45418</v>
      </c>
      <c r="B91" vm="267">
        <f ca="1"/>
        <v>45421</v>
      </c>
      <c r="C91" vm="268">
        <f ca="1"/>
        <v>267.95</v>
      </c>
      <c r="D91" vm="269">
        <f ca="1"/>
        <v>3139960</v>
      </c>
      <c r="E91">
        <f t="shared" ca="1" si="21"/>
        <v>841352282</v>
      </c>
      <c r="F91">
        <f ca="1">SUM($E$2:E91)/SUM($D$2:D91)</f>
        <v>283.72192305990512</v>
      </c>
      <c r="G91">
        <f ca="1">_xlfn.STDEV.P($C$2:C91)</f>
        <v>10.432233592495667</v>
      </c>
      <c r="H91">
        <f t="shared" ca="1" si="22"/>
        <v>294.15415665240079</v>
      </c>
      <c r="I91">
        <f t="shared" ca="1" si="23"/>
        <v>273.28968946740946</v>
      </c>
      <c r="J91">
        <f t="shared" ca="1" si="32"/>
        <v>271.38649999999996</v>
      </c>
      <c r="K91">
        <f t="shared" ca="1" si="33"/>
        <v>3.5457836710810846</v>
      </c>
      <c r="L91">
        <f t="shared" ca="1" si="34"/>
        <v>278.47806734216215</v>
      </c>
      <c r="M91">
        <f t="shared" ca="1" si="35"/>
        <v>264.29493265783776</v>
      </c>
      <c r="N91">
        <f t="shared" ca="1" si="24"/>
        <v>-0.54000000000002046</v>
      </c>
      <c r="O91">
        <f t="shared" ca="1" si="25"/>
        <v>0</v>
      </c>
      <c r="P91">
        <f t="shared" ca="1" si="26"/>
        <v>0.54000000000002046</v>
      </c>
      <c r="Q91">
        <f t="shared" ca="1" si="30"/>
        <v>0.57000225520635339</v>
      </c>
      <c r="R91">
        <f t="shared" ca="1" si="31"/>
        <v>0.95349780830640041</v>
      </c>
      <c r="S91">
        <f t="shared" ca="1" si="28"/>
        <v>0.59780132711452105</v>
      </c>
      <c r="T91">
        <f t="shared" ca="1" si="29"/>
        <v>37.413996156461707</v>
      </c>
      <c r="U91">
        <f>70</f>
        <v>70</v>
      </c>
      <c r="V91">
        <f>30</f>
        <v>30</v>
      </c>
      <c r="W91">
        <f t="shared" ca="1" si="27"/>
        <v>270.66628453659473</v>
      </c>
      <c r="X91">
        <f t="shared" ca="1" si="17"/>
        <v>272.76507497320648</v>
      </c>
      <c r="Y91">
        <f t="shared" ca="1" si="16"/>
        <v>-1.5976149826879578</v>
      </c>
      <c r="Z91">
        <f t="shared" ca="1" si="18"/>
        <v>-1.884613552406422</v>
      </c>
      <c r="AA91">
        <f t="shared" ca="1" si="19"/>
        <v>0.28699856971846427</v>
      </c>
    </row>
    <row r="92" spans="1:27" x14ac:dyDescent="0.25">
      <c r="A92" s="21">
        <f t="shared" ca="1" si="20"/>
        <v>45418</v>
      </c>
      <c r="B92" vm="270">
        <f ca="1"/>
        <v>45422</v>
      </c>
      <c r="C92" vm="271">
        <f ca="1"/>
        <v>275</v>
      </c>
      <c r="D92" vm="272">
        <f ca="1"/>
        <v>4983501</v>
      </c>
      <c r="E92">
        <f t="shared" ca="1" si="21"/>
        <v>1370462775</v>
      </c>
      <c r="F92">
        <f ca="1">SUM($E$2:E92)/SUM($D$2:D92)</f>
        <v>283.57830914824154</v>
      </c>
      <c r="G92">
        <f ca="1">_xlfn.STDEV.P($C$2:C92)</f>
        <v>10.422773134189702</v>
      </c>
      <c r="H92">
        <f t="shared" ca="1" si="22"/>
        <v>294.00108228243124</v>
      </c>
      <c r="I92">
        <f t="shared" ca="1" si="23"/>
        <v>273.15553601405185</v>
      </c>
      <c r="J92">
        <f t="shared" ca="1" si="32"/>
        <v>271.76699999999994</v>
      </c>
      <c r="K92">
        <f t="shared" ca="1" si="33"/>
        <v>3.502396322519767</v>
      </c>
      <c r="L92">
        <f t="shared" ca="1" si="34"/>
        <v>278.77179264503945</v>
      </c>
      <c r="M92">
        <f t="shared" ca="1" si="35"/>
        <v>264.76220735496042</v>
      </c>
      <c r="N92">
        <f t="shared" ca="1" si="24"/>
        <v>7.0500000000000114</v>
      </c>
      <c r="O92">
        <f t="shared" ca="1" si="25"/>
        <v>7.0500000000000114</v>
      </c>
      <c r="P92">
        <f t="shared" ca="1" si="26"/>
        <v>0</v>
      </c>
      <c r="Q92">
        <f t="shared" ca="1" si="30"/>
        <v>1.0328592369773288</v>
      </c>
      <c r="R92">
        <f t="shared" ca="1" si="31"/>
        <v>0.88539082199880037</v>
      </c>
      <c r="S92">
        <f t="shared" ca="1" si="28"/>
        <v>1.1665574244892367</v>
      </c>
      <c r="T92">
        <f t="shared" ca="1" si="29"/>
        <v>53.843826676518908</v>
      </c>
      <c r="U92">
        <f>70</f>
        <v>70</v>
      </c>
      <c r="V92">
        <f>30</f>
        <v>30</v>
      </c>
      <c r="W92">
        <f t="shared" ca="1" si="27"/>
        <v>271.33300999250321</v>
      </c>
      <c r="X92">
        <f t="shared" ca="1" si="17"/>
        <v>272.93062497519117</v>
      </c>
      <c r="Y92">
        <f t="shared" ref="Y92:Y155" ca="1" si="36">W93-X93</f>
        <v>-1.480310966278239</v>
      </c>
      <c r="Z92">
        <f t="shared" ca="1" si="18"/>
        <v>-1.8037530351807856</v>
      </c>
      <c r="AA92">
        <f t="shared" ca="1" si="19"/>
        <v>0.32344206890254656</v>
      </c>
    </row>
    <row r="93" spans="1:27" x14ac:dyDescent="0.25">
      <c r="A93" s="21">
        <f t="shared" ca="1" si="20"/>
        <v>45425</v>
      </c>
      <c r="B93" vm="273">
        <f ca="1"/>
        <v>45425</v>
      </c>
      <c r="C93" vm="274">
        <f ca="1"/>
        <v>271.32</v>
      </c>
      <c r="D93" vm="275">
        <f ca="1"/>
        <v>3840670</v>
      </c>
      <c r="E93">
        <f t="shared" ca="1" si="21"/>
        <v>1042050584.4</v>
      </c>
      <c r="F93">
        <f ca="1">SUM($E$2:E93)/SUM($D$2:D93)</f>
        <v>283.42470221679025</v>
      </c>
      <c r="G93">
        <f ca="1">_xlfn.STDEV.P($C$2:C93)</f>
        <v>10.455405702893517</v>
      </c>
      <c r="H93">
        <f t="shared" ca="1" si="22"/>
        <v>293.88010791968378</v>
      </c>
      <c r="I93">
        <f t="shared" ca="1" si="23"/>
        <v>272.96929651389672</v>
      </c>
      <c r="J93">
        <f t="shared" ca="1" si="32"/>
        <v>272.02149999999995</v>
      </c>
      <c r="K93">
        <f t="shared" ca="1" si="33"/>
        <v>3.2550758338647845</v>
      </c>
      <c r="L93">
        <f t="shared" ca="1" si="34"/>
        <v>278.53165166772953</v>
      </c>
      <c r="M93">
        <f t="shared" ca="1" si="35"/>
        <v>265.51134833227036</v>
      </c>
      <c r="N93">
        <f t="shared" ca="1" si="24"/>
        <v>-3.6800000000000068</v>
      </c>
      <c r="O93">
        <f t="shared" ca="1" si="25"/>
        <v>0</v>
      </c>
      <c r="P93">
        <f t="shared" ca="1" si="26"/>
        <v>3.6800000000000068</v>
      </c>
      <c r="Q93">
        <f t="shared" ca="1" si="30"/>
        <v>0.959083577193234</v>
      </c>
      <c r="R93">
        <f t="shared" ca="1" si="31"/>
        <v>1.0850057632846009</v>
      </c>
      <c r="S93">
        <f t="shared" ca="1" si="28"/>
        <v>0.88394330209807648</v>
      </c>
      <c r="T93">
        <f t="shared" ca="1" si="29"/>
        <v>46.919846319879277</v>
      </c>
      <c r="U93">
        <f>70</f>
        <v>70</v>
      </c>
      <c r="V93">
        <f>30</f>
        <v>30</v>
      </c>
      <c r="W93">
        <f t="shared" ca="1" si="27"/>
        <v>271.33100845519505</v>
      </c>
      <c r="X93">
        <f t="shared" ref="X93:X156" ca="1" si="37">C93*(2/(26+1)) + X92*(1-(2/(26+1)))</f>
        <v>272.81131942147329</v>
      </c>
      <c r="Y93">
        <f t="shared" ca="1" si="36"/>
        <v>-1.4241860421250294</v>
      </c>
      <c r="Z93">
        <f t="shared" ca="1" si="18"/>
        <v>-1.7278396365696345</v>
      </c>
      <c r="AA93">
        <f t="shared" ca="1" si="19"/>
        <v>0.30365359444460505</v>
      </c>
    </row>
    <row r="94" spans="1:27" x14ac:dyDescent="0.25">
      <c r="A94" s="21">
        <f t="shared" ca="1" si="20"/>
        <v>45425</v>
      </c>
      <c r="B94" vm="276">
        <f ca="1"/>
        <v>45426</v>
      </c>
      <c r="C94" vm="277">
        <f ca="1"/>
        <v>270.66000000000003</v>
      </c>
      <c r="D94" vm="278">
        <f ca="1"/>
        <v>3143235</v>
      </c>
      <c r="E94">
        <f t="shared" ca="1" si="21"/>
        <v>850747985.10000002</v>
      </c>
      <c r="F94">
        <f ca="1">SUM($E$2:E94)/SUM($D$2:D94)</f>
        <v>283.29512470536685</v>
      </c>
      <c r="G94">
        <f ca="1">_xlfn.STDEV.P($C$2:C94)</f>
        <v>10.4942822580201</v>
      </c>
      <c r="H94">
        <f t="shared" ca="1" si="22"/>
        <v>293.78940696338697</v>
      </c>
      <c r="I94">
        <f t="shared" ca="1" si="23"/>
        <v>272.80084244734672</v>
      </c>
      <c r="J94">
        <f t="shared" ca="1" si="32"/>
        <v>272.28300000000002</v>
      </c>
      <c r="K94">
        <f t="shared" ca="1" si="33"/>
        <v>2.8869308051431033</v>
      </c>
      <c r="L94">
        <f t="shared" ca="1" si="34"/>
        <v>278.05686161028621</v>
      </c>
      <c r="M94">
        <f t="shared" ca="1" si="35"/>
        <v>266.50913838971383</v>
      </c>
      <c r="N94">
        <f t="shared" ca="1" si="24"/>
        <v>-0.65999999999996817</v>
      </c>
      <c r="O94">
        <f t="shared" ca="1" si="25"/>
        <v>0</v>
      </c>
      <c r="P94">
        <f t="shared" ca="1" si="26"/>
        <v>0.65999999999996817</v>
      </c>
      <c r="Q94">
        <f t="shared" ca="1" si="30"/>
        <v>0.89057760739371727</v>
      </c>
      <c r="R94">
        <f t="shared" ca="1" si="31"/>
        <v>1.0546482087642699</v>
      </c>
      <c r="S94">
        <f t="shared" ca="1" si="28"/>
        <v>0.84443096758985259</v>
      </c>
      <c r="T94">
        <f t="shared" ca="1" si="29"/>
        <v>45.782736379300985</v>
      </c>
      <c r="U94">
        <f>70</f>
        <v>70</v>
      </c>
      <c r="V94">
        <f>30</f>
        <v>30</v>
      </c>
      <c r="W94">
        <f t="shared" ca="1" si="27"/>
        <v>271.22777638516504</v>
      </c>
      <c r="X94">
        <f t="shared" ca="1" si="37"/>
        <v>272.65196242729007</v>
      </c>
      <c r="Y94">
        <f t="shared" ca="1" si="36"/>
        <v>-1.1079151067671091</v>
      </c>
      <c r="Z94">
        <f t="shared" ca="1" si="18"/>
        <v>-1.6038547306091295</v>
      </c>
      <c r="AA94">
        <f t="shared" ca="1" si="19"/>
        <v>0.49593962384202039</v>
      </c>
    </row>
    <row r="95" spans="1:27" x14ac:dyDescent="0.25">
      <c r="A95" s="21">
        <f t="shared" ca="1" si="20"/>
        <v>45425</v>
      </c>
      <c r="B95" vm="279">
        <f ca="1"/>
        <v>45427</v>
      </c>
      <c r="C95" vm="280">
        <f ca="1"/>
        <v>273.87</v>
      </c>
      <c r="D95" vm="281">
        <f ca="1"/>
        <v>2982621</v>
      </c>
      <c r="E95">
        <f t="shared" ca="1" si="21"/>
        <v>816850413.26999998</v>
      </c>
      <c r="F95">
        <f ca="1">SUM($E$2:E95)/SUM($D$2:D95)</f>
        <v>283.205203123361</v>
      </c>
      <c r="G95">
        <f ca="1">_xlfn.STDEV.P($C$2:C95)</f>
        <v>10.491872372807405</v>
      </c>
      <c r="H95">
        <f t="shared" ca="1" si="22"/>
        <v>293.6970754961684</v>
      </c>
      <c r="I95">
        <f t="shared" ca="1" si="23"/>
        <v>272.71333075055361</v>
      </c>
      <c r="J95">
        <f t="shared" ca="1" si="32"/>
        <v>272.47899999999993</v>
      </c>
      <c r="K95">
        <f t="shared" ca="1" si="33"/>
        <v>2.853072028533453</v>
      </c>
      <c r="L95">
        <f t="shared" ca="1" si="34"/>
        <v>278.18514405706685</v>
      </c>
      <c r="M95">
        <f t="shared" ca="1" si="35"/>
        <v>266.77285594293301</v>
      </c>
      <c r="N95">
        <f t="shared" ca="1" si="24"/>
        <v>3.2099999999999795</v>
      </c>
      <c r="O95">
        <f t="shared" ca="1" si="25"/>
        <v>3.2099999999999795</v>
      </c>
      <c r="P95">
        <f t="shared" ca="1" si="26"/>
        <v>0</v>
      </c>
      <c r="Q95">
        <f t="shared" ca="1" si="30"/>
        <v>1.0562506354370218</v>
      </c>
      <c r="R95">
        <f t="shared" ca="1" si="31"/>
        <v>0.97931619385253632</v>
      </c>
      <c r="S95">
        <f t="shared" ca="1" si="28"/>
        <v>1.0785593479076792</v>
      </c>
      <c r="T95">
        <f t="shared" ca="1" si="29"/>
        <v>51.889754747362844</v>
      </c>
      <c r="U95">
        <f>70</f>
        <v>70</v>
      </c>
      <c r="V95">
        <f>30</f>
        <v>30</v>
      </c>
      <c r="W95">
        <f t="shared" ca="1" si="27"/>
        <v>271.63427232590891</v>
      </c>
      <c r="X95">
        <f t="shared" ca="1" si="37"/>
        <v>272.74218743267602</v>
      </c>
      <c r="Y95">
        <f t="shared" ca="1" si="36"/>
        <v>-0.87621662343235585</v>
      </c>
      <c r="Z95">
        <f t="shared" ca="1" si="18"/>
        <v>-1.4583271091737751</v>
      </c>
      <c r="AA95">
        <f t="shared" ca="1" si="19"/>
        <v>0.58211048574141921</v>
      </c>
    </row>
    <row r="96" spans="1:27" x14ac:dyDescent="0.25">
      <c r="A96" s="21">
        <f t="shared" ca="1" si="20"/>
        <v>45425</v>
      </c>
      <c r="B96" vm="282">
        <f ca="1"/>
        <v>45428</v>
      </c>
      <c r="C96" vm="283">
        <f ca="1"/>
        <v>273.51</v>
      </c>
      <c r="D96" vm="284">
        <f ca="1"/>
        <v>2339864</v>
      </c>
      <c r="E96">
        <f t="shared" ca="1" si="21"/>
        <v>639976202.63999999</v>
      </c>
      <c r="F96">
        <f ca="1">SUM($E$2:E96)/SUM($D$2:D96)</f>
        <v>283.13317736026255</v>
      </c>
      <c r="G96">
        <f ca="1">_xlfn.STDEV.P($C$2:C96)</f>
        <v>10.492113453457394</v>
      </c>
      <c r="H96">
        <f t="shared" ca="1" si="22"/>
        <v>293.62529081371997</v>
      </c>
      <c r="I96">
        <f t="shared" ca="1" si="23"/>
        <v>272.64106390680513</v>
      </c>
      <c r="J96">
        <f t="shared" ca="1" si="32"/>
        <v>272.60550000000001</v>
      </c>
      <c r="K96">
        <f t="shared" ca="1" si="33"/>
        <v>2.8391649532175727</v>
      </c>
      <c r="L96">
        <f t="shared" ca="1" si="34"/>
        <v>278.28382990643513</v>
      </c>
      <c r="M96">
        <f t="shared" ca="1" si="35"/>
        <v>266.92717009356488</v>
      </c>
      <c r="N96">
        <f t="shared" ca="1" si="24"/>
        <v>-0.36000000000001364</v>
      </c>
      <c r="O96">
        <f t="shared" ca="1" si="25"/>
        <v>0</v>
      </c>
      <c r="P96">
        <f t="shared" ca="1" si="26"/>
        <v>0.36000000000001364</v>
      </c>
      <c r="Q96">
        <f t="shared" ca="1" si="30"/>
        <v>0.98080416147723448</v>
      </c>
      <c r="R96">
        <f t="shared" ca="1" si="31"/>
        <v>0.93507932286307038</v>
      </c>
      <c r="S96">
        <f t="shared" ca="1" si="28"/>
        <v>1.0488994222160337</v>
      </c>
      <c r="T96">
        <f t="shared" ca="1" si="29"/>
        <v>51.19330948327238</v>
      </c>
      <c r="U96">
        <f>70</f>
        <v>70</v>
      </c>
      <c r="V96">
        <f>30</f>
        <v>30</v>
      </c>
      <c r="W96">
        <f t="shared" ca="1" si="27"/>
        <v>271.92284581423064</v>
      </c>
      <c r="X96">
        <f t="shared" ca="1" si="37"/>
        <v>272.799062437663</v>
      </c>
      <c r="Y96">
        <f t="shared" ca="1" si="36"/>
        <v>-0.77484354818795964</v>
      </c>
      <c r="Z96">
        <f t="shared" ca="1" si="18"/>
        <v>-1.3216303969766121</v>
      </c>
      <c r="AA96">
        <f t="shared" ca="1" si="19"/>
        <v>0.54678684878865247</v>
      </c>
    </row>
    <row r="97" spans="1:28" x14ac:dyDescent="0.25">
      <c r="A97" s="21">
        <f t="shared" ca="1" si="20"/>
        <v>45425</v>
      </c>
      <c r="B97" vm="285">
        <f ca="1"/>
        <v>45429</v>
      </c>
      <c r="C97" vm="286">
        <f ca="1"/>
        <v>272.38</v>
      </c>
      <c r="D97" vm="287">
        <f ca="1"/>
        <v>2454570</v>
      </c>
      <c r="E97">
        <f t="shared" ca="1" si="21"/>
        <v>668575776.60000002</v>
      </c>
      <c r="F97">
        <f ca="1">SUM($E$2:E97)/SUM($D$2:D97)</f>
        <v>283.05002374266144</v>
      </c>
      <c r="G97">
        <f ca="1">_xlfn.STDEV.P($C$2:C97)</f>
        <v>10.503439018083421</v>
      </c>
      <c r="H97">
        <f t="shared" ca="1" si="22"/>
        <v>293.55346276074488</v>
      </c>
      <c r="I97">
        <f t="shared" ca="1" si="23"/>
        <v>272.546584724578</v>
      </c>
      <c r="J97">
        <f t="shared" ca="1" si="32"/>
        <v>272.625</v>
      </c>
      <c r="K97">
        <f t="shared" ca="1" si="33"/>
        <v>2.8360526682066576</v>
      </c>
      <c r="L97">
        <f t="shared" ca="1" si="34"/>
        <v>278.29710533641332</v>
      </c>
      <c r="M97">
        <f t="shared" ca="1" si="35"/>
        <v>266.95289466358668</v>
      </c>
      <c r="N97">
        <f t="shared" ca="1" si="24"/>
        <v>-1.1299999999999955</v>
      </c>
      <c r="O97">
        <f t="shared" ca="1" si="25"/>
        <v>0</v>
      </c>
      <c r="P97">
        <f t="shared" ca="1" si="26"/>
        <v>1.1299999999999955</v>
      </c>
      <c r="Q97">
        <f t="shared" ca="1" si="30"/>
        <v>0.91074672137171775</v>
      </c>
      <c r="R97">
        <f t="shared" ca="1" si="31"/>
        <v>0.94900222837285075</v>
      </c>
      <c r="S97">
        <f t="shared" ca="1" si="28"/>
        <v>0.95968870687824881</v>
      </c>
      <c r="T97">
        <f t="shared" ca="1" si="29"/>
        <v>48.97148733418058</v>
      </c>
      <c r="U97">
        <f>70</f>
        <v>70</v>
      </c>
      <c r="V97">
        <f>30</f>
        <v>30</v>
      </c>
      <c r="W97">
        <f t="shared" ca="1" si="27"/>
        <v>271.99317722742592</v>
      </c>
      <c r="X97">
        <f t="shared" ca="1" si="37"/>
        <v>272.76802077561388</v>
      </c>
      <c r="Y97">
        <f t="shared" ca="1" si="36"/>
        <v>-1.0463621525043436</v>
      </c>
      <c r="Z97">
        <f t="shared" ca="1" si="18"/>
        <v>-1.2665767480821586</v>
      </c>
      <c r="AA97">
        <f t="shared" ca="1" si="19"/>
        <v>0.22021459557781498</v>
      </c>
    </row>
    <row r="98" spans="1:28" x14ac:dyDescent="0.25">
      <c r="A98" s="21">
        <f t="shared" ca="1" si="20"/>
        <v>45432</v>
      </c>
      <c r="B98" vm="288">
        <f ca="1"/>
        <v>45432</v>
      </c>
      <c r="C98" vm="289">
        <f ca="1"/>
        <v>267.87</v>
      </c>
      <c r="D98" vm="290">
        <f ca="1"/>
        <v>2651117</v>
      </c>
      <c r="E98">
        <f t="shared" ca="1" si="21"/>
        <v>710154710.78999996</v>
      </c>
      <c r="F98">
        <f ca="1">SUM($E$2:E98)/SUM($D$2:D98)</f>
        <v>282.92428820658932</v>
      </c>
      <c r="G98">
        <f ca="1">_xlfn.STDEV.P($C$2:C98)</f>
        <v>10.573072142110158</v>
      </c>
      <c r="H98">
        <f t="shared" ca="1" si="22"/>
        <v>293.49736034869949</v>
      </c>
      <c r="I98">
        <f t="shared" ca="1" si="23"/>
        <v>272.35121606447916</v>
      </c>
      <c r="J98">
        <f t="shared" ca="1" si="32"/>
        <v>272.23950000000002</v>
      </c>
      <c r="K98">
        <f t="shared" ca="1" si="33"/>
        <v>2.935504036339998</v>
      </c>
      <c r="L98">
        <f t="shared" ca="1" si="34"/>
        <v>278.11050807268003</v>
      </c>
      <c r="M98">
        <f t="shared" ca="1" si="35"/>
        <v>266.36849192732001</v>
      </c>
      <c r="N98">
        <f t="shared" ca="1" si="24"/>
        <v>-4.5099999999999909</v>
      </c>
      <c r="O98">
        <f t="shared" ca="1" si="25"/>
        <v>0</v>
      </c>
      <c r="P98">
        <f t="shared" ca="1" si="26"/>
        <v>4.5099999999999909</v>
      </c>
      <c r="Q98">
        <f t="shared" ca="1" si="30"/>
        <v>0.8456933841308808</v>
      </c>
      <c r="R98">
        <f t="shared" ca="1" si="31"/>
        <v>1.2033592120605034</v>
      </c>
      <c r="S98">
        <f t="shared" ca="1" si="28"/>
        <v>0.70277717214862723</v>
      </c>
      <c r="T98">
        <f t="shared" ca="1" si="29"/>
        <v>41.272409781124615</v>
      </c>
      <c r="U98">
        <f>70</f>
        <v>70</v>
      </c>
      <c r="V98">
        <f>30</f>
        <v>30</v>
      </c>
      <c r="W98">
        <f t="shared" ca="1" si="27"/>
        <v>271.35884226936037</v>
      </c>
      <c r="X98">
        <f t="shared" ca="1" si="37"/>
        <v>272.40520442186471</v>
      </c>
      <c r="Y98">
        <f t="shared" ca="1" si="36"/>
        <v>-1.4067102082792076</v>
      </c>
      <c r="Z98">
        <f t="shared" ca="1" si="18"/>
        <v>-1.2946034401215685</v>
      </c>
      <c r="AA98">
        <f t="shared" ca="1" si="19"/>
        <v>-0.11210676815763909</v>
      </c>
    </row>
    <row r="99" spans="1:28" x14ac:dyDescent="0.25">
      <c r="A99" s="21">
        <f t="shared" ca="1" si="20"/>
        <v>45432</v>
      </c>
      <c r="B99" vm="291">
        <f ca="1"/>
        <v>45433</v>
      </c>
      <c r="C99" vm="292">
        <f ca="1"/>
        <v>265.87</v>
      </c>
      <c r="D99" vm="293">
        <f ca="1"/>
        <v>2362574</v>
      </c>
      <c r="E99">
        <f t="shared" ca="1" si="21"/>
        <v>628137549.38</v>
      </c>
      <c r="F99">
        <f ca="1">SUM($E$2:E99)/SUM($D$2:D99)</f>
        <v>282.79932511590238</v>
      </c>
      <c r="G99">
        <f ca="1">_xlfn.STDEV.P($C$2:C99)</f>
        <v>10.670247492413397</v>
      </c>
      <c r="H99">
        <f t="shared" ca="1" si="22"/>
        <v>293.46957260831579</v>
      </c>
      <c r="I99">
        <f t="shared" ca="1" si="23"/>
        <v>272.12907762348897</v>
      </c>
      <c r="J99">
        <f t="shared" ca="1" si="32"/>
        <v>271.68900000000002</v>
      </c>
      <c r="K99">
        <f t="shared" ca="1" si="33"/>
        <v>3.0496054964881156</v>
      </c>
      <c r="L99">
        <f t="shared" ca="1" si="34"/>
        <v>277.78821099297625</v>
      </c>
      <c r="M99">
        <f t="shared" ca="1" si="35"/>
        <v>265.5897890070238</v>
      </c>
      <c r="N99">
        <f t="shared" ca="1" si="24"/>
        <v>-2</v>
      </c>
      <c r="O99">
        <f t="shared" ca="1" si="25"/>
        <v>0</v>
      </c>
      <c r="P99">
        <f t="shared" ca="1" si="26"/>
        <v>2</v>
      </c>
      <c r="Q99">
        <f t="shared" ca="1" si="30"/>
        <v>0.78528671383581794</v>
      </c>
      <c r="R99">
        <f t="shared" ca="1" si="31"/>
        <v>1.260262125484753</v>
      </c>
      <c r="S99">
        <f t="shared" ca="1" si="28"/>
        <v>0.62311379351637786</v>
      </c>
      <c r="T99">
        <f t="shared" ca="1" si="29"/>
        <v>38.390025148294725</v>
      </c>
      <c r="U99">
        <f>70</f>
        <v>70</v>
      </c>
      <c r="V99">
        <f>30</f>
        <v>30</v>
      </c>
      <c r="W99">
        <f t="shared" ca="1" si="27"/>
        <v>270.51440499715108</v>
      </c>
      <c r="X99">
        <f t="shared" ca="1" si="37"/>
        <v>271.92111520543028</v>
      </c>
      <c r="Y99">
        <f t="shared" ca="1" si="36"/>
        <v>-1.680980506014123</v>
      </c>
      <c r="Z99">
        <f t="shared" ca="1" si="18"/>
        <v>-1.3718788533000796</v>
      </c>
      <c r="AA99">
        <f t="shared" ca="1" si="19"/>
        <v>-0.30910165271404333</v>
      </c>
    </row>
    <row r="100" spans="1:28" x14ac:dyDescent="0.25">
      <c r="A100" s="21">
        <f t="shared" ca="1" si="20"/>
        <v>45432</v>
      </c>
      <c r="B100" vm="294">
        <f ca="1"/>
        <v>45434</v>
      </c>
      <c r="C100" vm="295">
        <f ca="1"/>
        <v>265.77</v>
      </c>
      <c r="D100" vm="296">
        <f ca="1"/>
        <v>1906061</v>
      </c>
      <c r="E100">
        <f t="shared" ca="1" si="21"/>
        <v>506573831.96999997</v>
      </c>
      <c r="F100">
        <f ca="1">SUM($E$2:E100)/SUM($D$2:D100)</f>
        <v>282.69924744536866</v>
      </c>
      <c r="G100">
        <f ca="1">_xlfn.STDEV.P($C$2:C100)</f>
        <v>10.763274186660059</v>
      </c>
      <c r="H100">
        <f t="shared" ca="1" si="22"/>
        <v>293.46252163202871</v>
      </c>
      <c r="I100">
        <f t="shared" ca="1" si="23"/>
        <v>271.9359732587086</v>
      </c>
      <c r="J100">
        <f t="shared" ca="1" si="32"/>
        <v>271.14</v>
      </c>
      <c r="K100">
        <f t="shared" ca="1" si="33"/>
        <v>3.0787437629485748</v>
      </c>
      <c r="L100">
        <f t="shared" ca="1" si="34"/>
        <v>277.29748752589711</v>
      </c>
      <c r="M100">
        <f t="shared" ca="1" si="35"/>
        <v>264.98251247410286</v>
      </c>
      <c r="N100">
        <f t="shared" ca="1" si="24"/>
        <v>-0.10000000000002274</v>
      </c>
      <c r="O100">
        <f t="shared" ca="1" si="25"/>
        <v>0</v>
      </c>
      <c r="P100">
        <f t="shared" ca="1" si="26"/>
        <v>0.10000000000002274</v>
      </c>
      <c r="Q100">
        <f t="shared" ca="1" si="30"/>
        <v>0.72919480570468809</v>
      </c>
      <c r="R100">
        <f t="shared" ca="1" si="31"/>
        <v>1.1773862593787008</v>
      </c>
      <c r="S100">
        <f t="shared" ca="1" si="28"/>
        <v>0.61933354487207926</v>
      </c>
      <c r="T100">
        <f t="shared" ca="1" si="29"/>
        <v>38.246199915595774</v>
      </c>
      <c r="U100">
        <f>70</f>
        <v>70</v>
      </c>
      <c r="V100">
        <f>30</f>
        <v>30</v>
      </c>
      <c r="W100">
        <f t="shared" ca="1" si="27"/>
        <v>269.78449653605094</v>
      </c>
      <c r="X100">
        <f t="shared" ca="1" si="37"/>
        <v>271.46547704206506</v>
      </c>
      <c r="Y100">
        <f t="shared" ca="1" si="36"/>
        <v>-2.5021212748262656</v>
      </c>
      <c r="Z100">
        <f t="shared" ca="1" si="18"/>
        <v>-1.5979273376053169</v>
      </c>
      <c r="AA100">
        <f t="shared" ca="1" si="19"/>
        <v>-0.90419393722094865</v>
      </c>
    </row>
    <row r="101" spans="1:28" x14ac:dyDescent="0.25">
      <c r="A101" s="21">
        <f t="shared" ca="1" si="20"/>
        <v>45432</v>
      </c>
      <c r="B101" vm="297">
        <f ca="1"/>
        <v>45435</v>
      </c>
      <c r="C101" vm="298">
        <f ca="1"/>
        <v>257.93</v>
      </c>
      <c r="D101" vm="299">
        <f ca="1"/>
        <v>5636170</v>
      </c>
      <c r="E101">
        <f t="shared" ca="1" si="21"/>
        <v>1453737328.1000001</v>
      </c>
      <c r="F101">
        <f ca="1">SUM($E$2:E101)/SUM($D$2:D101)</f>
        <v>282.27617209074737</v>
      </c>
      <c r="G101">
        <f ca="1">_xlfn.STDEV.P($C$2:C101)</f>
        <v>11.003323088958171</v>
      </c>
      <c r="H101">
        <f t="shared" ca="1" si="22"/>
        <v>293.27949517970552</v>
      </c>
      <c r="I101">
        <f t="shared" ca="1" si="23"/>
        <v>271.27284900178921</v>
      </c>
      <c r="J101">
        <f t="shared" ca="1" si="32"/>
        <v>270.25649999999996</v>
      </c>
      <c r="K101">
        <f t="shared" ca="1" si="33"/>
        <v>4.0981103154862399</v>
      </c>
      <c r="L101">
        <f t="shared" ca="1" si="34"/>
        <v>278.45272063097246</v>
      </c>
      <c r="M101">
        <f t="shared" ca="1" si="35"/>
        <v>262.06027936902746</v>
      </c>
      <c r="N101">
        <f t="shared" ca="1" si="24"/>
        <v>-7.839999999999975</v>
      </c>
      <c r="O101">
        <f t="shared" ca="1" si="25"/>
        <v>0</v>
      </c>
      <c r="P101">
        <f t="shared" ca="1" si="26"/>
        <v>7.839999999999975</v>
      </c>
      <c r="Q101">
        <f t="shared" ca="1" si="30"/>
        <v>0.67710946244006753</v>
      </c>
      <c r="R101">
        <f t="shared" ca="1" si="31"/>
        <v>1.6532872408516488</v>
      </c>
      <c r="S101">
        <f t="shared" ca="1" si="28"/>
        <v>0.4095534313149794</v>
      </c>
      <c r="T101">
        <f t="shared" ca="1" si="29"/>
        <v>29.05554498440722</v>
      </c>
      <c r="U101">
        <f>70</f>
        <v>70</v>
      </c>
      <c r="V101">
        <f>30</f>
        <v>30</v>
      </c>
      <c r="W101">
        <f t="shared" ca="1" si="27"/>
        <v>267.96072783819693</v>
      </c>
      <c r="X101">
        <f t="shared" ca="1" si="37"/>
        <v>270.4628491130232</v>
      </c>
      <c r="Y101">
        <f t="shared" ca="1" si="36"/>
        <v>-3.1025920050941522</v>
      </c>
      <c r="Z101">
        <f t="shared" ca="1" si="18"/>
        <v>-1.8988602711030842</v>
      </c>
      <c r="AA101">
        <f t="shared" ca="1" si="19"/>
        <v>-1.203731733991068</v>
      </c>
      <c r="AB101">
        <f ca="1">AVERAGE(C2:C101)</f>
        <v>283.06900000000007</v>
      </c>
    </row>
    <row r="102" spans="1:28" x14ac:dyDescent="0.25">
      <c r="A102" s="21">
        <f t="shared" ca="1" si="20"/>
        <v>45432</v>
      </c>
      <c r="B102" vm="300">
        <f ca="1"/>
        <v>45436</v>
      </c>
      <c r="C102" vm="301">
        <f ca="1"/>
        <v>258.11</v>
      </c>
      <c r="D102" vm="302">
        <f ca="1"/>
        <v>3382879</v>
      </c>
      <c r="E102">
        <f t="shared" ca="1" si="21"/>
        <v>873154898.69000006</v>
      </c>
      <c r="F102">
        <f ca="1">SUM($E$2:E102)/SUM($D$2:D102)</f>
        <v>282.03093539630498</v>
      </c>
      <c r="G102">
        <f ca="1">_xlfn.STDEV.P($C$2:C102)</f>
        <v>11.224132303482603</v>
      </c>
      <c r="H102">
        <f t="shared" ca="1" si="22"/>
        <v>293.25506769978756</v>
      </c>
      <c r="I102">
        <f t="shared" ca="1" si="23"/>
        <v>270.80680309282241</v>
      </c>
      <c r="J102">
        <f t="shared" ca="1" si="32"/>
        <v>269.50749999999994</v>
      </c>
      <c r="K102">
        <f t="shared" ca="1" si="33"/>
        <v>4.8524783412841286</v>
      </c>
      <c r="L102">
        <f t="shared" ca="1" si="34"/>
        <v>279.21245668256819</v>
      </c>
      <c r="M102">
        <f t="shared" ca="1" si="35"/>
        <v>259.80254331743168</v>
      </c>
      <c r="N102">
        <f t="shared" ca="1" si="24"/>
        <v>0.18000000000000682</v>
      </c>
      <c r="O102">
        <f t="shared" ca="1" si="25"/>
        <v>0.18000000000000682</v>
      </c>
      <c r="P102">
        <f t="shared" ca="1" si="26"/>
        <v>0</v>
      </c>
      <c r="Q102">
        <f t="shared" ca="1" si="30"/>
        <v>0.64160164369434891</v>
      </c>
      <c r="R102">
        <f t="shared" ca="1" si="31"/>
        <v>1.5351952950765309</v>
      </c>
      <c r="S102">
        <f t="shared" ca="1" si="28"/>
        <v>0.41792835462172551</v>
      </c>
      <c r="T102">
        <f t="shared" ca="1" si="29"/>
        <v>29.474574879576366</v>
      </c>
      <c r="U102">
        <f>70</f>
        <v>70</v>
      </c>
      <c r="V102">
        <f>30</f>
        <v>30</v>
      </c>
      <c r="W102">
        <f t="shared" ca="1" si="27"/>
        <v>266.44523124770512</v>
      </c>
      <c r="X102">
        <f t="shared" ca="1" si="37"/>
        <v>269.54782325279928</v>
      </c>
      <c r="Y102">
        <f t="shared" ca="1" si="36"/>
        <v>-3.9022475116562418</v>
      </c>
      <c r="Z102">
        <f t="shared" ref="Z102:Z165" ca="1" si="38">Y102*(2/(9+1)) + Z101*(1-(2/(9+1)))</f>
        <v>-2.2995377192137161</v>
      </c>
      <c r="AA102">
        <f t="shared" ref="AA102:AA165" ca="1" si="39">Y102-Z102</f>
        <v>-1.6027097924425258</v>
      </c>
      <c r="AB102">
        <f t="shared" ref="AB102:AB165" ca="1" si="40">AVERAGE(C3:C102)</f>
        <v>282.67970000000003</v>
      </c>
    </row>
    <row r="103" spans="1:28" x14ac:dyDescent="0.25">
      <c r="A103" s="21">
        <f t="shared" ca="1" si="20"/>
        <v>45439</v>
      </c>
      <c r="B103" vm="303">
        <f ca="1"/>
        <v>45440</v>
      </c>
      <c r="C103" vm="304">
        <f ca="1"/>
        <v>253.54</v>
      </c>
      <c r="D103" vm="305">
        <f ca="1"/>
        <v>4324728</v>
      </c>
      <c r="E103">
        <f t="shared" ca="1" si="21"/>
        <v>1096491537.1199999</v>
      </c>
      <c r="F103">
        <f ca="1">SUM($E$2:E103)/SUM($D$2:D103)</f>
        <v>281.6660481867176</v>
      </c>
      <c r="G103">
        <f ca="1">_xlfn.STDEV.P($C$2:C103)</f>
        <v>11.535587793687283</v>
      </c>
      <c r="H103">
        <f t="shared" ca="1" si="22"/>
        <v>293.20163598040489</v>
      </c>
      <c r="I103">
        <f t="shared" ca="1" si="23"/>
        <v>270.13046039303032</v>
      </c>
      <c r="J103">
        <f t="shared" ca="1" si="32"/>
        <v>268.50699999999995</v>
      </c>
      <c r="K103">
        <f t="shared" ca="1" si="33"/>
        <v>5.9204534854759405</v>
      </c>
      <c r="L103">
        <f t="shared" ca="1" si="34"/>
        <v>280.34790697095184</v>
      </c>
      <c r="M103">
        <f t="shared" ca="1" si="35"/>
        <v>256.66609302904806</v>
      </c>
      <c r="N103">
        <f t="shared" ca="1" si="24"/>
        <v>-4.5700000000000216</v>
      </c>
      <c r="O103">
        <f t="shared" ca="1" si="25"/>
        <v>0</v>
      </c>
      <c r="P103">
        <f t="shared" ca="1" si="26"/>
        <v>4.5700000000000216</v>
      </c>
      <c r="Q103">
        <f t="shared" ca="1" si="30"/>
        <v>0.59577295485903825</v>
      </c>
      <c r="R103">
        <f t="shared" ca="1" si="31"/>
        <v>1.751967059713923</v>
      </c>
      <c r="S103">
        <f t="shared" ca="1" si="28"/>
        <v>0.34005945006541471</v>
      </c>
      <c r="T103">
        <f t="shared" ca="1" si="29"/>
        <v>25.37644505613649</v>
      </c>
      <c r="U103">
        <f>70</f>
        <v>70</v>
      </c>
      <c r="V103">
        <f>30</f>
        <v>30</v>
      </c>
      <c r="W103">
        <f t="shared" ca="1" si="27"/>
        <v>264.45981105575049</v>
      </c>
      <c r="X103">
        <f t="shared" ca="1" si="37"/>
        <v>268.36205856740673</v>
      </c>
      <c r="Y103">
        <f t="shared" ca="1" si="36"/>
        <v>-4.8169377517074281</v>
      </c>
      <c r="Z103">
        <f t="shared" ca="1" si="38"/>
        <v>-2.8030177257124587</v>
      </c>
      <c r="AA103">
        <f t="shared" ca="1" si="39"/>
        <v>-2.0139200259949694</v>
      </c>
      <c r="AB103">
        <f t="shared" ca="1" si="40"/>
        <v>282.27120000000008</v>
      </c>
    </row>
    <row r="104" spans="1:28" x14ac:dyDescent="0.25">
      <c r="A104" s="21">
        <f t="shared" ca="1" si="20"/>
        <v>45439</v>
      </c>
      <c r="B104" vm="306">
        <f ca="1"/>
        <v>45441</v>
      </c>
      <c r="C104" vm="307">
        <f ca="1"/>
        <v>249.37</v>
      </c>
      <c r="D104" vm="308">
        <f ca="1"/>
        <v>4029317</v>
      </c>
      <c r="E104">
        <f t="shared" ca="1" si="21"/>
        <v>1004790780.29</v>
      </c>
      <c r="F104">
        <f ca="1">SUM($E$2:E104)/SUM($D$2:D104)</f>
        <v>281.28522578158731</v>
      </c>
      <c r="G104">
        <f ca="1">_xlfn.STDEV.P($C$2:C104)</f>
        <v>11.931171413405702</v>
      </c>
      <c r="H104">
        <f t="shared" ca="1" si="22"/>
        <v>293.21639719499302</v>
      </c>
      <c r="I104">
        <f t="shared" ca="1" si="23"/>
        <v>269.35405436818161</v>
      </c>
      <c r="J104">
        <f t="shared" ca="1" si="32"/>
        <v>267.32350000000002</v>
      </c>
      <c r="K104">
        <f t="shared" ca="1" si="33"/>
        <v>7.1951988926827548</v>
      </c>
      <c r="L104">
        <f t="shared" ca="1" si="34"/>
        <v>281.71389778536553</v>
      </c>
      <c r="M104">
        <f t="shared" ca="1" si="35"/>
        <v>252.93310221463452</v>
      </c>
      <c r="N104">
        <f t="shared" ca="1" si="24"/>
        <v>-4.1699999999999875</v>
      </c>
      <c r="O104">
        <f t="shared" ca="1" si="25"/>
        <v>0</v>
      </c>
      <c r="P104">
        <f t="shared" ca="1" si="26"/>
        <v>4.1699999999999875</v>
      </c>
      <c r="Q104">
        <f t="shared" ca="1" si="30"/>
        <v>0.55321774379767841</v>
      </c>
      <c r="R104">
        <f t="shared" ca="1" si="31"/>
        <v>1.9246836983057847</v>
      </c>
      <c r="S104">
        <f t="shared" ca="1" si="28"/>
        <v>0.28743306979980759</v>
      </c>
      <c r="T104">
        <f t="shared" ca="1" si="29"/>
        <v>22.326059236966984</v>
      </c>
      <c r="U104">
        <f>70</f>
        <v>70</v>
      </c>
      <c r="V104">
        <f>30</f>
        <v>30</v>
      </c>
      <c r="W104">
        <f t="shared" ca="1" si="27"/>
        <v>262.13830166255809</v>
      </c>
      <c r="X104">
        <f t="shared" ca="1" si="37"/>
        <v>266.95523941426552</v>
      </c>
      <c r="Y104">
        <f t="shared" ca="1" si="36"/>
        <v>-5.2632969112722208</v>
      </c>
      <c r="Z104">
        <f t="shared" ca="1" si="38"/>
        <v>-3.2950735628244114</v>
      </c>
      <c r="AA104">
        <f t="shared" ca="1" si="39"/>
        <v>-1.9682233484478093</v>
      </c>
      <c r="AB104">
        <f t="shared" ca="1" si="40"/>
        <v>281.84750000000003</v>
      </c>
    </row>
    <row r="105" spans="1:28" x14ac:dyDescent="0.25">
      <c r="A105" s="21">
        <f t="shared" ca="1" si="20"/>
        <v>45439</v>
      </c>
      <c r="B105" vm="309">
        <f ca="1"/>
        <v>45442</v>
      </c>
      <c r="C105" vm="310">
        <f ca="1"/>
        <v>252.07</v>
      </c>
      <c r="D105" vm="311">
        <f ca="1"/>
        <v>3599768</v>
      </c>
      <c r="E105">
        <f t="shared" ca="1" si="21"/>
        <v>907393519.75999999</v>
      </c>
      <c r="F105">
        <f ca="1">SUM($E$2:E105)/SUM($D$2:D105)</f>
        <v>280.98066480148026</v>
      </c>
      <c r="G105">
        <f ca="1">_xlfn.STDEV.P($C$2:C105)</f>
        <v>12.232600113552788</v>
      </c>
      <c r="H105">
        <f t="shared" ca="1" si="22"/>
        <v>293.21326491503305</v>
      </c>
      <c r="I105">
        <f t="shared" ca="1" si="23"/>
        <v>268.74806468792747</v>
      </c>
      <c r="J105">
        <f t="shared" ca="1" si="32"/>
        <v>266.20549999999992</v>
      </c>
      <c r="K105">
        <f t="shared" ca="1" si="33"/>
        <v>7.7487360429400267</v>
      </c>
      <c r="L105">
        <f t="shared" ca="1" si="34"/>
        <v>281.70297208587999</v>
      </c>
      <c r="M105">
        <f t="shared" ca="1" si="35"/>
        <v>250.70802791411987</v>
      </c>
      <c r="N105">
        <f t="shared" ca="1" si="24"/>
        <v>2.6999999999999886</v>
      </c>
      <c r="O105">
        <f t="shared" ca="1" si="25"/>
        <v>2.6999999999999886</v>
      </c>
      <c r="P105">
        <f t="shared" ca="1" si="26"/>
        <v>0</v>
      </c>
      <c r="Q105">
        <f t="shared" ca="1" si="30"/>
        <v>0.70655933352641487</v>
      </c>
      <c r="R105">
        <f t="shared" ca="1" si="31"/>
        <v>1.7872062912839428</v>
      </c>
      <c r="S105">
        <f t="shared" ca="1" si="28"/>
        <v>0.39534290863469218</v>
      </c>
      <c r="T105">
        <f t="shared" ca="1" si="29"/>
        <v>28.333028833860297</v>
      </c>
      <c r="U105">
        <f>70</f>
        <v>70</v>
      </c>
      <c r="V105">
        <f>30</f>
        <v>30</v>
      </c>
      <c r="W105">
        <f t="shared" ca="1" si="27"/>
        <v>260.58933217601066</v>
      </c>
      <c r="X105">
        <f t="shared" ca="1" si="37"/>
        <v>265.85262908728288</v>
      </c>
      <c r="Y105">
        <f t="shared" ca="1" si="36"/>
        <v>-5.0089823278967742</v>
      </c>
      <c r="Z105">
        <f t="shared" ca="1" si="38"/>
        <v>-3.637855315838884</v>
      </c>
      <c r="AA105">
        <f t="shared" ca="1" si="39"/>
        <v>-1.3711270120578902</v>
      </c>
      <c r="AB105">
        <f t="shared" ca="1" si="40"/>
        <v>281.47830000000005</v>
      </c>
    </row>
    <row r="106" spans="1:28" x14ac:dyDescent="0.25">
      <c r="A106" s="21">
        <f t="shared" ca="1" si="20"/>
        <v>45439</v>
      </c>
      <c r="B106" vm="312">
        <f ca="1"/>
        <v>45443</v>
      </c>
      <c r="C106" vm="313">
        <f ca="1"/>
        <v>258.89</v>
      </c>
      <c r="D106" vm="314">
        <f ca="1"/>
        <v>6125399</v>
      </c>
      <c r="E106">
        <f t="shared" ca="1" si="21"/>
        <v>1585804547.1099999</v>
      </c>
      <c r="F106">
        <f ca="1">SUM($E$2:E106)/SUM($D$2:D106)</f>
        <v>280.5956323552881</v>
      </c>
      <c r="G106">
        <f ca="1">_xlfn.STDEV.P($C$2:C106)</f>
        <v>12.378038241660839</v>
      </c>
      <c r="H106">
        <f t="shared" ca="1" si="22"/>
        <v>292.97367059694892</v>
      </c>
      <c r="I106">
        <f t="shared" ca="1" si="23"/>
        <v>268.21759411362729</v>
      </c>
      <c r="J106">
        <f t="shared" ca="1" si="32"/>
        <v>265.48599999999999</v>
      </c>
      <c r="K106">
        <f t="shared" ca="1" si="33"/>
        <v>7.7253161406950985</v>
      </c>
      <c r="L106">
        <f t="shared" ca="1" si="34"/>
        <v>280.93663228139019</v>
      </c>
      <c r="M106">
        <f t="shared" ca="1" si="35"/>
        <v>250.03536771860979</v>
      </c>
      <c r="N106">
        <f t="shared" ca="1" si="24"/>
        <v>6.8199999999999932</v>
      </c>
      <c r="O106">
        <f t="shared" ca="1" si="25"/>
        <v>6.8199999999999932</v>
      </c>
      <c r="P106">
        <f t="shared" ca="1" si="26"/>
        <v>0</v>
      </c>
      <c r="Q106">
        <f t="shared" ca="1" si="30"/>
        <v>1.1432336668459562</v>
      </c>
      <c r="R106">
        <f t="shared" ca="1" si="31"/>
        <v>1.6595486990493755</v>
      </c>
      <c r="S106">
        <f t="shared" ca="1" si="28"/>
        <v>0.68888226510064121</v>
      </c>
      <c r="T106">
        <f t="shared" ca="1" si="29"/>
        <v>40.78924146080665</v>
      </c>
      <c r="U106">
        <f>70</f>
        <v>70</v>
      </c>
      <c r="V106">
        <f>30</f>
        <v>30</v>
      </c>
      <c r="W106">
        <f t="shared" ca="1" si="27"/>
        <v>260.32789645662439</v>
      </c>
      <c r="X106">
        <f t="shared" ca="1" si="37"/>
        <v>265.33687878452116</v>
      </c>
      <c r="Y106">
        <f t="shared" ca="1" si="36"/>
        <v>-4.6840466021422458</v>
      </c>
      <c r="Z106">
        <f t="shared" ca="1" si="38"/>
        <v>-3.8470935730995568</v>
      </c>
      <c r="AA106">
        <f t="shared" ca="1" si="39"/>
        <v>-0.83695302904268898</v>
      </c>
      <c r="AB106">
        <f t="shared" ca="1" si="40"/>
        <v>281.14820000000003</v>
      </c>
    </row>
    <row r="107" spans="1:28" x14ac:dyDescent="0.25">
      <c r="A107" s="21">
        <f t="shared" ca="1" si="20"/>
        <v>45446</v>
      </c>
      <c r="B107" vm="315">
        <f ca="1"/>
        <v>45446</v>
      </c>
      <c r="C107" vm="316">
        <f ca="1"/>
        <v>259.75</v>
      </c>
      <c r="D107" vm="317">
        <f ca="1"/>
        <v>4342771</v>
      </c>
      <c r="E107">
        <f t="shared" ca="1" si="21"/>
        <v>1128034767.25</v>
      </c>
      <c r="F107">
        <f ca="1">SUM($E$2:E107)/SUM($D$2:D107)</f>
        <v>280.34118240278309</v>
      </c>
      <c r="G107">
        <f ca="1">_xlfn.STDEV.P($C$2:C107)</f>
        <v>12.500972342744463</v>
      </c>
      <c r="H107">
        <f t="shared" ca="1" si="22"/>
        <v>292.84215474552758</v>
      </c>
      <c r="I107">
        <f t="shared" ca="1" si="23"/>
        <v>267.8402100600386</v>
      </c>
      <c r="J107">
        <f t="shared" ca="1" si="32"/>
        <v>264.95750000000004</v>
      </c>
      <c r="K107">
        <f t="shared" ca="1" si="33"/>
        <v>7.7387527044771653</v>
      </c>
      <c r="L107">
        <f t="shared" ca="1" si="34"/>
        <v>280.4350054089544</v>
      </c>
      <c r="M107">
        <f t="shared" ca="1" si="35"/>
        <v>249.47999459104571</v>
      </c>
      <c r="N107">
        <f t="shared" ca="1" si="24"/>
        <v>0.86000000000001364</v>
      </c>
      <c r="O107">
        <f t="shared" ca="1" si="25"/>
        <v>0.86000000000001364</v>
      </c>
      <c r="P107">
        <f t="shared" ca="1" si="26"/>
        <v>0</v>
      </c>
      <c r="Q107">
        <f t="shared" ca="1" si="30"/>
        <v>1.1230026906426747</v>
      </c>
      <c r="R107">
        <f t="shared" ca="1" si="31"/>
        <v>1.5410095062601346</v>
      </c>
      <c r="S107">
        <f t="shared" ca="1" si="28"/>
        <v>0.72874481700510874</v>
      </c>
      <c r="T107">
        <f t="shared" ca="1" si="29"/>
        <v>42.15456265359002</v>
      </c>
      <c r="U107">
        <f>70</f>
        <v>70</v>
      </c>
      <c r="V107">
        <f>30</f>
        <v>30</v>
      </c>
      <c r="W107">
        <f t="shared" ca="1" si="27"/>
        <v>260.23898930945143</v>
      </c>
      <c r="X107">
        <f t="shared" ca="1" si="37"/>
        <v>264.92303591159367</v>
      </c>
      <c r="Y107">
        <f t="shared" ca="1" si="36"/>
        <v>-4.1391648044469207</v>
      </c>
      <c r="Z107">
        <f t="shared" ca="1" si="38"/>
        <v>-3.9055078193690296</v>
      </c>
      <c r="AA107">
        <f t="shared" ca="1" si="39"/>
        <v>-0.23365698507789112</v>
      </c>
      <c r="AB107">
        <f t="shared" ca="1" si="40"/>
        <v>280.83699999999999</v>
      </c>
    </row>
    <row r="108" spans="1:28" x14ac:dyDescent="0.25">
      <c r="A108" s="21">
        <f t="shared" ca="1" si="20"/>
        <v>45446</v>
      </c>
      <c r="B108" vm="318">
        <f ca="1"/>
        <v>45447</v>
      </c>
      <c r="C108" vm="319">
        <f ca="1"/>
        <v>262.72000000000003</v>
      </c>
      <c r="D108" vm="320">
        <f ca="1"/>
        <v>4592727</v>
      </c>
      <c r="E108">
        <f t="shared" ca="1" si="21"/>
        <v>1206601237.4400001</v>
      </c>
      <c r="F108">
        <f ca="1">SUM($E$2:E108)/SUM($D$2:D108)</f>
        <v>280.11661038605445</v>
      </c>
      <c r="G108">
        <f ca="1">_xlfn.STDEV.P($C$2:C108)</f>
        <v>12.572904848376</v>
      </c>
      <c r="H108">
        <f t="shared" ca="1" si="22"/>
        <v>292.68951523443047</v>
      </c>
      <c r="I108">
        <f t="shared" ca="1" si="23"/>
        <v>267.54370553767842</v>
      </c>
      <c r="J108">
        <f t="shared" ca="1" si="32"/>
        <v>264.62850000000003</v>
      </c>
      <c r="K108">
        <f t="shared" ca="1" si="33"/>
        <v>7.6840979164423526</v>
      </c>
      <c r="L108">
        <f t="shared" ca="1" si="34"/>
        <v>279.99669583288471</v>
      </c>
      <c r="M108">
        <f t="shared" ca="1" si="35"/>
        <v>249.26030416711532</v>
      </c>
      <c r="N108">
        <f t="shared" ca="1" si="24"/>
        <v>2.9700000000000273</v>
      </c>
      <c r="O108">
        <f t="shared" ca="1" si="25"/>
        <v>2.9700000000000273</v>
      </c>
      <c r="P108">
        <f t="shared" ca="1" si="26"/>
        <v>0</v>
      </c>
      <c r="Q108">
        <f t="shared" ca="1" si="30"/>
        <v>1.2549310698824858</v>
      </c>
      <c r="R108">
        <f t="shared" ca="1" si="31"/>
        <v>1.4309373986701248</v>
      </c>
      <c r="S108">
        <f t="shared" ca="1" si="28"/>
        <v>0.87699928106483582</v>
      </c>
      <c r="T108">
        <f t="shared" ca="1" si="29"/>
        <v>46.72347453256922</v>
      </c>
      <c r="U108">
        <f>70</f>
        <v>70</v>
      </c>
      <c r="V108">
        <f>30</f>
        <v>30</v>
      </c>
      <c r="W108">
        <f t="shared" ca="1" si="27"/>
        <v>260.62068326184351</v>
      </c>
      <c r="X108">
        <f t="shared" ca="1" si="37"/>
        <v>264.75984806629043</v>
      </c>
      <c r="Y108">
        <f t="shared" ca="1" si="36"/>
        <v>-3.8828709195922215</v>
      </c>
      <c r="Z108">
        <f t="shared" ca="1" si="38"/>
        <v>-3.9009804394136678</v>
      </c>
      <c r="AA108">
        <f t="shared" ca="1" si="39"/>
        <v>1.8109519821446263E-2</v>
      </c>
      <c r="AB108">
        <f t="shared" ca="1" si="40"/>
        <v>280.52330000000001</v>
      </c>
    </row>
    <row r="109" spans="1:28" x14ac:dyDescent="0.25">
      <c r="A109" s="21">
        <f t="shared" ca="1" si="20"/>
        <v>45446</v>
      </c>
      <c r="B109" vm="321">
        <f ca="1"/>
        <v>45448</v>
      </c>
      <c r="C109" vm="322">
        <f ca="1"/>
        <v>259.99</v>
      </c>
      <c r="D109" vm="323">
        <f ca="1"/>
        <v>4136828</v>
      </c>
      <c r="E109">
        <f t="shared" ca="1" si="21"/>
        <v>1075533911.72</v>
      </c>
      <c r="F109">
        <f ca="1">SUM($E$2:E109)/SUM($D$2:D109)</f>
        <v>279.88819200819887</v>
      </c>
      <c r="G109">
        <f ca="1">_xlfn.STDEV.P($C$2:C109)</f>
        <v>12.68023354695065</v>
      </c>
      <c r="H109">
        <f t="shared" ca="1" si="22"/>
        <v>292.56842555514953</v>
      </c>
      <c r="I109">
        <f t="shared" ca="1" si="23"/>
        <v>267.20795846124821</v>
      </c>
      <c r="J109">
        <f t="shared" ca="1" si="32"/>
        <v>264.25299999999999</v>
      </c>
      <c r="K109">
        <f t="shared" ca="1" si="33"/>
        <v>7.7198037198936733</v>
      </c>
      <c r="L109">
        <f t="shared" ca="1" si="34"/>
        <v>279.69260743978731</v>
      </c>
      <c r="M109">
        <f t="shared" ca="1" si="35"/>
        <v>248.81339256021263</v>
      </c>
      <c r="N109">
        <f t="shared" ca="1" si="24"/>
        <v>-2.7300000000000182</v>
      </c>
      <c r="O109">
        <f t="shared" ca="1" si="25"/>
        <v>0</v>
      </c>
      <c r="P109">
        <f t="shared" ca="1" si="26"/>
        <v>2.7300000000000182</v>
      </c>
      <c r="Q109">
        <f t="shared" ca="1" si="30"/>
        <v>1.1652931363194512</v>
      </c>
      <c r="R109">
        <f t="shared" ca="1" si="31"/>
        <v>1.5237275844794029</v>
      </c>
      <c r="S109">
        <f t="shared" ca="1" si="28"/>
        <v>0.7647647441636265</v>
      </c>
      <c r="T109">
        <f t="shared" ca="1" si="29"/>
        <v>43.335223388433612</v>
      </c>
      <c r="U109">
        <f>70</f>
        <v>70</v>
      </c>
      <c r="V109">
        <f>30</f>
        <v>30</v>
      </c>
      <c r="W109">
        <f t="shared" ca="1" si="27"/>
        <v>260.52365506771372</v>
      </c>
      <c r="X109">
        <f t="shared" ca="1" si="37"/>
        <v>264.40652598730594</v>
      </c>
      <c r="Y109">
        <f t="shared" ca="1" si="36"/>
        <v>-3.5795880078730988</v>
      </c>
      <c r="Z109">
        <f t="shared" ca="1" si="38"/>
        <v>-3.8367019531055542</v>
      </c>
      <c r="AA109">
        <f t="shared" ca="1" si="39"/>
        <v>0.25711394523245534</v>
      </c>
      <c r="AB109">
        <f t="shared" ca="1" si="40"/>
        <v>280.18170000000003</v>
      </c>
    </row>
    <row r="110" spans="1:28" x14ac:dyDescent="0.25">
      <c r="A110" s="21">
        <f t="shared" ca="1" si="20"/>
        <v>45446</v>
      </c>
      <c r="B110" vm="324">
        <f ca="1"/>
        <v>45449</v>
      </c>
      <c r="C110" vm="325">
        <f ca="1"/>
        <v>260.72000000000003</v>
      </c>
      <c r="D110" vm="326">
        <f ca="1"/>
        <v>3354270</v>
      </c>
      <c r="E110">
        <f t="shared" ca="1" si="21"/>
        <v>874525274.4000001</v>
      </c>
      <c r="F110">
        <f ca="1">SUM($E$2:E110)/SUM($D$2:D110)</f>
        <v>279.71341112639851</v>
      </c>
      <c r="G110">
        <f ca="1">_xlfn.STDEV.P($C$2:C110)</f>
        <v>12.770961589779192</v>
      </c>
      <c r="H110">
        <f t="shared" ca="1" si="22"/>
        <v>292.48437271617769</v>
      </c>
      <c r="I110">
        <f t="shared" ca="1" si="23"/>
        <v>266.94244953661934</v>
      </c>
      <c r="J110">
        <f t="shared" ca="1" si="32"/>
        <v>263.86450000000002</v>
      </c>
      <c r="K110">
        <f t="shared" ca="1" si="33"/>
        <v>7.6908123415985257</v>
      </c>
      <c r="L110">
        <f t="shared" ca="1" si="34"/>
        <v>279.24612468319708</v>
      </c>
      <c r="M110">
        <f t="shared" ca="1" si="35"/>
        <v>248.48287531680296</v>
      </c>
      <c r="N110">
        <f t="shared" ca="1" si="24"/>
        <v>0.73000000000001819</v>
      </c>
      <c r="O110">
        <f t="shared" ca="1" si="25"/>
        <v>0.73000000000001819</v>
      </c>
      <c r="P110">
        <f t="shared" ca="1" si="26"/>
        <v>0</v>
      </c>
      <c r="Q110">
        <f t="shared" ca="1" si="30"/>
        <v>1.1342007694394918</v>
      </c>
      <c r="R110">
        <f t="shared" ca="1" si="31"/>
        <v>1.4148898998737314</v>
      </c>
      <c r="S110">
        <f t="shared" ca="1" si="28"/>
        <v>0.80161768738381056</v>
      </c>
      <c r="T110">
        <f t="shared" ca="1" si="29"/>
        <v>44.494328236079127</v>
      </c>
      <c r="U110">
        <f>70</f>
        <v>70</v>
      </c>
      <c r="V110">
        <f>30</f>
        <v>30</v>
      </c>
      <c r="W110">
        <f t="shared" ca="1" si="27"/>
        <v>260.55386198037314</v>
      </c>
      <c r="X110">
        <f t="shared" ca="1" si="37"/>
        <v>264.13344998824624</v>
      </c>
      <c r="Y110">
        <f t="shared" ca="1" si="36"/>
        <v>-3.6609522450404484</v>
      </c>
      <c r="Z110">
        <f t="shared" ca="1" si="38"/>
        <v>-3.8015520114925332</v>
      </c>
      <c r="AA110">
        <f t="shared" ca="1" si="39"/>
        <v>0.14059976645208483</v>
      </c>
      <c r="AB110">
        <f t="shared" ca="1" si="40"/>
        <v>279.85420000000005</v>
      </c>
    </row>
    <row r="111" spans="1:28" x14ac:dyDescent="0.25">
      <c r="A111" s="21">
        <f t="shared" ca="1" si="20"/>
        <v>45446</v>
      </c>
      <c r="B111" vm="327">
        <f ca="1"/>
        <v>45450</v>
      </c>
      <c r="C111" vm="328">
        <f ca="1"/>
        <v>256.20999999999998</v>
      </c>
      <c r="D111" vm="329">
        <f ca="1"/>
        <v>2290085</v>
      </c>
      <c r="E111">
        <f t="shared" ca="1" si="21"/>
        <v>586742677.8499999</v>
      </c>
      <c r="F111">
        <f ca="1">SUM($E$2:E111)/SUM($D$2:D111)</f>
        <v>279.56799854431284</v>
      </c>
      <c r="G111">
        <f ca="1">_xlfn.STDEV.P($C$2:C111)</f>
        <v>12.927580254940745</v>
      </c>
      <c r="H111">
        <f t="shared" ca="1" si="22"/>
        <v>292.49557879925356</v>
      </c>
      <c r="I111">
        <f t="shared" ca="1" si="23"/>
        <v>266.64041828937212</v>
      </c>
      <c r="J111">
        <f t="shared" ca="1" si="32"/>
        <v>263.27750000000003</v>
      </c>
      <c r="K111">
        <f t="shared" ca="1" si="33"/>
        <v>7.8096835133664273</v>
      </c>
      <c r="L111">
        <f t="shared" ca="1" si="34"/>
        <v>278.89686702673288</v>
      </c>
      <c r="M111">
        <f t="shared" ca="1" si="35"/>
        <v>247.65813297326719</v>
      </c>
      <c r="N111">
        <f t="shared" ca="1" si="24"/>
        <v>-4.5100000000000477</v>
      </c>
      <c r="O111">
        <f t="shared" ca="1" si="25"/>
        <v>0</v>
      </c>
      <c r="P111">
        <f t="shared" ca="1" si="26"/>
        <v>4.5100000000000477</v>
      </c>
      <c r="Q111">
        <f t="shared" ca="1" si="30"/>
        <v>1.0531864287652424</v>
      </c>
      <c r="R111">
        <f t="shared" ca="1" si="31"/>
        <v>1.6359691927398967</v>
      </c>
      <c r="S111">
        <f t="shared" ca="1" si="28"/>
        <v>0.64376910851321201</v>
      </c>
      <c r="T111">
        <f t="shared" ca="1" si="29"/>
        <v>39.164205311991822</v>
      </c>
      <c r="U111">
        <f>70</f>
        <v>70</v>
      </c>
      <c r="V111">
        <f>30</f>
        <v>30</v>
      </c>
      <c r="W111">
        <f t="shared" ca="1" si="27"/>
        <v>259.88557552185421</v>
      </c>
      <c r="X111">
        <f t="shared" ca="1" si="37"/>
        <v>263.54652776689466</v>
      </c>
      <c r="Y111">
        <f t="shared" ca="1" si="36"/>
        <v>-3.8744318924503318</v>
      </c>
      <c r="Z111">
        <f t="shared" ca="1" si="38"/>
        <v>-3.816127987684093</v>
      </c>
      <c r="AA111">
        <f t="shared" ca="1" si="39"/>
        <v>-5.8303904766238812E-2</v>
      </c>
      <c r="AB111">
        <f t="shared" ca="1" si="40"/>
        <v>279.50540000000007</v>
      </c>
    </row>
    <row r="112" spans="1:28" x14ac:dyDescent="0.25">
      <c r="A112" s="21">
        <f t="shared" ca="1" si="20"/>
        <v>45453</v>
      </c>
      <c r="B112" vm="330">
        <f ca="1"/>
        <v>45453</v>
      </c>
      <c r="C112" vm="331">
        <f ca="1"/>
        <v>253.81</v>
      </c>
      <c r="D112" vm="332">
        <f ca="1"/>
        <v>2867127</v>
      </c>
      <c r="E112">
        <f t="shared" ca="1" si="21"/>
        <v>727705503.87</v>
      </c>
      <c r="F112">
        <f ca="1">SUM($E$2:E112)/SUM($D$2:D112)</f>
        <v>279.37001571164592</v>
      </c>
      <c r="G112">
        <f ca="1">_xlfn.STDEV.P($C$2:C112)</f>
        <v>13.117840759417408</v>
      </c>
      <c r="H112">
        <f t="shared" ca="1" si="22"/>
        <v>292.48785647106331</v>
      </c>
      <c r="I112">
        <f t="shared" ca="1" si="23"/>
        <v>266.25217495222853</v>
      </c>
      <c r="J112">
        <f t="shared" ca="1" si="32"/>
        <v>262.21800000000002</v>
      </c>
      <c r="K112">
        <f t="shared" ca="1" si="33"/>
        <v>7.5693207649104997</v>
      </c>
      <c r="L112">
        <f t="shared" ca="1" si="34"/>
        <v>277.35664152982099</v>
      </c>
      <c r="M112">
        <f t="shared" ca="1" si="35"/>
        <v>247.07935847017902</v>
      </c>
      <c r="N112">
        <f t="shared" ca="1" si="24"/>
        <v>-2.3999999999999773</v>
      </c>
      <c r="O112">
        <f t="shared" ca="1" si="25"/>
        <v>0</v>
      </c>
      <c r="P112">
        <f t="shared" ca="1" si="26"/>
        <v>2.3999999999999773</v>
      </c>
      <c r="Q112">
        <f t="shared" ca="1" si="30"/>
        <v>0.97795882671058221</v>
      </c>
      <c r="R112">
        <f t="shared" ca="1" si="31"/>
        <v>1.6905428218299026</v>
      </c>
      <c r="S112">
        <f t="shared" ca="1" si="28"/>
        <v>0.57848805370810152</v>
      </c>
      <c r="T112">
        <f t="shared" ca="1" si="29"/>
        <v>36.648237682201504</v>
      </c>
      <c r="U112">
        <f>70</f>
        <v>70</v>
      </c>
      <c r="V112">
        <f>30</f>
        <v>30</v>
      </c>
      <c r="W112">
        <f t="shared" ca="1" si="27"/>
        <v>258.95087159541509</v>
      </c>
      <c r="X112">
        <f t="shared" ca="1" si="37"/>
        <v>262.82530348786543</v>
      </c>
      <c r="Y112">
        <f t="shared" ca="1" si="36"/>
        <v>-3.96004207896857</v>
      </c>
      <c r="Z112">
        <f t="shared" ca="1" si="38"/>
        <v>-3.8449108059409887</v>
      </c>
      <c r="AA112">
        <f t="shared" ca="1" si="39"/>
        <v>-0.1151312730275813</v>
      </c>
      <c r="AB112">
        <f t="shared" ca="1" si="40"/>
        <v>279.13190000000009</v>
      </c>
    </row>
    <row r="113" spans="1:28" x14ac:dyDescent="0.25">
      <c r="A113" s="21">
        <f t="shared" ca="1" si="20"/>
        <v>45453</v>
      </c>
      <c r="B113" vm="333">
        <f ca="1"/>
        <v>45454</v>
      </c>
      <c r="C113" vm="334">
        <f ca="1"/>
        <v>254.28</v>
      </c>
      <c r="D113" vm="335">
        <f ca="1"/>
        <v>2729439</v>
      </c>
      <c r="E113">
        <f t="shared" ca="1" si="21"/>
        <v>694041748.91999996</v>
      </c>
      <c r="F113">
        <f ca="1">SUM($E$2:E113)/SUM($D$2:D113)</f>
        <v>279.18776191366169</v>
      </c>
      <c r="G113">
        <f ca="1">_xlfn.STDEV.P($C$2:C113)</f>
        <v>13.289489531780598</v>
      </c>
      <c r="H113">
        <f t="shared" ca="1" si="22"/>
        <v>292.47725144544228</v>
      </c>
      <c r="I113">
        <f t="shared" ca="1" si="23"/>
        <v>265.8982723818811</v>
      </c>
      <c r="J113">
        <f t="shared" ca="1" si="32"/>
        <v>261.36599999999999</v>
      </c>
      <c r="K113">
        <f t="shared" ca="1" si="33"/>
        <v>7.4489316789654305</v>
      </c>
      <c r="L113">
        <f t="shared" ca="1" si="34"/>
        <v>276.26386335793086</v>
      </c>
      <c r="M113">
        <f t="shared" ca="1" si="35"/>
        <v>246.46813664206911</v>
      </c>
      <c r="N113">
        <f t="shared" ca="1" si="24"/>
        <v>0.46999999999999886</v>
      </c>
      <c r="O113">
        <f t="shared" ca="1" si="25"/>
        <v>0.46999999999999886</v>
      </c>
      <c r="P113">
        <f t="shared" ca="1" si="26"/>
        <v>0</v>
      </c>
      <c r="Q113">
        <f t="shared" ca="1" si="30"/>
        <v>0.94167605337411187</v>
      </c>
      <c r="R113">
        <f t="shared" ca="1" si="31"/>
        <v>1.5697897631277666</v>
      </c>
      <c r="S113">
        <f t="shared" ca="1" si="28"/>
        <v>0.59987399299753741</v>
      </c>
      <c r="T113">
        <f t="shared" ca="1" si="29"/>
        <v>37.495077463795035</v>
      </c>
      <c r="U113">
        <f>70</f>
        <v>70</v>
      </c>
      <c r="V113">
        <f>30</f>
        <v>30</v>
      </c>
      <c r="W113">
        <f t="shared" ca="1" si="27"/>
        <v>258.23227596535128</v>
      </c>
      <c r="X113">
        <f t="shared" ca="1" si="37"/>
        <v>262.19231804431985</v>
      </c>
      <c r="Y113">
        <f t="shared" ca="1" si="36"/>
        <v>-3.9660324863094729</v>
      </c>
      <c r="Z113">
        <f t="shared" ca="1" si="38"/>
        <v>-3.8691351420146853</v>
      </c>
      <c r="AA113">
        <f t="shared" ca="1" si="39"/>
        <v>-9.689734429478758E-2</v>
      </c>
      <c r="AB113">
        <f t="shared" ca="1" si="40"/>
        <v>278.73110000000003</v>
      </c>
    </row>
    <row r="114" spans="1:28" x14ac:dyDescent="0.25">
      <c r="A114" s="21">
        <f t="shared" ca="1" si="20"/>
        <v>45453</v>
      </c>
      <c r="B114" vm="336">
        <f ca="1"/>
        <v>45455</v>
      </c>
      <c r="C114" vm="337">
        <f ca="1"/>
        <v>254.48</v>
      </c>
      <c r="D114" vm="338">
        <f ca="1"/>
        <v>3169566</v>
      </c>
      <c r="E114">
        <f t="shared" ca="1" si="21"/>
        <v>806591155.67999995</v>
      </c>
      <c r="F114">
        <f ca="1">SUM($E$2:E114)/SUM($D$2:D114)</f>
        <v>278.98108716591395</v>
      </c>
      <c r="G114">
        <f ca="1">_xlfn.STDEV.P($C$2:C114)</f>
        <v>13.448639683735299</v>
      </c>
      <c r="H114">
        <f t="shared" ca="1" si="22"/>
        <v>292.42972684964923</v>
      </c>
      <c r="I114">
        <f t="shared" ca="1" si="23"/>
        <v>265.53244748217867</v>
      </c>
      <c r="J114">
        <f t="shared" ca="1" si="32"/>
        <v>260.55699999999996</v>
      </c>
      <c r="K114">
        <f t="shared" ca="1" si="33"/>
        <v>7.2627166875908458</v>
      </c>
      <c r="L114">
        <f t="shared" ca="1" si="34"/>
        <v>275.08243337518167</v>
      </c>
      <c r="M114">
        <f t="shared" ca="1" si="35"/>
        <v>246.03156662481825</v>
      </c>
      <c r="N114">
        <f t="shared" ca="1" si="24"/>
        <v>0.19999999999998863</v>
      </c>
      <c r="O114">
        <f t="shared" ca="1" si="25"/>
        <v>0.19999999999998863</v>
      </c>
      <c r="P114">
        <f t="shared" ca="1" si="26"/>
        <v>0</v>
      </c>
      <c r="Q114">
        <f t="shared" ca="1" si="30"/>
        <v>0.88869919241881734</v>
      </c>
      <c r="R114">
        <f t="shared" ca="1" si="31"/>
        <v>1.4576619229043548</v>
      </c>
      <c r="S114">
        <f t="shared" ca="1" si="28"/>
        <v>0.60967442344114098</v>
      </c>
      <c r="T114">
        <f t="shared" ca="1" si="29"/>
        <v>37.875635877830923</v>
      </c>
      <c r="U114">
        <f>70</f>
        <v>70</v>
      </c>
      <c r="V114">
        <f>30</f>
        <v>30</v>
      </c>
      <c r="W114">
        <f t="shared" ca="1" si="27"/>
        <v>257.65500273991262</v>
      </c>
      <c r="X114">
        <f t="shared" ca="1" si="37"/>
        <v>261.62103522622209</v>
      </c>
      <c r="Y114">
        <f t="shared" ca="1" si="36"/>
        <v>-3.9877510962054998</v>
      </c>
      <c r="Z114">
        <f t="shared" ca="1" si="38"/>
        <v>-3.8928583328528488</v>
      </c>
      <c r="AA114">
        <f t="shared" ca="1" si="39"/>
        <v>-9.4892763352651066E-2</v>
      </c>
      <c r="AB114">
        <f t="shared" ca="1" si="40"/>
        <v>278.27060000000006</v>
      </c>
    </row>
    <row r="115" spans="1:28" x14ac:dyDescent="0.25">
      <c r="A115" s="21">
        <f t="shared" ca="1" si="20"/>
        <v>45453</v>
      </c>
      <c r="B115" vm="339">
        <f ca="1"/>
        <v>45456</v>
      </c>
      <c r="C115" vm="340">
        <f ca="1"/>
        <v>253.7</v>
      </c>
      <c r="D115" vm="341">
        <f ca="1"/>
        <v>3152985</v>
      </c>
      <c r="E115">
        <f t="shared" ca="1" si="21"/>
        <v>799912294.5</v>
      </c>
      <c r="F115">
        <f ca="1">SUM($E$2:E115)/SUM($D$2:D115)</f>
        <v>278.77245895081472</v>
      </c>
      <c r="G115">
        <f ca="1">_xlfn.STDEV.P($C$2:C115)</f>
        <v>13.612384045978306</v>
      </c>
      <c r="H115">
        <f t="shared" ca="1" si="22"/>
        <v>292.38484299679305</v>
      </c>
      <c r="I115">
        <f t="shared" ca="1" si="23"/>
        <v>265.16007490483639</v>
      </c>
      <c r="J115">
        <f t="shared" ca="1" si="32"/>
        <v>259.54849999999999</v>
      </c>
      <c r="K115">
        <f t="shared" ca="1" si="33"/>
        <v>6.6949904877885356</v>
      </c>
      <c r="L115">
        <f t="shared" ca="1" si="34"/>
        <v>272.93848097557708</v>
      </c>
      <c r="M115">
        <f t="shared" ca="1" si="35"/>
        <v>246.15851902442293</v>
      </c>
      <c r="N115">
        <f t="shared" ca="1" si="24"/>
        <v>-0.78000000000000114</v>
      </c>
      <c r="O115">
        <f t="shared" ca="1" si="25"/>
        <v>0</v>
      </c>
      <c r="P115">
        <f t="shared" ca="1" si="26"/>
        <v>0.78000000000000114</v>
      </c>
      <c r="Q115">
        <f t="shared" ca="1" si="30"/>
        <v>0.82522067867461613</v>
      </c>
      <c r="R115">
        <f t="shared" ca="1" si="31"/>
        <v>1.409257499839758</v>
      </c>
      <c r="S115">
        <f t="shared" ca="1" si="28"/>
        <v>0.58557125207313021</v>
      </c>
      <c r="T115">
        <f t="shared" ca="1" si="29"/>
        <v>36.931248047509527</v>
      </c>
      <c r="U115">
        <f>70</f>
        <v>70</v>
      </c>
      <c r="V115">
        <f>30</f>
        <v>30</v>
      </c>
      <c r="W115">
        <f t="shared" ca="1" si="27"/>
        <v>257.04654077992603</v>
      </c>
      <c r="X115">
        <f t="shared" ca="1" si="37"/>
        <v>261.03429187613153</v>
      </c>
      <c r="Y115">
        <f t="shared" ca="1" si="36"/>
        <v>-3.9688952937456179</v>
      </c>
      <c r="Z115">
        <f t="shared" ca="1" si="38"/>
        <v>-3.9080657250314026</v>
      </c>
      <c r="AA115">
        <f t="shared" ca="1" si="39"/>
        <v>-6.0829568714215299E-2</v>
      </c>
      <c r="AB115">
        <f t="shared" ca="1" si="40"/>
        <v>277.82350000000008</v>
      </c>
    </row>
    <row r="116" spans="1:28" x14ac:dyDescent="0.25">
      <c r="A116" s="21">
        <f t="shared" ca="1" si="20"/>
        <v>45453</v>
      </c>
      <c r="B116" vm="342">
        <f ca="1"/>
        <v>45457</v>
      </c>
      <c r="C116" vm="343">
        <f ca="1"/>
        <v>253.58</v>
      </c>
      <c r="D116" vm="344">
        <f ca="1"/>
        <v>2806560</v>
      </c>
      <c r="E116">
        <f t="shared" ca="1" si="21"/>
        <v>711687484.80000007</v>
      </c>
      <c r="F116">
        <f ca="1">SUM($E$2:E116)/SUM($D$2:D116)</f>
        <v>278.58875361492761</v>
      </c>
      <c r="G116">
        <f ca="1">_xlfn.STDEV.P($C$2:C116)</f>
        <v>13.769580762473895</v>
      </c>
      <c r="H116">
        <f t="shared" ca="1" si="22"/>
        <v>292.35833437740149</v>
      </c>
      <c r="I116">
        <f t="shared" ca="1" si="23"/>
        <v>264.81917285245373</v>
      </c>
      <c r="J116">
        <f t="shared" ca="1" si="32"/>
        <v>258.55199999999996</v>
      </c>
      <c r="K116">
        <f t="shared" ca="1" si="33"/>
        <v>5.9492340064211557</v>
      </c>
      <c r="L116">
        <f t="shared" ca="1" si="34"/>
        <v>270.45046801284229</v>
      </c>
      <c r="M116">
        <f t="shared" ca="1" si="35"/>
        <v>246.65353198715766</v>
      </c>
      <c r="N116">
        <f t="shared" ca="1" si="24"/>
        <v>-0.11999999999997613</v>
      </c>
      <c r="O116">
        <f t="shared" ca="1" si="25"/>
        <v>0</v>
      </c>
      <c r="P116">
        <f t="shared" ca="1" si="26"/>
        <v>0.11999999999997613</v>
      </c>
      <c r="Q116">
        <f t="shared" ca="1" si="30"/>
        <v>0.76627634448357207</v>
      </c>
      <c r="R116">
        <f t="shared" ca="1" si="31"/>
        <v>1.3171676784226307</v>
      </c>
      <c r="S116">
        <f t="shared" ca="1" si="28"/>
        <v>0.58176066497564183</v>
      </c>
      <c r="T116">
        <f t="shared" ca="1" si="29"/>
        <v>36.779310413854581</v>
      </c>
      <c r="U116">
        <f>70</f>
        <v>70</v>
      </c>
      <c r="V116">
        <f>30</f>
        <v>30</v>
      </c>
      <c r="W116">
        <f t="shared" ca="1" si="27"/>
        <v>256.51322681378355</v>
      </c>
      <c r="X116">
        <f t="shared" ca="1" si="37"/>
        <v>260.48212210752916</v>
      </c>
      <c r="Y116">
        <f t="shared" ca="1" si="36"/>
        <v>-3.9144766987272419</v>
      </c>
      <c r="Z116">
        <f t="shared" ca="1" si="38"/>
        <v>-3.9093479197705707</v>
      </c>
      <c r="AA116">
        <f t="shared" ca="1" si="39"/>
        <v>-5.1287789566711872E-3</v>
      </c>
      <c r="AB116">
        <f t="shared" ca="1" si="40"/>
        <v>277.35880000000009</v>
      </c>
    </row>
    <row r="117" spans="1:28" x14ac:dyDescent="0.25">
      <c r="A117" s="21">
        <f t="shared" ca="1" si="20"/>
        <v>45460</v>
      </c>
      <c r="B117" vm="345">
        <f ca="1"/>
        <v>45460</v>
      </c>
      <c r="C117" vm="346">
        <f ca="1"/>
        <v>253.51</v>
      </c>
      <c r="D117" vm="347">
        <f ca="1"/>
        <v>2532906</v>
      </c>
      <c r="E117">
        <f t="shared" ca="1" si="21"/>
        <v>642117000.05999994</v>
      </c>
      <c r="F117">
        <f ca="1">SUM($E$2:E117)/SUM($D$2:D117)</f>
        <v>278.4247878623766</v>
      </c>
      <c r="G117">
        <f ca="1">_xlfn.STDEV.P($C$2:C117)</f>
        <v>13.919823825232321</v>
      </c>
      <c r="H117">
        <f t="shared" ca="1" si="22"/>
        <v>292.3446116876089</v>
      </c>
      <c r="I117">
        <f t="shared" ca="1" si="23"/>
        <v>264.5049640371443</v>
      </c>
      <c r="J117">
        <f t="shared" ca="1" si="32"/>
        <v>257.60849999999999</v>
      </c>
      <c r="K117">
        <f t="shared" ca="1" si="33"/>
        <v>5.0725196427727921</v>
      </c>
      <c r="L117">
        <f t="shared" ca="1" si="34"/>
        <v>267.75353928554557</v>
      </c>
      <c r="M117">
        <f t="shared" ca="1" si="35"/>
        <v>247.46346071445441</v>
      </c>
      <c r="N117">
        <f t="shared" ca="1" si="24"/>
        <v>-7.00000000000216E-2</v>
      </c>
      <c r="O117">
        <f t="shared" ca="1" si="25"/>
        <v>0</v>
      </c>
      <c r="P117">
        <f t="shared" ca="1" si="26"/>
        <v>7.00000000000216E-2</v>
      </c>
      <c r="Q117">
        <f t="shared" ca="1" si="30"/>
        <v>0.71154231987760264</v>
      </c>
      <c r="R117">
        <f t="shared" ca="1" si="31"/>
        <v>1.228084272821016</v>
      </c>
      <c r="S117">
        <f t="shared" ca="1" si="28"/>
        <v>0.57939209517204249</v>
      </c>
      <c r="T117">
        <f t="shared" ca="1" si="29"/>
        <v>36.684500127812129</v>
      </c>
      <c r="U117">
        <f>70</f>
        <v>70</v>
      </c>
      <c r="V117">
        <f>30</f>
        <v>30</v>
      </c>
      <c r="W117">
        <f t="shared" ca="1" si="27"/>
        <v>256.05119191935529</v>
      </c>
      <c r="X117">
        <f t="shared" ca="1" si="37"/>
        <v>259.96566861808253</v>
      </c>
      <c r="Y117">
        <f t="shared" ca="1" si="36"/>
        <v>-4.0442116832714987</v>
      </c>
      <c r="Z117">
        <f t="shared" ca="1" si="38"/>
        <v>-3.9363206724707567</v>
      </c>
      <c r="AA117">
        <f t="shared" ca="1" si="39"/>
        <v>-0.10789101080074204</v>
      </c>
      <c r="AB117">
        <f t="shared" ca="1" si="40"/>
        <v>276.88950000000006</v>
      </c>
    </row>
    <row r="118" spans="1:28" x14ac:dyDescent="0.25">
      <c r="A118" s="21">
        <f t="shared" ca="1" si="20"/>
        <v>45460</v>
      </c>
      <c r="B118" vm="348">
        <f ca="1"/>
        <v>45461</v>
      </c>
      <c r="C118" vm="349">
        <f ca="1"/>
        <v>250.79</v>
      </c>
      <c r="D118" vm="350">
        <f ca="1"/>
        <v>2956314</v>
      </c>
      <c r="E118">
        <f t="shared" ca="1" si="21"/>
        <v>741413988.05999994</v>
      </c>
      <c r="F118">
        <f ca="1">SUM($E$2:E118)/SUM($D$2:D118)</f>
        <v>278.2155051665207</v>
      </c>
      <c r="G118">
        <f ca="1">_xlfn.STDEV.P($C$2:C118)</f>
        <v>14.106913553057074</v>
      </c>
      <c r="H118">
        <f t="shared" ca="1" si="22"/>
        <v>292.3224187195778</v>
      </c>
      <c r="I118">
        <f t="shared" ca="1" si="23"/>
        <v>264.1085916134636</v>
      </c>
      <c r="J118">
        <f t="shared" ca="1" si="32"/>
        <v>256.75449999999995</v>
      </c>
      <c r="K118">
        <f t="shared" ca="1" si="33"/>
        <v>4.6762889863876627</v>
      </c>
      <c r="L118">
        <f t="shared" ca="1" si="34"/>
        <v>266.1070779727753</v>
      </c>
      <c r="M118">
        <f t="shared" ca="1" si="35"/>
        <v>247.40192202722463</v>
      </c>
      <c r="N118">
        <f t="shared" ca="1" si="24"/>
        <v>-2.7199999999999989</v>
      </c>
      <c r="O118">
        <f t="shared" ca="1" si="25"/>
        <v>0</v>
      </c>
      <c r="P118">
        <f t="shared" ca="1" si="26"/>
        <v>2.7199999999999989</v>
      </c>
      <c r="Q118">
        <f t="shared" ca="1" si="30"/>
        <v>0.66071786845777392</v>
      </c>
      <c r="R118">
        <f t="shared" ca="1" si="31"/>
        <v>1.3346496819052291</v>
      </c>
      <c r="S118">
        <f t="shared" ca="1" si="28"/>
        <v>0.49504965791067429</v>
      </c>
      <c r="T118">
        <f t="shared" ca="1" si="29"/>
        <v>33.112589624782373</v>
      </c>
      <c r="U118">
        <f>70</f>
        <v>70</v>
      </c>
      <c r="V118">
        <f>30</f>
        <v>30</v>
      </c>
      <c r="W118">
        <f t="shared" ca="1" si="27"/>
        <v>255.24177777791601</v>
      </c>
      <c r="X118">
        <f t="shared" ca="1" si="37"/>
        <v>259.28598946118751</v>
      </c>
      <c r="Y118">
        <f t="shared" ca="1" si="36"/>
        <v>-3.8596540593871111</v>
      </c>
      <c r="Z118">
        <f t="shared" ca="1" si="38"/>
        <v>-3.9209873498540277</v>
      </c>
      <c r="AA118">
        <f t="shared" ca="1" si="39"/>
        <v>6.1333290466916601E-2</v>
      </c>
      <c r="AB118">
        <f t="shared" ca="1" si="40"/>
        <v>276.42530000000011</v>
      </c>
    </row>
    <row r="119" spans="1:28" x14ac:dyDescent="0.25">
      <c r="A119" s="21">
        <f t="shared" ca="1" si="20"/>
        <v>45460</v>
      </c>
      <c r="B119" vm="351">
        <f ca="1"/>
        <v>45463</v>
      </c>
      <c r="C119" vm="352">
        <f ca="1"/>
        <v>253.8</v>
      </c>
      <c r="D119" vm="353">
        <f ca="1"/>
        <v>4046527</v>
      </c>
      <c r="E119">
        <f t="shared" ca="1" si="21"/>
        <v>1027008552.6</v>
      </c>
      <c r="F119">
        <f ca="1">SUM($E$2:E119)/SUM($D$2:D119)</f>
        <v>277.96501188538599</v>
      </c>
      <c r="G119">
        <f ca="1">_xlfn.STDEV.P($C$2:C119)</f>
        <v>14.236880478425263</v>
      </c>
      <c r="H119">
        <f t="shared" ca="1" si="22"/>
        <v>292.20189236381123</v>
      </c>
      <c r="I119">
        <f t="shared" ca="1" si="23"/>
        <v>263.72813140696076</v>
      </c>
      <c r="J119">
        <f t="shared" ca="1" si="32"/>
        <v>256.15100000000007</v>
      </c>
      <c r="K119">
        <f t="shared" ca="1" si="33"/>
        <v>4.1917109934526264</v>
      </c>
      <c r="L119">
        <f t="shared" ca="1" si="34"/>
        <v>264.53442198690533</v>
      </c>
      <c r="M119">
        <f t="shared" ca="1" si="35"/>
        <v>247.76757801309481</v>
      </c>
      <c r="N119">
        <f t="shared" ca="1" si="24"/>
        <v>3.0100000000000193</v>
      </c>
      <c r="O119">
        <f t="shared" ca="1" si="25"/>
        <v>3.0100000000000193</v>
      </c>
      <c r="P119">
        <f t="shared" ca="1" si="26"/>
        <v>0</v>
      </c>
      <c r="Q119">
        <f t="shared" ca="1" si="30"/>
        <v>0.82852373499650578</v>
      </c>
      <c r="R119">
        <f t="shared" ca="1" si="31"/>
        <v>1.2393175617691414</v>
      </c>
      <c r="S119">
        <f t="shared" ca="1" si="28"/>
        <v>0.6685322314111144</v>
      </c>
      <c r="T119">
        <f t="shared" ca="1" si="29"/>
        <v>40.067085239685298</v>
      </c>
      <c r="U119">
        <f>70</f>
        <v>70</v>
      </c>
      <c r="V119">
        <f>30</f>
        <v>30</v>
      </c>
      <c r="W119">
        <f t="shared" ca="1" si="27"/>
        <v>255.0199658120828</v>
      </c>
      <c r="X119">
        <f t="shared" ca="1" si="37"/>
        <v>258.87961987146991</v>
      </c>
      <c r="Y119">
        <f t="shared" ca="1" si="36"/>
        <v>-3.2251470428465154</v>
      </c>
      <c r="Z119">
        <f t="shared" ca="1" si="38"/>
        <v>-3.7818192884525255</v>
      </c>
      <c r="AA119">
        <f t="shared" ca="1" si="39"/>
        <v>0.55667224560601003</v>
      </c>
      <c r="AB119">
        <f t="shared" ca="1" si="40"/>
        <v>276.04070000000007</v>
      </c>
    </row>
    <row r="120" spans="1:28" x14ac:dyDescent="0.25">
      <c r="A120" s="21">
        <f t="shared" ca="1" si="20"/>
        <v>45460</v>
      </c>
      <c r="B120" vm="354">
        <f ca="1"/>
        <v>45464</v>
      </c>
      <c r="C120" vm="355">
        <f ca="1"/>
        <v>259.39</v>
      </c>
      <c r="D120" vm="356">
        <f ca="1"/>
        <v>8426647</v>
      </c>
      <c r="E120">
        <f t="shared" ca="1" si="21"/>
        <v>2185787965.3299999</v>
      </c>
      <c r="F120">
        <f ca="1">SUM($E$2:E120)/SUM($D$2:D120)</f>
        <v>277.57645835589341</v>
      </c>
      <c r="G120">
        <f ca="1">_xlfn.STDEV.P($C$2:C120)</f>
        <v>14.287978108320303</v>
      </c>
      <c r="H120">
        <f t="shared" ca="1" si="22"/>
        <v>291.86443646421372</v>
      </c>
      <c r="I120">
        <f t="shared" ca="1" si="23"/>
        <v>263.28848024757309</v>
      </c>
      <c r="J120">
        <f t="shared" ca="1" si="32"/>
        <v>255.83200000000005</v>
      </c>
      <c r="K120">
        <f t="shared" ca="1" si="33"/>
        <v>3.6257058840858529</v>
      </c>
      <c r="L120">
        <f t="shared" ca="1" si="34"/>
        <v>263.08341176817174</v>
      </c>
      <c r="M120">
        <f t="shared" ca="1" si="35"/>
        <v>248.58058823182836</v>
      </c>
      <c r="N120">
        <f t="shared" ca="1" si="24"/>
        <v>5.589999999999975</v>
      </c>
      <c r="O120">
        <f t="shared" ca="1" si="25"/>
        <v>5.589999999999975</v>
      </c>
      <c r="P120">
        <f t="shared" ca="1" si="26"/>
        <v>0</v>
      </c>
      <c r="Q120">
        <f t="shared" ca="1" si="30"/>
        <v>1.1686291824967536</v>
      </c>
      <c r="R120">
        <f t="shared" ca="1" si="31"/>
        <v>1.1507948787856315</v>
      </c>
      <c r="S120">
        <f t="shared" ca="1" si="28"/>
        <v>1.0154973784119909</v>
      </c>
      <c r="T120">
        <f t="shared" ca="1" si="29"/>
        <v>50.38445543462332</v>
      </c>
      <c r="U120">
        <f>70</f>
        <v>70</v>
      </c>
      <c r="V120">
        <f>30</f>
        <v>30</v>
      </c>
      <c r="W120">
        <f t="shared" ca="1" si="27"/>
        <v>255.69227876407007</v>
      </c>
      <c r="X120">
        <f t="shared" ca="1" si="37"/>
        <v>258.91742580691658</v>
      </c>
      <c r="Y120">
        <f t="shared" ca="1" si="36"/>
        <v>-2.6122979895130243</v>
      </c>
      <c r="Z120">
        <f t="shared" ca="1" si="38"/>
        <v>-3.5479150286646255</v>
      </c>
      <c r="AA120">
        <f t="shared" ca="1" si="39"/>
        <v>0.93561703915160122</v>
      </c>
      <c r="AB120">
        <f t="shared" ca="1" si="40"/>
        <v>275.7115</v>
      </c>
    </row>
    <row r="121" spans="1:28" x14ac:dyDescent="0.25">
      <c r="A121" s="21">
        <f t="shared" ca="1" si="20"/>
        <v>45467</v>
      </c>
      <c r="B121" vm="357">
        <f ca="1"/>
        <v>45467</v>
      </c>
      <c r="C121" vm="358">
        <f ca="1"/>
        <v>260.38</v>
      </c>
      <c r="D121" vm="359">
        <f ca="1"/>
        <v>3901231</v>
      </c>
      <c r="E121">
        <f t="shared" ca="1" si="21"/>
        <v>1015802527.78</v>
      </c>
      <c r="F121">
        <f ca="1">SUM($E$2:E121)/SUM($D$2:D121)</f>
        <v>277.41151986049107</v>
      </c>
      <c r="G121">
        <f ca="1">_xlfn.STDEV.P($C$2:C121)</f>
        <v>14.325481986995142</v>
      </c>
      <c r="H121">
        <f t="shared" ca="1" si="22"/>
        <v>291.73700184748623</v>
      </c>
      <c r="I121">
        <f t="shared" ca="1" si="23"/>
        <v>263.08603787349591</v>
      </c>
      <c r="J121">
        <f t="shared" ca="1" si="32"/>
        <v>255.9545</v>
      </c>
      <c r="K121">
        <f t="shared" ca="1" si="33"/>
        <v>3.7399106026467415</v>
      </c>
      <c r="L121">
        <f t="shared" ca="1" si="34"/>
        <v>263.43432120529349</v>
      </c>
      <c r="M121">
        <f t="shared" ca="1" si="35"/>
        <v>248.47467879470651</v>
      </c>
      <c r="N121">
        <f t="shared" ca="1" si="24"/>
        <v>0.99000000000000909</v>
      </c>
      <c r="O121">
        <f t="shared" ca="1" si="25"/>
        <v>0.99000000000000909</v>
      </c>
      <c r="P121">
        <f t="shared" ca="1" si="26"/>
        <v>0</v>
      </c>
      <c r="Q121">
        <f t="shared" ca="1" si="30"/>
        <v>1.1558699551755576</v>
      </c>
      <c r="R121">
        <f t="shared" ca="1" si="31"/>
        <v>1.0685952445866578</v>
      </c>
      <c r="S121">
        <f t="shared" ca="1" si="28"/>
        <v>1.0816723741107968</v>
      </c>
      <c r="T121">
        <f t="shared" ca="1" si="29"/>
        <v>51.961700965207932</v>
      </c>
      <c r="U121">
        <f>70</f>
        <v>70</v>
      </c>
      <c r="V121">
        <f>30</f>
        <v>30</v>
      </c>
      <c r="W121">
        <f t="shared" ca="1" si="27"/>
        <v>256.41346664652082</v>
      </c>
      <c r="X121">
        <f t="shared" ca="1" si="37"/>
        <v>259.02576463603384</v>
      </c>
      <c r="Y121">
        <f t="shared" ca="1" si="36"/>
        <v>-2.3416920589581309</v>
      </c>
      <c r="Z121">
        <f t="shared" ca="1" si="38"/>
        <v>-3.3066704347233267</v>
      </c>
      <c r="AA121">
        <f t="shared" ca="1" si="39"/>
        <v>0.96497837576519574</v>
      </c>
      <c r="AB121">
        <f t="shared" ca="1" si="40"/>
        <v>275.36880000000002</v>
      </c>
    </row>
    <row r="122" spans="1:28" x14ac:dyDescent="0.25">
      <c r="A122" s="21">
        <f t="shared" ca="1" si="20"/>
        <v>45467</v>
      </c>
      <c r="B122" vm="360">
        <f ca="1"/>
        <v>45468</v>
      </c>
      <c r="C122" vm="361">
        <f ca="1"/>
        <v>257.38</v>
      </c>
      <c r="D122" vm="362">
        <f ca="1"/>
        <v>4252250</v>
      </c>
      <c r="E122">
        <f t="shared" ca="1" si="21"/>
        <v>1094444105</v>
      </c>
      <c r="F122">
        <f ca="1">SUM($E$2:E122)/SUM($D$2:D122)</f>
        <v>277.20426853754498</v>
      </c>
      <c r="G122">
        <f ca="1">_xlfn.STDEV.P($C$2:C122)</f>
        <v>14.394326713230393</v>
      </c>
      <c r="H122">
        <f t="shared" ca="1" si="22"/>
        <v>291.59859525077536</v>
      </c>
      <c r="I122">
        <f t="shared" ca="1" si="23"/>
        <v>262.80994182431459</v>
      </c>
      <c r="J122">
        <f t="shared" ca="1" si="32"/>
        <v>255.91800000000003</v>
      </c>
      <c r="K122">
        <f t="shared" ca="1" si="33"/>
        <v>3.7212824614499191</v>
      </c>
      <c r="L122">
        <f t="shared" ca="1" si="34"/>
        <v>263.36056492289987</v>
      </c>
      <c r="M122">
        <f t="shared" ca="1" si="35"/>
        <v>248.4754350771002</v>
      </c>
      <c r="N122">
        <f t="shared" ca="1" si="24"/>
        <v>-3</v>
      </c>
      <c r="O122">
        <f t="shared" ca="1" si="25"/>
        <v>0</v>
      </c>
      <c r="P122">
        <f t="shared" ca="1" si="26"/>
        <v>3</v>
      </c>
      <c r="Q122">
        <f t="shared" ca="1" si="30"/>
        <v>1.0733078155201607</v>
      </c>
      <c r="R122">
        <f t="shared" ca="1" si="31"/>
        <v>1.2065527271161822</v>
      </c>
      <c r="S122">
        <f t="shared" ca="1" si="28"/>
        <v>0.88956561234211939</v>
      </c>
      <c r="T122">
        <f t="shared" ca="1" si="29"/>
        <v>47.077783726149711</v>
      </c>
      <c r="U122">
        <f>70</f>
        <v>70</v>
      </c>
      <c r="V122">
        <f>30</f>
        <v>30</v>
      </c>
      <c r="W122">
        <f t="shared" ca="1" si="27"/>
        <v>256.56216408551762</v>
      </c>
      <c r="X122">
        <f t="shared" ca="1" si="37"/>
        <v>258.90385614447575</v>
      </c>
      <c r="Y122">
        <f t="shared" ca="1" si="36"/>
        <v>-2.06709548021621</v>
      </c>
      <c r="Z122">
        <f t="shared" ca="1" si="38"/>
        <v>-3.0587554438219033</v>
      </c>
      <c r="AA122">
        <f t="shared" ca="1" si="39"/>
        <v>0.99165996360569331</v>
      </c>
      <c r="AB122">
        <f t="shared" ca="1" si="40"/>
        <v>275.01540000000006</v>
      </c>
    </row>
    <row r="123" spans="1:28" x14ac:dyDescent="0.25">
      <c r="A123" s="21">
        <f t="shared" ca="1" si="20"/>
        <v>45467</v>
      </c>
      <c r="B123" vm="363">
        <f ca="1"/>
        <v>45469</v>
      </c>
      <c r="C123" vm="364">
        <f ca="1"/>
        <v>257.83</v>
      </c>
      <c r="D123" vm="365">
        <f ca="1"/>
        <v>2796088</v>
      </c>
      <c r="E123">
        <f t="shared" ca="1" si="21"/>
        <v>720915369.03999996</v>
      </c>
      <c r="F123">
        <f ca="1">SUM($E$2:E123)/SUM($D$2:D123)</f>
        <v>277.07335150036681</v>
      </c>
      <c r="G123">
        <f ca="1">_xlfn.STDEV.P($C$2:C123)</f>
        <v>14.454402345470417</v>
      </c>
      <c r="H123">
        <f t="shared" ca="1" si="22"/>
        <v>291.52775384583725</v>
      </c>
      <c r="I123">
        <f t="shared" ca="1" si="23"/>
        <v>262.61894915489637</v>
      </c>
      <c r="J123">
        <f t="shared" ca="1" si="32"/>
        <v>256.13250000000005</v>
      </c>
      <c r="K123">
        <f t="shared" ca="1" si="33"/>
        <v>3.7005801465517076</v>
      </c>
      <c r="L123">
        <f t="shared" ca="1" si="34"/>
        <v>263.53366029310348</v>
      </c>
      <c r="M123">
        <f t="shared" ca="1" si="35"/>
        <v>248.73133970689665</v>
      </c>
      <c r="N123">
        <f t="shared" ca="1" si="24"/>
        <v>0.44999999999998863</v>
      </c>
      <c r="O123">
        <f t="shared" ca="1" si="25"/>
        <v>0.44999999999998863</v>
      </c>
      <c r="P123">
        <f t="shared" ca="1" si="26"/>
        <v>0</v>
      </c>
      <c r="Q123">
        <f t="shared" ca="1" si="30"/>
        <v>1.0287858286972913</v>
      </c>
      <c r="R123">
        <f t="shared" ca="1" si="31"/>
        <v>1.1203703894650263</v>
      </c>
      <c r="S123">
        <f t="shared" ca="1" si="28"/>
        <v>0.9182551041790149</v>
      </c>
      <c r="T123">
        <f t="shared" ca="1" si="29"/>
        <v>47.869290282535943</v>
      </c>
      <c r="U123">
        <f>70</f>
        <v>70</v>
      </c>
      <c r="V123">
        <f>30</f>
        <v>30</v>
      </c>
      <c r="W123">
        <f t="shared" ca="1" si="27"/>
        <v>256.75721576466873</v>
      </c>
      <c r="X123">
        <f t="shared" ca="1" si="37"/>
        <v>258.82431124488494</v>
      </c>
      <c r="Y123">
        <f t="shared" ca="1" si="36"/>
        <v>-1.8012765597749194</v>
      </c>
      <c r="Z123">
        <f t="shared" ca="1" si="38"/>
        <v>-2.8072596670125067</v>
      </c>
      <c r="AA123">
        <f t="shared" ca="1" si="39"/>
        <v>1.0059831072375873</v>
      </c>
      <c r="AB123">
        <f t="shared" ca="1" si="40"/>
        <v>274.61290000000002</v>
      </c>
    </row>
    <row r="124" spans="1:28" x14ac:dyDescent="0.25">
      <c r="A124" s="21">
        <f t="shared" ca="1" si="20"/>
        <v>45467</v>
      </c>
      <c r="B124" vm="366">
        <f ca="1"/>
        <v>45470</v>
      </c>
      <c r="C124" vm="367">
        <f ca="1"/>
        <v>258.17</v>
      </c>
      <c r="D124" vm="368">
        <f ca="1"/>
        <v>2650996</v>
      </c>
      <c r="E124">
        <f t="shared" ca="1" si="21"/>
        <v>684407637.32000005</v>
      </c>
      <c r="F124">
        <f ca="1">SUM($E$2:E124)/SUM($D$2:D124)</f>
        <v>276.95301582098347</v>
      </c>
      <c r="G124">
        <f ca="1">_xlfn.STDEV.P($C$2:C124)</f>
        <v>14.50753346594508</v>
      </c>
      <c r="H124">
        <f t="shared" ca="1" si="22"/>
        <v>291.46054928692854</v>
      </c>
      <c r="I124">
        <f t="shared" ca="1" si="23"/>
        <v>262.44548235503839</v>
      </c>
      <c r="J124">
        <f t="shared" ca="1" si="32"/>
        <v>256.57250000000005</v>
      </c>
      <c r="K124">
        <f t="shared" ca="1" si="33"/>
        <v>3.3618570604261087</v>
      </c>
      <c r="L124">
        <f t="shared" ca="1" si="34"/>
        <v>263.29621412085226</v>
      </c>
      <c r="M124">
        <f t="shared" ca="1" si="35"/>
        <v>249.84878587914784</v>
      </c>
      <c r="N124">
        <f t="shared" ca="1" si="24"/>
        <v>0.34000000000003183</v>
      </c>
      <c r="O124">
        <f t="shared" ca="1" si="25"/>
        <v>0.34000000000003183</v>
      </c>
      <c r="P124">
        <f t="shared" ca="1" si="26"/>
        <v>0</v>
      </c>
      <c r="Q124">
        <f t="shared" ca="1" si="30"/>
        <v>0.97958684093320136</v>
      </c>
      <c r="R124">
        <f t="shared" ca="1" si="31"/>
        <v>1.0403439330746673</v>
      </c>
      <c r="S124">
        <f t="shared" ca="1" si="28"/>
        <v>0.94159903257963695</v>
      </c>
      <c r="T124">
        <f t="shared" ca="1" si="29"/>
        <v>48.496060040193498</v>
      </c>
      <c r="U124">
        <f>70</f>
        <v>70</v>
      </c>
      <c r="V124">
        <f>30</f>
        <v>30</v>
      </c>
      <c r="W124">
        <f t="shared" ca="1" si="27"/>
        <v>256.97456718548892</v>
      </c>
      <c r="X124">
        <f t="shared" ca="1" si="37"/>
        <v>258.77584374526384</v>
      </c>
      <c r="Y124">
        <f t="shared" ca="1" si="36"/>
        <v>-1.8381275302579638</v>
      </c>
      <c r="Z124">
        <f t="shared" ca="1" si="38"/>
        <v>-2.6134332396615982</v>
      </c>
      <c r="AA124">
        <f t="shared" ca="1" si="39"/>
        <v>0.77530570940363441</v>
      </c>
      <c r="AB124">
        <f t="shared" ca="1" si="40"/>
        <v>274.22410000000002</v>
      </c>
    </row>
    <row r="125" spans="1:28" x14ac:dyDescent="0.25">
      <c r="A125" s="21">
        <f t="shared" ca="1" si="20"/>
        <v>45467</v>
      </c>
      <c r="B125" vm="369">
        <f ca="1"/>
        <v>45471</v>
      </c>
      <c r="C125" vm="370">
        <f ca="1"/>
        <v>254.84</v>
      </c>
      <c r="D125" vm="371">
        <f ca="1"/>
        <v>8958712</v>
      </c>
      <c r="E125">
        <f t="shared" ca="1" si="21"/>
        <v>2283038166.0799999</v>
      </c>
      <c r="F125">
        <f ca="1">SUM($E$2:E125)/SUM($D$2:D125)</f>
        <v>276.4873263995014</v>
      </c>
      <c r="G125">
        <f ca="1">_xlfn.STDEV.P($C$2:C125)</f>
        <v>14.597198308532937</v>
      </c>
      <c r="H125">
        <f t="shared" ca="1" si="22"/>
        <v>291.08452470803434</v>
      </c>
      <c r="I125">
        <f t="shared" ca="1" si="23"/>
        <v>261.89012809096846</v>
      </c>
      <c r="J125">
        <f t="shared" ca="1" si="32"/>
        <v>256.71099999999996</v>
      </c>
      <c r="K125">
        <f t="shared" ca="1" si="33"/>
        <v>3.2206977014632336</v>
      </c>
      <c r="L125">
        <f t="shared" ca="1" si="34"/>
        <v>263.1523954029264</v>
      </c>
      <c r="M125">
        <f t="shared" ca="1" si="35"/>
        <v>250.26960459707348</v>
      </c>
      <c r="N125">
        <f t="shared" ca="1" si="24"/>
        <v>-3.3300000000000125</v>
      </c>
      <c r="O125">
        <f t="shared" ca="1" si="25"/>
        <v>0</v>
      </c>
      <c r="P125">
        <f t="shared" ca="1" si="26"/>
        <v>3.3300000000000125</v>
      </c>
      <c r="Q125">
        <f t="shared" ca="1" si="30"/>
        <v>0.9096163522951155</v>
      </c>
      <c r="R125">
        <f t="shared" ca="1" si="31"/>
        <v>1.2038907949979063</v>
      </c>
      <c r="S125">
        <f t="shared" ca="1" si="28"/>
        <v>0.75556384023743406</v>
      </c>
      <c r="T125">
        <f t="shared" ca="1" si="29"/>
        <v>43.038243493056143</v>
      </c>
      <c r="U125">
        <f>70</f>
        <v>70</v>
      </c>
      <c r="V125">
        <f>30</f>
        <v>30</v>
      </c>
      <c r="W125">
        <f t="shared" ca="1" si="27"/>
        <v>256.64617223387523</v>
      </c>
      <c r="X125">
        <f t="shared" ca="1" si="37"/>
        <v>258.4842997641332</v>
      </c>
      <c r="Y125">
        <f t="shared" ca="1" si="36"/>
        <v>-2.2329466378414224</v>
      </c>
      <c r="Z125">
        <f t="shared" ca="1" si="38"/>
        <v>-2.5373359192975631</v>
      </c>
      <c r="AA125">
        <f t="shared" ca="1" si="39"/>
        <v>0.30438928145614064</v>
      </c>
      <c r="AB125">
        <f t="shared" ca="1" si="40"/>
        <v>273.91280000000006</v>
      </c>
    </row>
    <row r="126" spans="1:28" x14ac:dyDescent="0.25">
      <c r="A126" s="21">
        <f t="shared" ca="1" si="20"/>
        <v>45474</v>
      </c>
      <c r="B126" vm="372">
        <f ca="1"/>
        <v>45474</v>
      </c>
      <c r="C126" vm="373">
        <f ca="1"/>
        <v>249.99</v>
      </c>
      <c r="D126" vm="374">
        <f ca="1"/>
        <v>3817576</v>
      </c>
      <c r="E126">
        <f t="shared" ca="1" si="21"/>
        <v>954355824.24000001</v>
      </c>
      <c r="F126">
        <f ca="1">SUM($E$2:E126)/SUM($D$2:D126)</f>
        <v>276.25165192183454</v>
      </c>
      <c r="G126">
        <f ca="1">_xlfn.STDEV.P($C$2:C126)</f>
        <v>14.749109228695813</v>
      </c>
      <c r="H126">
        <f t="shared" ca="1" si="22"/>
        <v>291.00076115053037</v>
      </c>
      <c r="I126">
        <f t="shared" ca="1" si="23"/>
        <v>261.50254269313871</v>
      </c>
      <c r="J126">
        <f t="shared" ca="1" si="32"/>
        <v>256.26599999999996</v>
      </c>
      <c r="K126">
        <f t="shared" ca="1" si="33"/>
        <v>3.5059969676031</v>
      </c>
      <c r="L126">
        <f t="shared" ca="1" si="34"/>
        <v>263.27799393520615</v>
      </c>
      <c r="M126">
        <f t="shared" ca="1" si="35"/>
        <v>249.25400606479377</v>
      </c>
      <c r="N126">
        <f t="shared" ca="1" si="24"/>
        <v>-4.8499999999999943</v>
      </c>
      <c r="O126">
        <f t="shared" ca="1" si="25"/>
        <v>0</v>
      </c>
      <c r="P126">
        <f t="shared" ca="1" si="26"/>
        <v>4.8499999999999943</v>
      </c>
      <c r="Q126">
        <f t="shared" ca="1" si="30"/>
        <v>0.8446437557026073</v>
      </c>
      <c r="R126">
        <f t="shared" ca="1" si="31"/>
        <v>1.4643271667837696</v>
      </c>
      <c r="S126">
        <f t="shared" ca="1" si="28"/>
        <v>0.57681355291507197</v>
      </c>
      <c r="T126">
        <f t="shared" ca="1" si="29"/>
        <v>36.580961131942999</v>
      </c>
      <c r="U126">
        <f>70</f>
        <v>70</v>
      </c>
      <c r="V126">
        <f>30</f>
        <v>30</v>
      </c>
      <c r="W126">
        <f t="shared" ca="1" si="27"/>
        <v>255.62214573635598</v>
      </c>
      <c r="X126">
        <f t="shared" ca="1" si="37"/>
        <v>257.8550923741974</v>
      </c>
      <c r="Y126">
        <f t="shared" ca="1" si="36"/>
        <v>-2.6923297376536652</v>
      </c>
      <c r="Z126">
        <f t="shared" ca="1" si="38"/>
        <v>-2.5683346829687834</v>
      </c>
      <c r="AA126">
        <f t="shared" ca="1" si="39"/>
        <v>-0.12399505468488181</v>
      </c>
      <c r="AB126">
        <f t="shared" ca="1" si="40"/>
        <v>273.56620000000004</v>
      </c>
    </row>
    <row r="127" spans="1:28" x14ac:dyDescent="0.25">
      <c r="A127" s="21">
        <f t="shared" ca="1" si="20"/>
        <v>45474</v>
      </c>
      <c r="B127" vm="375">
        <f ca="1"/>
        <v>45475</v>
      </c>
      <c r="C127" vm="376">
        <f ca="1"/>
        <v>247.79</v>
      </c>
      <c r="D127" vm="377">
        <f ca="1"/>
        <v>3944881</v>
      </c>
      <c r="E127">
        <f t="shared" ca="1" si="21"/>
        <v>977502062.99000001</v>
      </c>
      <c r="F127">
        <f ca="1">SUM($E$2:E127)/SUM($D$2:D127)</f>
        <v>275.99244684567401</v>
      </c>
      <c r="G127">
        <f ca="1">_xlfn.STDEV.P($C$2:C127)</f>
        <v>14.927230833750498</v>
      </c>
      <c r="H127">
        <f t="shared" ca="1" si="22"/>
        <v>290.91967767942452</v>
      </c>
      <c r="I127">
        <f t="shared" ca="1" si="23"/>
        <v>261.0652160119235</v>
      </c>
      <c r="J127">
        <f t="shared" ca="1" si="32"/>
        <v>255.66800000000003</v>
      </c>
      <c r="K127">
        <f t="shared" ca="1" si="33"/>
        <v>3.8804538530000836</v>
      </c>
      <c r="L127">
        <f t="shared" ca="1" si="34"/>
        <v>263.42890770600019</v>
      </c>
      <c r="M127">
        <f t="shared" ca="1" si="35"/>
        <v>247.90709229399988</v>
      </c>
      <c r="N127">
        <f t="shared" ca="1" si="24"/>
        <v>-2.2000000000000171</v>
      </c>
      <c r="O127">
        <f t="shared" ca="1" si="25"/>
        <v>0</v>
      </c>
      <c r="P127">
        <f t="shared" ca="1" si="26"/>
        <v>2.2000000000000171</v>
      </c>
      <c r="Q127">
        <f t="shared" ca="1" si="30"/>
        <v>0.78431205886670685</v>
      </c>
      <c r="R127">
        <f t="shared" ca="1" si="31"/>
        <v>1.516875226299216</v>
      </c>
      <c r="S127">
        <f t="shared" ca="1" si="28"/>
        <v>0.51705772845946318</v>
      </c>
      <c r="T127">
        <f t="shared" ca="1" si="29"/>
        <v>34.082930316997448</v>
      </c>
      <c r="U127">
        <f>70</f>
        <v>70</v>
      </c>
      <c r="V127">
        <f>30</f>
        <v>30</v>
      </c>
      <c r="W127">
        <f t="shared" ca="1" si="27"/>
        <v>254.41720023845505</v>
      </c>
      <c r="X127">
        <f t="shared" ca="1" si="37"/>
        <v>257.10952997610872</v>
      </c>
      <c r="Y127">
        <f t="shared" ca="1" si="36"/>
        <v>-2.8452671550261357</v>
      </c>
      <c r="Z127">
        <f t="shared" ca="1" si="38"/>
        <v>-2.6237211773802542</v>
      </c>
      <c r="AA127">
        <f t="shared" ca="1" si="39"/>
        <v>-0.22154597764588146</v>
      </c>
      <c r="AB127">
        <f t="shared" ca="1" si="40"/>
        <v>273.1708000000001</v>
      </c>
    </row>
    <row r="128" spans="1:28" x14ac:dyDescent="0.25">
      <c r="A128" s="21">
        <f t="shared" ca="1" si="20"/>
        <v>45474</v>
      </c>
      <c r="B128" vm="378">
        <f ca="1"/>
        <v>45476</v>
      </c>
      <c r="C128" vm="379">
        <f ca="1"/>
        <v>250</v>
      </c>
      <c r="D128" vm="380">
        <f ca="1"/>
        <v>2026070</v>
      </c>
      <c r="E128">
        <f t="shared" ca="1" si="21"/>
        <v>506517500</v>
      </c>
      <c r="F128">
        <f ca="1">SUM($E$2:E128)/SUM($D$2:D128)</f>
        <v>275.8714359508167</v>
      </c>
      <c r="G128">
        <f ca="1">_xlfn.STDEV.P($C$2:C128)</f>
        <v>15.064238135589243</v>
      </c>
      <c r="H128">
        <f t="shared" ca="1" si="22"/>
        <v>290.93567408640592</v>
      </c>
      <c r="I128">
        <f t="shared" ca="1" si="23"/>
        <v>260.80719781522748</v>
      </c>
      <c r="J128">
        <f t="shared" ca="1" si="32"/>
        <v>255.03199999999998</v>
      </c>
      <c r="K128">
        <f t="shared" ca="1" si="33"/>
        <v>3.702105517561312</v>
      </c>
      <c r="L128">
        <f t="shared" ca="1" si="34"/>
        <v>262.4362110351226</v>
      </c>
      <c r="M128">
        <f t="shared" ca="1" si="35"/>
        <v>247.62778896487737</v>
      </c>
      <c r="N128">
        <f t="shared" ca="1" si="24"/>
        <v>2.210000000000008</v>
      </c>
      <c r="O128">
        <f t="shared" ca="1" si="25"/>
        <v>2.210000000000008</v>
      </c>
      <c r="P128">
        <f t="shared" ca="1" si="26"/>
        <v>0</v>
      </c>
      <c r="Q128">
        <f t="shared" ca="1" si="30"/>
        <v>0.88614691180479976</v>
      </c>
      <c r="R128">
        <f t="shared" ca="1" si="31"/>
        <v>1.4085269958492719</v>
      </c>
      <c r="S128">
        <f t="shared" ca="1" si="28"/>
        <v>0.62913022925094675</v>
      </c>
      <c r="T128">
        <f t="shared" ca="1" si="29"/>
        <v>38.617552971207999</v>
      </c>
      <c r="U128">
        <f>70</f>
        <v>70</v>
      </c>
      <c r="V128">
        <f>30</f>
        <v>30</v>
      </c>
      <c r="W128">
        <f t="shared" ca="1" si="27"/>
        <v>253.73763097100044</v>
      </c>
      <c r="X128">
        <f t="shared" ca="1" si="37"/>
        <v>256.58289812602658</v>
      </c>
      <c r="Y128">
        <f t="shared" ca="1" si="36"/>
        <v>-2.8457136540499164</v>
      </c>
      <c r="Z128">
        <f t="shared" ca="1" si="38"/>
        <v>-2.6681196727141869</v>
      </c>
      <c r="AA128">
        <f t="shared" ca="1" si="39"/>
        <v>-0.17759398133572946</v>
      </c>
      <c r="AB128">
        <f t="shared" ca="1" si="40"/>
        <v>272.75150000000008</v>
      </c>
    </row>
    <row r="129" spans="1:28" x14ac:dyDescent="0.25">
      <c r="A129" s="21">
        <f t="shared" ca="1" si="20"/>
        <v>45474</v>
      </c>
      <c r="B129" vm="381">
        <f ca="1"/>
        <v>45478</v>
      </c>
      <c r="C129" vm="382">
        <f ca="1"/>
        <v>251.09</v>
      </c>
      <c r="D129" vm="383">
        <f ca="1"/>
        <v>2814312</v>
      </c>
      <c r="E129">
        <f t="shared" ca="1" si="21"/>
        <v>706645600.08000004</v>
      </c>
      <c r="F129">
        <f ca="1">SUM($E$2:E129)/SUM($D$2:D129)</f>
        <v>275.71220698211522</v>
      </c>
      <c r="G129">
        <f ca="1">_xlfn.STDEV.P($C$2:C129)</f>
        <v>15.180089392518207</v>
      </c>
      <c r="H129">
        <f t="shared" ca="1" si="22"/>
        <v>290.89229637463342</v>
      </c>
      <c r="I129">
        <f t="shared" ca="1" si="23"/>
        <v>260.53211758959702</v>
      </c>
      <c r="J129">
        <f t="shared" ca="1" si="32"/>
        <v>254.58700000000005</v>
      </c>
      <c r="K129">
        <f t="shared" ca="1" si="33"/>
        <v>3.6084930518518616</v>
      </c>
      <c r="L129">
        <f t="shared" ca="1" si="34"/>
        <v>261.80398610370378</v>
      </c>
      <c r="M129">
        <f t="shared" ca="1" si="35"/>
        <v>247.37001389629631</v>
      </c>
      <c r="N129">
        <f t="shared" ca="1" si="24"/>
        <v>1.0900000000000034</v>
      </c>
      <c r="O129">
        <f t="shared" ca="1" si="25"/>
        <v>1.0900000000000034</v>
      </c>
      <c r="P129">
        <f t="shared" ca="1" si="26"/>
        <v>0</v>
      </c>
      <c r="Q129">
        <f t="shared" ca="1" si="30"/>
        <v>0.90070784667588577</v>
      </c>
      <c r="R129">
        <f t="shared" ca="1" si="31"/>
        <v>1.307917924717181</v>
      </c>
      <c r="S129">
        <f t="shared" ca="1" si="28"/>
        <v>0.68865777405004314</v>
      </c>
      <c r="T129">
        <f t="shared" ca="1" si="29"/>
        <v>40.781369951495861</v>
      </c>
      <c r="U129">
        <f>70</f>
        <v>70</v>
      </c>
      <c r="V129">
        <f>30</f>
        <v>30</v>
      </c>
      <c r="W129">
        <f t="shared" ca="1" si="27"/>
        <v>253.33030312930805</v>
      </c>
      <c r="X129">
        <f t="shared" ca="1" si="37"/>
        <v>256.17601678335797</v>
      </c>
      <c r="Y129">
        <f t="shared" ca="1" si="36"/>
        <v>-3.0720952284525538</v>
      </c>
      <c r="Z129">
        <f t="shared" ca="1" si="38"/>
        <v>-2.7489147838618604</v>
      </c>
      <c r="AA129">
        <f t="shared" ca="1" si="39"/>
        <v>-0.32318044459069339</v>
      </c>
      <c r="AB129">
        <f t="shared" ca="1" si="40"/>
        <v>272.36770000000007</v>
      </c>
    </row>
    <row r="130" spans="1:28" x14ac:dyDescent="0.25">
      <c r="A130" s="21">
        <f t="shared" ca="1" si="20"/>
        <v>45481</v>
      </c>
      <c r="B130" vm="384">
        <f ca="1"/>
        <v>45481</v>
      </c>
      <c r="C130" vm="385">
        <f ca="1"/>
        <v>247.85</v>
      </c>
      <c r="D130" vm="386">
        <f ca="1"/>
        <v>3163853</v>
      </c>
      <c r="E130">
        <f t="shared" ca="1" si="21"/>
        <v>784160966.04999995</v>
      </c>
      <c r="F130">
        <f ca="1">SUM($E$2:E130)/SUM($D$2:D130)</f>
        <v>275.51239138250133</v>
      </c>
      <c r="G130">
        <f ca="1">_xlfn.STDEV.P($C$2:C130)</f>
        <v>15.335400336455463</v>
      </c>
      <c r="H130">
        <f t="shared" ca="1" si="22"/>
        <v>290.84779171895678</v>
      </c>
      <c r="I130">
        <f t="shared" ca="1" si="23"/>
        <v>260.17699104604588</v>
      </c>
      <c r="J130">
        <f t="shared" ca="1" si="32"/>
        <v>253.94350000000003</v>
      </c>
      <c r="K130">
        <f t="shared" ca="1" si="33"/>
        <v>3.6047837733533434</v>
      </c>
      <c r="L130">
        <f t="shared" ca="1" si="34"/>
        <v>261.15306754670672</v>
      </c>
      <c r="M130">
        <f t="shared" ca="1" si="35"/>
        <v>246.73393245329333</v>
      </c>
      <c r="N130">
        <f t="shared" ca="1" si="24"/>
        <v>-3.2400000000000091</v>
      </c>
      <c r="O130">
        <f t="shared" ca="1" si="25"/>
        <v>0</v>
      </c>
      <c r="P130">
        <f t="shared" ca="1" si="26"/>
        <v>3.2400000000000091</v>
      </c>
      <c r="Q130">
        <f t="shared" ca="1" si="30"/>
        <v>0.83637157191332256</v>
      </c>
      <c r="R130">
        <f t="shared" ca="1" si="31"/>
        <v>1.4459237872373831</v>
      </c>
      <c r="S130">
        <f t="shared" ca="1" si="28"/>
        <v>0.57843406360394301</v>
      </c>
      <c r="T130">
        <f t="shared" ca="1" si="29"/>
        <v>36.646070744522554</v>
      </c>
      <c r="U130">
        <f>70</f>
        <v>70</v>
      </c>
      <c r="V130">
        <f>30</f>
        <v>30</v>
      </c>
      <c r="W130">
        <f t="shared" ca="1" si="27"/>
        <v>252.48717957095297</v>
      </c>
      <c r="X130">
        <f t="shared" ca="1" si="37"/>
        <v>255.55927479940553</v>
      </c>
      <c r="Y130">
        <f t="shared" ca="1" si="36"/>
        <v>-3.3763873995263509</v>
      </c>
      <c r="Z130">
        <f t="shared" ca="1" si="38"/>
        <v>-2.8744093069947585</v>
      </c>
      <c r="AA130">
        <f t="shared" ca="1" si="39"/>
        <v>-0.50197809253159242</v>
      </c>
      <c r="AB130">
        <f t="shared" ca="1" si="40"/>
        <v>271.95180000000005</v>
      </c>
    </row>
    <row r="131" spans="1:28" x14ac:dyDescent="0.25">
      <c r="A131" s="21">
        <f t="shared" ref="A131:A194" ca="1" si="41">B131 - WEEKDAY(B131, 2) + 1</f>
        <v>45481</v>
      </c>
      <c r="B131" vm="387">
        <f ca="1"/>
        <v>45482</v>
      </c>
      <c r="C131" vm="388">
        <f ca="1"/>
        <v>245.82</v>
      </c>
      <c r="D131" vm="389">
        <f ca="1"/>
        <v>4930592</v>
      </c>
      <c r="E131">
        <f t="shared" ref="E131:E194" ca="1" si="42">C131*D131</f>
        <v>1212038125.4400001</v>
      </c>
      <c r="F131">
        <f ca="1">SUM($E$2:E131)/SUM($D$2:D131)</f>
        <v>275.18420923229104</v>
      </c>
      <c r="G131">
        <f ca="1">_xlfn.STDEV.P($C$2:C131)</f>
        <v>15.513493516763869</v>
      </c>
      <c r="H131">
        <f t="shared" ref="H131:H194" ca="1" si="43">F131 + G131</f>
        <v>290.69770274905488</v>
      </c>
      <c r="I131">
        <f t="shared" ref="I131:I194" ca="1" si="44">F131 - G131</f>
        <v>259.67071571552719</v>
      </c>
      <c r="J131">
        <f t="shared" ca="1" si="32"/>
        <v>253.42400000000004</v>
      </c>
      <c r="K131">
        <f t="shared" ca="1" si="33"/>
        <v>3.9891397305025151</v>
      </c>
      <c r="L131">
        <f t="shared" ca="1" si="34"/>
        <v>261.40227946100504</v>
      </c>
      <c r="M131">
        <f t="shared" ca="1" si="35"/>
        <v>245.445720538995</v>
      </c>
      <c r="N131">
        <f t="shared" ca="1" si="24"/>
        <v>-2.0300000000000011</v>
      </c>
      <c r="O131">
        <f t="shared" ca="1" si="25"/>
        <v>0</v>
      </c>
      <c r="P131">
        <f t="shared" ca="1" si="26"/>
        <v>2.0300000000000011</v>
      </c>
      <c r="Q131">
        <f t="shared" ca="1" si="30"/>
        <v>0.77663074534808529</v>
      </c>
      <c r="R131">
        <f t="shared" ca="1" si="31"/>
        <v>1.4876435167204272</v>
      </c>
      <c r="S131">
        <f t="shared" ca="1" si="28"/>
        <v>0.52205433399810763</v>
      </c>
      <c r="T131">
        <f t="shared" ca="1" si="29"/>
        <v>34.299323114621259</v>
      </c>
      <c r="U131">
        <f>70</f>
        <v>70</v>
      </c>
      <c r="V131">
        <f>30</f>
        <v>30</v>
      </c>
      <c r="W131">
        <f t="shared" ca="1" si="27"/>
        <v>251.46145963696023</v>
      </c>
      <c r="X131">
        <f t="shared" ca="1" si="37"/>
        <v>254.83784703648658</v>
      </c>
      <c r="Y131">
        <f t="shared" ca="1" si="36"/>
        <v>-3.2037799848460224</v>
      </c>
      <c r="Z131">
        <f t="shared" ca="1" si="38"/>
        <v>-2.9402834425650113</v>
      </c>
      <c r="AA131">
        <f t="shared" ca="1" si="39"/>
        <v>-0.26349654228101116</v>
      </c>
      <c r="AB131">
        <f t="shared" ca="1" si="40"/>
        <v>271.53890000000007</v>
      </c>
    </row>
    <row r="132" spans="1:28" x14ac:dyDescent="0.25">
      <c r="A132" s="21">
        <f t="shared" ca="1" si="41"/>
        <v>45481</v>
      </c>
      <c r="B132" vm="390">
        <f ca="1"/>
        <v>45483</v>
      </c>
      <c r="C132" vm="391">
        <f ca="1"/>
        <v>250.49</v>
      </c>
      <c r="D132" vm="392">
        <f ca="1"/>
        <v>4092739</v>
      </c>
      <c r="E132">
        <f t="shared" ca="1" si="42"/>
        <v>1025190192.11</v>
      </c>
      <c r="F132">
        <f ca="1">SUM($E$2:E132)/SUM($D$2:D132)</f>
        <v>274.95971065305724</v>
      </c>
      <c r="G132">
        <f ca="1">_xlfn.STDEV.P($C$2:C132)</f>
        <v>15.619266207859354</v>
      </c>
      <c r="H132">
        <f t="shared" ca="1" si="43"/>
        <v>290.57897686091661</v>
      </c>
      <c r="I132">
        <f t="shared" ca="1" si="44"/>
        <v>259.34044444519787</v>
      </c>
      <c r="J132">
        <f t="shared" ca="1" si="32"/>
        <v>253.25800000000004</v>
      </c>
      <c r="K132">
        <f t="shared" ca="1" si="33"/>
        <v>4.040972524945996</v>
      </c>
      <c r="L132">
        <f t="shared" ca="1" si="34"/>
        <v>261.33994504989204</v>
      </c>
      <c r="M132">
        <f t="shared" ca="1" si="35"/>
        <v>245.17605495010804</v>
      </c>
      <c r="N132">
        <f t="shared" ref="N132:N195" ca="1" si="45">C132-C131</f>
        <v>4.6700000000000159</v>
      </c>
      <c r="O132">
        <f t="shared" ref="O132:O195" ca="1" si="46">MAX(N132,0)</f>
        <v>4.6700000000000159</v>
      </c>
      <c r="P132">
        <f t="shared" ref="P132:P195" ca="1" si="47">MAX(-N132,0)</f>
        <v>0</v>
      </c>
      <c r="Q132">
        <f t="shared" ca="1" si="30"/>
        <v>1.0547285492517946</v>
      </c>
      <c r="R132">
        <f t="shared" ca="1" si="31"/>
        <v>1.3813832655261109</v>
      </c>
      <c r="S132">
        <f t="shared" ca="1" si="28"/>
        <v>0.76353071270925865</v>
      </c>
      <c r="T132">
        <f t="shared" ca="1" si="29"/>
        <v>43.295572184068718</v>
      </c>
      <c r="U132">
        <f>70</f>
        <v>70</v>
      </c>
      <c r="V132">
        <f>30</f>
        <v>30</v>
      </c>
      <c r="W132">
        <f t="shared" ca="1" si="27"/>
        <v>251.31200430819712</v>
      </c>
      <c r="X132">
        <f t="shared" ca="1" si="37"/>
        <v>254.51578429304314</v>
      </c>
      <c r="Y132">
        <f t="shared" ca="1" si="36"/>
        <v>-2.6882182783602957</v>
      </c>
      <c r="Z132">
        <f t="shared" ca="1" si="38"/>
        <v>-2.8898704097240682</v>
      </c>
      <c r="AA132">
        <f t="shared" ca="1" si="39"/>
        <v>0.20165213136377247</v>
      </c>
      <c r="AB132">
        <f t="shared" ca="1" si="40"/>
        <v>271.16210000000001</v>
      </c>
    </row>
    <row r="133" spans="1:28" x14ac:dyDescent="0.25">
      <c r="A133" s="21">
        <f t="shared" ca="1" si="41"/>
        <v>45481</v>
      </c>
      <c r="B133" vm="393">
        <f ca="1"/>
        <v>45484</v>
      </c>
      <c r="C133" vm="394">
        <f ca="1"/>
        <v>254.8</v>
      </c>
      <c r="D133" vm="395">
        <f ca="1"/>
        <v>5548256</v>
      </c>
      <c r="E133">
        <f t="shared" ca="1" si="42"/>
        <v>1413695628.8</v>
      </c>
      <c r="F133">
        <f ca="1">SUM($E$2:E133)/SUM($D$2:D133)</f>
        <v>274.71428183048135</v>
      </c>
      <c r="G133">
        <f ca="1">_xlfn.STDEV.P($C$2:C133)</f>
        <v>15.67142104607319</v>
      </c>
      <c r="H133">
        <f t="shared" ca="1" si="43"/>
        <v>290.38570287655455</v>
      </c>
      <c r="I133">
        <f t="shared" ca="1" si="44"/>
        <v>259.04286078440816</v>
      </c>
      <c r="J133">
        <f t="shared" ca="1" si="32"/>
        <v>253.28400000000002</v>
      </c>
      <c r="K133">
        <f t="shared" ca="1" si="33"/>
        <v>4.0495580005724081</v>
      </c>
      <c r="L133">
        <f t="shared" ca="1" si="34"/>
        <v>261.38311600114486</v>
      </c>
      <c r="M133">
        <f t="shared" ca="1" si="35"/>
        <v>245.18488399885521</v>
      </c>
      <c r="N133">
        <f t="shared" ca="1" si="45"/>
        <v>4.3100000000000023</v>
      </c>
      <c r="O133">
        <f t="shared" ca="1" si="46"/>
        <v>4.3100000000000023</v>
      </c>
      <c r="P133">
        <f t="shared" ca="1" si="47"/>
        <v>0</v>
      </c>
      <c r="Q133">
        <f t="shared" ca="1" si="30"/>
        <v>1.2872479385909525</v>
      </c>
      <c r="R133">
        <f t="shared" ca="1" si="31"/>
        <v>1.2827130322742459</v>
      </c>
      <c r="S133">
        <f t="shared" ca="1" si="28"/>
        <v>1.003535402075604</v>
      </c>
      <c r="T133">
        <f t="shared" ca="1" si="29"/>
        <v>50.088229089237494</v>
      </c>
      <c r="U133">
        <f>70</f>
        <v>70</v>
      </c>
      <c r="V133">
        <f>30</f>
        <v>30</v>
      </c>
      <c r="W133">
        <f t="shared" ca="1" si="27"/>
        <v>251.84861903001297</v>
      </c>
      <c r="X133">
        <f t="shared" ca="1" si="37"/>
        <v>254.53683730837326</v>
      </c>
      <c r="Y133">
        <f t="shared" ca="1" si="36"/>
        <v>-2.3254480721010111</v>
      </c>
      <c r="Z133">
        <f t="shared" ca="1" si="38"/>
        <v>-2.7769859421994569</v>
      </c>
      <c r="AA133">
        <f t="shared" ca="1" si="39"/>
        <v>0.45153787009844581</v>
      </c>
      <c r="AB133">
        <f t="shared" ca="1" si="40"/>
        <v>270.79150000000004</v>
      </c>
    </row>
    <row r="134" spans="1:28" x14ac:dyDescent="0.25">
      <c r="A134" s="21">
        <f t="shared" ca="1" si="41"/>
        <v>45481</v>
      </c>
      <c r="B134" vm="396">
        <f ca="1"/>
        <v>45485</v>
      </c>
      <c r="C134" vm="397">
        <f ca="1"/>
        <v>253.9</v>
      </c>
      <c r="D134" vm="398">
        <f ca="1"/>
        <v>4543006</v>
      </c>
      <c r="E134">
        <f t="shared" ca="1" si="42"/>
        <v>1153469223.4000001</v>
      </c>
      <c r="F134">
        <f ca="1">SUM($E$2:E134)/SUM($D$2:D134)</f>
        <v>274.50884339108643</v>
      </c>
      <c r="G134">
        <f ca="1">_xlfn.STDEV.P($C$2:C134)</f>
        <v>15.730281675903205</v>
      </c>
      <c r="H134">
        <f t="shared" ca="1" si="43"/>
        <v>290.23912506698963</v>
      </c>
      <c r="I134">
        <f t="shared" ca="1" si="44"/>
        <v>258.77856171518323</v>
      </c>
      <c r="J134">
        <f t="shared" ca="1" si="32"/>
        <v>253.25500000000002</v>
      </c>
      <c r="K134">
        <f t="shared" ca="1" si="33"/>
        <v>4.0426131465466222</v>
      </c>
      <c r="L134">
        <f t="shared" ca="1" si="34"/>
        <v>261.34022629309328</v>
      </c>
      <c r="M134">
        <f t="shared" ca="1" si="35"/>
        <v>245.16977370690677</v>
      </c>
      <c r="N134">
        <f t="shared" ca="1" si="45"/>
        <v>-0.90000000000000568</v>
      </c>
      <c r="O134">
        <f t="shared" ca="1" si="46"/>
        <v>0</v>
      </c>
      <c r="P134">
        <f t="shared" ca="1" si="47"/>
        <v>0.90000000000000568</v>
      </c>
      <c r="Q134">
        <f t="shared" ca="1" si="30"/>
        <v>1.1953016572630273</v>
      </c>
      <c r="R134">
        <f t="shared" ca="1" si="31"/>
        <v>1.2553763871118002</v>
      </c>
      <c r="S134">
        <f t="shared" ca="1" si="28"/>
        <v>0.9521460412466537</v>
      </c>
      <c r="T134">
        <f t="shared" ca="1" si="29"/>
        <v>48.774324314312402</v>
      </c>
      <c r="U134">
        <f>70</f>
        <v>70</v>
      </c>
      <c r="V134">
        <f>30</f>
        <v>30</v>
      </c>
      <c r="W134">
        <f t="shared" ca="1" si="27"/>
        <v>252.16421610231868</v>
      </c>
      <c r="X134">
        <f t="shared" ca="1" si="37"/>
        <v>254.48966417441969</v>
      </c>
      <c r="Y134">
        <f t="shared" ca="1" si="36"/>
        <v>-2.2037853968597005</v>
      </c>
      <c r="Z134">
        <f t="shared" ca="1" si="38"/>
        <v>-2.6623458331315057</v>
      </c>
      <c r="AA134">
        <f t="shared" ca="1" si="39"/>
        <v>0.45856043627180521</v>
      </c>
      <c r="AB134">
        <f t="shared" ca="1" si="40"/>
        <v>270.41030000000006</v>
      </c>
    </row>
    <row r="135" spans="1:28" x14ac:dyDescent="0.25">
      <c r="A135" s="21">
        <f t="shared" ca="1" si="41"/>
        <v>45488</v>
      </c>
      <c r="B135" vm="399">
        <f ca="1"/>
        <v>45488</v>
      </c>
      <c r="C135" vm="400">
        <f ca="1"/>
        <v>251.53</v>
      </c>
      <c r="D135" vm="401">
        <f ca="1"/>
        <v>3393612</v>
      </c>
      <c r="E135">
        <f t="shared" ca="1" si="42"/>
        <v>853595226.36000001</v>
      </c>
      <c r="F135">
        <f ca="1">SUM($E$2:E135)/SUM($D$2:D135)</f>
        <v>274.34066234519202</v>
      </c>
      <c r="G135">
        <f ca="1">_xlfn.STDEV.P($C$2:C135)</f>
        <v>15.812170486442225</v>
      </c>
      <c r="H135">
        <f t="shared" ca="1" si="43"/>
        <v>290.15283283163421</v>
      </c>
      <c r="I135">
        <f t="shared" ca="1" si="44"/>
        <v>258.52849185874982</v>
      </c>
      <c r="J135">
        <f t="shared" ca="1" si="32"/>
        <v>253.1465</v>
      </c>
      <c r="K135">
        <f t="shared" ca="1" si="33"/>
        <v>4.0591278230933456</v>
      </c>
      <c r="L135">
        <f t="shared" ca="1" si="34"/>
        <v>261.2647556461867</v>
      </c>
      <c r="M135">
        <f t="shared" ca="1" si="35"/>
        <v>245.02824435381331</v>
      </c>
      <c r="N135">
        <f t="shared" ca="1" si="45"/>
        <v>-2.3700000000000045</v>
      </c>
      <c r="O135">
        <f t="shared" ca="1" si="46"/>
        <v>0</v>
      </c>
      <c r="P135">
        <f t="shared" ca="1" si="47"/>
        <v>2.3700000000000045</v>
      </c>
      <c r="Q135">
        <f t="shared" ca="1" si="30"/>
        <v>1.1099229674585254</v>
      </c>
      <c r="R135">
        <f t="shared" ca="1" si="31"/>
        <v>1.3349923594609578</v>
      </c>
      <c r="S135">
        <f t="shared" ca="1" si="28"/>
        <v>0.83140773023351922</v>
      </c>
      <c r="T135">
        <f t="shared" ca="1" si="29"/>
        <v>45.397194546487363</v>
      </c>
      <c r="U135">
        <f>70</f>
        <v>70</v>
      </c>
      <c r="V135">
        <f>30</f>
        <v>30</v>
      </c>
      <c r="W135">
        <f t="shared" ca="1" si="27"/>
        <v>252.06664439426964</v>
      </c>
      <c r="X135">
        <f t="shared" ca="1" si="37"/>
        <v>254.27042979112935</v>
      </c>
      <c r="Y135">
        <f t="shared" ca="1" si="36"/>
        <v>-1.6254595356665504</v>
      </c>
      <c r="Z135">
        <f t="shared" ca="1" si="38"/>
        <v>-2.454968573638515</v>
      </c>
      <c r="AA135">
        <f t="shared" ca="1" si="39"/>
        <v>0.82950903797196451</v>
      </c>
      <c r="AB135">
        <f t="shared" ca="1" si="40"/>
        <v>269.99910000000006</v>
      </c>
    </row>
    <row r="136" spans="1:28" x14ac:dyDescent="0.25">
      <c r="A136" s="21">
        <f t="shared" ca="1" si="41"/>
        <v>45488</v>
      </c>
      <c r="B136" vm="402">
        <f ca="1"/>
        <v>45489</v>
      </c>
      <c r="C136" vm="403">
        <f ca="1"/>
        <v>257.27</v>
      </c>
      <c r="D136" vm="404">
        <f ca="1"/>
        <v>4172974</v>
      </c>
      <c r="E136">
        <f t="shared" ca="1" si="42"/>
        <v>1073581020.9799999</v>
      </c>
      <c r="F136">
        <f ca="1">SUM($E$2:E136)/SUM($D$2:D136)</f>
        <v>274.18840029544577</v>
      </c>
      <c r="G136">
        <f ca="1">_xlfn.STDEV.P($C$2:C136)</f>
        <v>15.833440038453528</v>
      </c>
      <c r="H136">
        <f t="shared" ca="1" si="43"/>
        <v>290.02184033389932</v>
      </c>
      <c r="I136">
        <f t="shared" ca="1" si="44"/>
        <v>258.35496025699223</v>
      </c>
      <c r="J136">
        <f t="shared" ca="1" si="32"/>
        <v>253.33099999999996</v>
      </c>
      <c r="K136">
        <f t="shared" ca="1" si="33"/>
        <v>4.1624156700798522</v>
      </c>
      <c r="L136">
        <f t="shared" ca="1" si="34"/>
        <v>261.65583134015969</v>
      </c>
      <c r="M136">
        <f t="shared" ca="1" si="35"/>
        <v>245.00616865984026</v>
      </c>
      <c r="N136">
        <f t="shared" ca="1" si="45"/>
        <v>5.7399999999999807</v>
      </c>
      <c r="O136">
        <f t="shared" ca="1" si="46"/>
        <v>5.7399999999999807</v>
      </c>
      <c r="P136">
        <f t="shared" ca="1" si="47"/>
        <v>0</v>
      </c>
      <c r="Q136">
        <f t="shared" ca="1" si="30"/>
        <v>1.4406427554972008</v>
      </c>
      <c r="R136">
        <f t="shared" ca="1" si="31"/>
        <v>1.2396357623566039</v>
      </c>
      <c r="S136">
        <f t="shared" ca="1" si="28"/>
        <v>1.1621500437825973</v>
      </c>
      <c r="T136">
        <f t="shared" ca="1" si="29"/>
        <v>53.749740778834258</v>
      </c>
      <c r="U136">
        <f>70</f>
        <v>70</v>
      </c>
      <c r="V136">
        <f>30</f>
        <v>30</v>
      </c>
      <c r="W136">
        <f t="shared" ca="1" si="27"/>
        <v>252.86716064130508</v>
      </c>
      <c r="X136">
        <f t="shared" ca="1" si="37"/>
        <v>254.49262017697163</v>
      </c>
      <c r="Y136">
        <f t="shared" ca="1" si="36"/>
        <v>-0.85628161552185134</v>
      </c>
      <c r="Z136">
        <f t="shared" ca="1" si="38"/>
        <v>-2.1352311820151826</v>
      </c>
      <c r="AA136">
        <f t="shared" ca="1" si="39"/>
        <v>1.2789495664933312</v>
      </c>
      <c r="AB136">
        <f t="shared" ca="1" si="40"/>
        <v>269.63270000000006</v>
      </c>
    </row>
    <row r="137" spans="1:28" x14ac:dyDescent="0.25">
      <c r="A137" s="21">
        <f t="shared" ca="1" si="41"/>
        <v>45488</v>
      </c>
      <c r="B137" vm="405">
        <f ca="1"/>
        <v>45490</v>
      </c>
      <c r="C137" vm="406">
        <f ca="1"/>
        <v>261</v>
      </c>
      <c r="D137" vm="407">
        <f ca="1"/>
        <v>3711520</v>
      </c>
      <c r="E137">
        <f t="shared" ca="1" si="42"/>
        <v>968706720</v>
      </c>
      <c r="F137">
        <f ca="1">SUM($E$2:E137)/SUM($D$2:D137)</f>
        <v>274.08459779773386</v>
      </c>
      <c r="G137">
        <f ca="1">_xlfn.STDEV.P($C$2:C137)</f>
        <v>15.824794279617493</v>
      </c>
      <c r="H137">
        <f t="shared" ca="1" si="43"/>
        <v>289.90939207735136</v>
      </c>
      <c r="I137">
        <f t="shared" ca="1" si="44"/>
        <v>258.25980351811637</v>
      </c>
      <c r="J137">
        <f t="shared" ca="1" si="32"/>
        <v>253.70550000000003</v>
      </c>
      <c r="K137">
        <f t="shared" ca="1" si="33"/>
        <v>4.5024256328058723</v>
      </c>
      <c r="L137">
        <f t="shared" ca="1" si="34"/>
        <v>262.71035126561179</v>
      </c>
      <c r="M137">
        <f t="shared" ca="1" si="35"/>
        <v>244.7006487343883</v>
      </c>
      <c r="N137">
        <f t="shared" ca="1" si="45"/>
        <v>3.7300000000000182</v>
      </c>
      <c r="O137">
        <f t="shared" ca="1" si="46"/>
        <v>3.7300000000000182</v>
      </c>
      <c r="P137">
        <f t="shared" ca="1" si="47"/>
        <v>0</v>
      </c>
      <c r="Q137">
        <f t="shared" ca="1" si="30"/>
        <v>1.6041682729616877</v>
      </c>
      <c r="R137">
        <f t="shared" ca="1" si="31"/>
        <v>1.1510903507597037</v>
      </c>
      <c r="S137">
        <f t="shared" ca="1" si="28"/>
        <v>1.3936076103000594</v>
      </c>
      <c r="T137">
        <f t="shared" ca="1" si="29"/>
        <v>58.222057964018539</v>
      </c>
      <c r="U137">
        <f>70</f>
        <v>70</v>
      </c>
      <c r="V137">
        <f>30</f>
        <v>30</v>
      </c>
      <c r="W137">
        <f t="shared" ca="1" si="27"/>
        <v>254.11836669648892</v>
      </c>
      <c r="X137">
        <f t="shared" ca="1" si="37"/>
        <v>254.97464831201077</v>
      </c>
      <c r="Y137">
        <f t="shared" ca="1" si="36"/>
        <v>-0.36195382491820283</v>
      </c>
      <c r="Z137">
        <f t="shared" ca="1" si="38"/>
        <v>-1.7805757105957867</v>
      </c>
      <c r="AA137">
        <f t="shared" ca="1" si="39"/>
        <v>1.4186218856775838</v>
      </c>
      <c r="AB137">
        <f t="shared" ca="1" si="40"/>
        <v>269.28350000000006</v>
      </c>
    </row>
    <row r="138" spans="1:28" x14ac:dyDescent="0.25">
      <c r="A138" s="21">
        <f t="shared" ca="1" si="41"/>
        <v>45488</v>
      </c>
      <c r="B138" vm="408">
        <f ca="1"/>
        <v>45491</v>
      </c>
      <c r="C138" vm="409">
        <f ca="1"/>
        <v>259.52</v>
      </c>
      <c r="D138" vm="410">
        <f ca="1"/>
        <v>3421839</v>
      </c>
      <c r="E138">
        <f t="shared" ca="1" si="42"/>
        <v>888035657.27999997</v>
      </c>
      <c r="F138">
        <f ca="1">SUM($E$2:E138)/SUM($D$2:D138)</f>
        <v>273.97967209310906</v>
      </c>
      <c r="G138">
        <f ca="1">_xlfn.STDEV.P($C$2:C138)</f>
        <v>15.825919974661241</v>
      </c>
      <c r="H138">
        <f t="shared" ca="1" si="43"/>
        <v>289.80559206777031</v>
      </c>
      <c r="I138">
        <f t="shared" ca="1" si="44"/>
        <v>258.15375211844781</v>
      </c>
      <c r="J138">
        <f t="shared" ca="1" si="32"/>
        <v>254.142</v>
      </c>
      <c r="K138">
        <f t="shared" ca="1" si="33"/>
        <v>4.6263690434633258</v>
      </c>
      <c r="L138">
        <f t="shared" ca="1" si="34"/>
        <v>263.39473808692662</v>
      </c>
      <c r="M138">
        <f t="shared" ca="1" si="35"/>
        <v>244.88926191307334</v>
      </c>
      <c r="N138">
        <f t="shared" ca="1" si="45"/>
        <v>-1.4800000000000182</v>
      </c>
      <c r="O138">
        <f t="shared" ca="1" si="46"/>
        <v>0</v>
      </c>
      <c r="P138">
        <f t="shared" ca="1" si="47"/>
        <v>1.4800000000000182</v>
      </c>
      <c r="Q138">
        <f t="shared" ca="1" si="30"/>
        <v>1.4895848248929957</v>
      </c>
      <c r="R138">
        <f t="shared" ca="1" si="31"/>
        <v>1.1745838971340119</v>
      </c>
      <c r="S138">
        <f t="shared" ca="1" si="28"/>
        <v>1.2681808668819545</v>
      </c>
      <c r="T138">
        <f t="shared" ca="1" si="29"/>
        <v>55.911805156231217</v>
      </c>
      <c r="U138">
        <f>70</f>
        <v>70</v>
      </c>
      <c r="V138">
        <f>30</f>
        <v>30</v>
      </c>
      <c r="W138">
        <f t="shared" ca="1" si="27"/>
        <v>254.9493872047214</v>
      </c>
      <c r="X138">
        <f t="shared" ca="1" si="37"/>
        <v>255.31134102963961</v>
      </c>
      <c r="Y138">
        <f t="shared" ca="1" si="36"/>
        <v>-0.14922460065702126</v>
      </c>
      <c r="Z138">
        <f t="shared" ca="1" si="38"/>
        <v>-1.4543054886080335</v>
      </c>
      <c r="AA138">
        <f t="shared" ca="1" si="39"/>
        <v>1.3050808879510123</v>
      </c>
      <c r="AB138">
        <f t="shared" ca="1" si="40"/>
        <v>268.90120000000007</v>
      </c>
    </row>
    <row r="139" spans="1:28" x14ac:dyDescent="0.25">
      <c r="A139" s="21">
        <f t="shared" ca="1" si="41"/>
        <v>45488</v>
      </c>
      <c r="B139" vm="411">
        <f ca="1"/>
        <v>45492</v>
      </c>
      <c r="C139" vm="412">
        <f ca="1"/>
        <v>257.27999999999997</v>
      </c>
      <c r="D139" vm="413">
        <f ca="1"/>
        <v>3470585</v>
      </c>
      <c r="E139">
        <f t="shared" ca="1" si="42"/>
        <v>892912108.79999995</v>
      </c>
      <c r="F139">
        <f ca="1">SUM($E$2:E139)/SUM($D$2:D139)</f>
        <v>273.8585362420265</v>
      </c>
      <c r="G139">
        <f ca="1">_xlfn.STDEV.P($C$2:C139)</f>
        <v>15.84352274329968</v>
      </c>
      <c r="H139">
        <f t="shared" ca="1" si="43"/>
        <v>289.70205898532618</v>
      </c>
      <c r="I139">
        <f t="shared" ca="1" si="44"/>
        <v>258.01501349872683</v>
      </c>
      <c r="J139">
        <f t="shared" ca="1" si="32"/>
        <v>254.31600000000003</v>
      </c>
      <c r="K139">
        <f t="shared" ca="1" si="33"/>
        <v>4.6779835961999439</v>
      </c>
      <c r="L139">
        <f t="shared" ca="1" si="34"/>
        <v>263.6719671923999</v>
      </c>
      <c r="M139">
        <f t="shared" ca="1" si="35"/>
        <v>244.96003280760016</v>
      </c>
      <c r="N139">
        <f t="shared" ca="1" si="45"/>
        <v>-2.2400000000000091</v>
      </c>
      <c r="O139">
        <f t="shared" ca="1" si="46"/>
        <v>0</v>
      </c>
      <c r="P139">
        <f t="shared" ca="1" si="47"/>
        <v>2.2400000000000091</v>
      </c>
      <c r="Q139">
        <f t="shared" ca="1" si="30"/>
        <v>1.3831859088292102</v>
      </c>
      <c r="R139">
        <f t="shared" ca="1" si="31"/>
        <v>1.2506850473387259</v>
      </c>
      <c r="S139">
        <f t="shared" ca="1" si="28"/>
        <v>1.1059426286197527</v>
      </c>
      <c r="T139">
        <f t="shared" ca="1" si="29"/>
        <v>52.515325611913461</v>
      </c>
      <c r="U139">
        <f>70</f>
        <v>70</v>
      </c>
      <c r="V139">
        <f>30</f>
        <v>30</v>
      </c>
      <c r="W139">
        <f t="shared" ca="1" si="27"/>
        <v>255.30794301937965</v>
      </c>
      <c r="X139">
        <f t="shared" ca="1" si="37"/>
        <v>255.45716762003667</v>
      </c>
      <c r="Y139">
        <f t="shared" ca="1" si="36"/>
        <v>0.1994290605237552</v>
      </c>
      <c r="Z139">
        <f t="shared" ca="1" si="38"/>
        <v>-1.123558578781676</v>
      </c>
      <c r="AA139">
        <f t="shared" ca="1" si="39"/>
        <v>1.3229876393054312</v>
      </c>
      <c r="AB139">
        <f t="shared" ca="1" si="40"/>
        <v>268.50280000000004</v>
      </c>
    </row>
    <row r="140" spans="1:28" x14ac:dyDescent="0.25">
      <c r="A140" s="21">
        <f t="shared" ca="1" si="41"/>
        <v>45495</v>
      </c>
      <c r="B140" vm="414">
        <f ca="1"/>
        <v>45495</v>
      </c>
      <c r="C140" vm="415">
        <f ca="1"/>
        <v>259.54000000000002</v>
      </c>
      <c r="D140" vm="416">
        <f ca="1"/>
        <v>2759527</v>
      </c>
      <c r="E140">
        <f t="shared" ca="1" si="42"/>
        <v>716207637.58000004</v>
      </c>
      <c r="F140">
        <f ca="1">SUM($E$2:E140)/SUM($D$2:D140)</f>
        <v>273.7764259330109</v>
      </c>
      <c r="G140">
        <f ca="1">_xlfn.STDEV.P($C$2:C140)</f>
        <v>15.842576427000427</v>
      </c>
      <c r="H140">
        <f t="shared" ca="1" si="43"/>
        <v>289.61900236001134</v>
      </c>
      <c r="I140">
        <f t="shared" ca="1" si="44"/>
        <v>257.93384950601046</v>
      </c>
      <c r="J140">
        <f t="shared" ca="1" si="32"/>
        <v>254.32350000000005</v>
      </c>
      <c r="K140">
        <f t="shared" ca="1" si="33"/>
        <v>4.6866588648833263</v>
      </c>
      <c r="L140">
        <f t="shared" ca="1" si="34"/>
        <v>263.69681772976668</v>
      </c>
      <c r="M140">
        <f t="shared" ca="1" si="35"/>
        <v>244.9501822702334</v>
      </c>
      <c r="N140">
        <f t="shared" ca="1" si="45"/>
        <v>2.2600000000000477</v>
      </c>
      <c r="O140">
        <f t="shared" ca="1" si="46"/>
        <v>2.2600000000000477</v>
      </c>
      <c r="P140">
        <f t="shared" ca="1" si="47"/>
        <v>0</v>
      </c>
      <c r="Q140">
        <f t="shared" ca="1" si="30"/>
        <v>1.4458154867699844</v>
      </c>
      <c r="R140">
        <f t="shared" ca="1" si="31"/>
        <v>1.1613504011002453</v>
      </c>
      <c r="S140">
        <f t="shared" ca="1" si="28"/>
        <v>1.2449433740241027</v>
      </c>
      <c r="T140">
        <f t="shared" ca="1" si="29"/>
        <v>55.455446601867664</v>
      </c>
      <c r="U140">
        <f>70</f>
        <v>70</v>
      </c>
      <c r="V140">
        <f>30</f>
        <v>30</v>
      </c>
      <c r="W140">
        <f t="shared" ca="1" si="27"/>
        <v>255.95902870870586</v>
      </c>
      <c r="X140">
        <f t="shared" ca="1" si="37"/>
        <v>255.7595996481821</v>
      </c>
      <c r="Y140">
        <f t="shared" ca="1" si="36"/>
        <v>3.2369347083943012E-2</v>
      </c>
      <c r="Z140">
        <f t="shared" ca="1" si="38"/>
        <v>-0.89237299360855216</v>
      </c>
      <c r="AA140">
        <f t="shared" ca="1" si="39"/>
        <v>0.92474234069249517</v>
      </c>
      <c r="AB140">
        <f t="shared" ca="1" si="40"/>
        <v>268.1606000000001</v>
      </c>
    </row>
    <row r="141" spans="1:28" x14ac:dyDescent="0.25">
      <c r="A141" s="21">
        <f t="shared" ca="1" si="41"/>
        <v>45495</v>
      </c>
      <c r="B141" vm="417">
        <f ca="1"/>
        <v>45496</v>
      </c>
      <c r="C141" vm="418">
        <f ca="1"/>
        <v>254.05</v>
      </c>
      <c r="D141" vm="419">
        <f ca="1"/>
        <v>2653141</v>
      </c>
      <c r="E141">
        <f t="shared" ca="1" si="42"/>
        <v>674030471.05000007</v>
      </c>
      <c r="F141">
        <f ca="1">SUM($E$2:E141)/SUM($D$2:D141)</f>
        <v>273.66826130486703</v>
      </c>
      <c r="G141">
        <f ca="1">_xlfn.STDEV.P($C$2:C141)</f>
        <v>15.886007880605277</v>
      </c>
      <c r="H141">
        <f t="shared" ca="1" si="43"/>
        <v>289.55426918547232</v>
      </c>
      <c r="I141">
        <f t="shared" ca="1" si="44"/>
        <v>257.78225342426174</v>
      </c>
      <c r="J141">
        <f t="shared" ca="1" si="32"/>
        <v>254.00700000000001</v>
      </c>
      <c r="K141">
        <f t="shared" ca="1" si="33"/>
        <v>4.4646024164355431</v>
      </c>
      <c r="L141">
        <f t="shared" ca="1" si="34"/>
        <v>262.93620483287111</v>
      </c>
      <c r="M141">
        <f t="shared" ca="1" si="35"/>
        <v>245.07779516712893</v>
      </c>
      <c r="N141">
        <f t="shared" ca="1" si="45"/>
        <v>-5.4900000000000091</v>
      </c>
      <c r="O141">
        <f t="shared" ca="1" si="46"/>
        <v>0</v>
      </c>
      <c r="P141">
        <f t="shared" ca="1" si="47"/>
        <v>5.4900000000000091</v>
      </c>
      <c r="Q141">
        <f t="shared" ca="1" si="30"/>
        <v>1.3425429520007</v>
      </c>
      <c r="R141">
        <f t="shared" ca="1" si="31"/>
        <v>1.4705396581645143</v>
      </c>
      <c r="S141">
        <f t="shared" ca="1" si="28"/>
        <v>0.9129593646433336</v>
      </c>
      <c r="T141">
        <f t="shared" ca="1" si="29"/>
        <v>47.724974273750583</v>
      </c>
      <c r="U141">
        <f>70</f>
        <v>70</v>
      </c>
      <c r="V141">
        <f>30</f>
        <v>30</v>
      </c>
      <c r="W141">
        <f t="shared" ca="1" si="27"/>
        <v>255.66533198428959</v>
      </c>
      <c r="X141">
        <f t="shared" ca="1" si="37"/>
        <v>255.63296263720565</v>
      </c>
      <c r="Y141">
        <f t="shared" ca="1" si="36"/>
        <v>-0.15313178848381881</v>
      </c>
      <c r="Z141">
        <f t="shared" ca="1" si="38"/>
        <v>-0.74452475258360562</v>
      </c>
      <c r="AA141">
        <f t="shared" ca="1" si="39"/>
        <v>0.59139296409978681</v>
      </c>
      <c r="AB141">
        <f t="shared" ca="1" si="40"/>
        <v>267.74920000000009</v>
      </c>
    </row>
    <row r="142" spans="1:28" x14ac:dyDescent="0.25">
      <c r="A142" s="21">
        <f t="shared" ca="1" si="41"/>
        <v>45495</v>
      </c>
      <c r="B142" vm="420">
        <f ca="1"/>
        <v>45497</v>
      </c>
      <c r="C142" vm="421">
        <f ca="1"/>
        <v>253.37</v>
      </c>
      <c r="D142" vm="422">
        <f ca="1"/>
        <v>5983281</v>
      </c>
      <c r="E142">
        <f t="shared" ca="1" si="42"/>
        <v>1515983906.97</v>
      </c>
      <c r="F142">
        <f ca="1">SUM($E$2:E142)/SUM($D$2:D142)</f>
        <v>273.42032656982377</v>
      </c>
      <c r="G142">
        <f ca="1">_xlfn.STDEV.P($C$2:C142)</f>
        <v>15.933718184161382</v>
      </c>
      <c r="H142">
        <f t="shared" ca="1" si="43"/>
        <v>289.35404475398514</v>
      </c>
      <c r="I142">
        <f t="shared" ca="1" si="44"/>
        <v>257.48660838566241</v>
      </c>
      <c r="J142">
        <f t="shared" ca="1" si="32"/>
        <v>253.8065</v>
      </c>
      <c r="K142">
        <f t="shared" ca="1" si="33"/>
        <v>4.3946465937786758</v>
      </c>
      <c r="L142">
        <f t="shared" ca="1" si="34"/>
        <v>262.59579318755738</v>
      </c>
      <c r="M142">
        <f t="shared" ca="1" si="35"/>
        <v>245.01720681244265</v>
      </c>
      <c r="N142">
        <f t="shared" ca="1" si="45"/>
        <v>-0.68000000000000682</v>
      </c>
      <c r="O142">
        <f t="shared" ca="1" si="46"/>
        <v>0</v>
      </c>
      <c r="P142">
        <f t="shared" ca="1" si="47"/>
        <v>0.68000000000000682</v>
      </c>
      <c r="Q142">
        <f t="shared" ca="1" si="30"/>
        <v>1.2466470268577929</v>
      </c>
      <c r="R142">
        <f t="shared" ca="1" si="31"/>
        <v>1.4140725397241922</v>
      </c>
      <c r="S142">
        <f t="shared" ca="1" si="28"/>
        <v>0.88160047793654572</v>
      </c>
      <c r="T142">
        <f t="shared" ca="1" si="29"/>
        <v>46.853754996031434</v>
      </c>
      <c r="U142">
        <f>70</f>
        <v>70</v>
      </c>
      <c r="V142">
        <f>30</f>
        <v>30</v>
      </c>
      <c r="W142">
        <f t="shared" ca="1" si="27"/>
        <v>255.31220398670661</v>
      </c>
      <c r="X142">
        <f t="shared" ca="1" si="37"/>
        <v>255.46533577519043</v>
      </c>
      <c r="Y142">
        <f t="shared" ca="1" si="36"/>
        <v>-0.44908701676646956</v>
      </c>
      <c r="Z142">
        <f t="shared" ca="1" si="38"/>
        <v>-0.68543720542017839</v>
      </c>
      <c r="AA142">
        <f t="shared" ca="1" si="39"/>
        <v>0.23635018865370883</v>
      </c>
      <c r="AB142">
        <f t="shared" ca="1" si="40"/>
        <v>267.36010000000005</v>
      </c>
    </row>
    <row r="143" spans="1:28" x14ac:dyDescent="0.25">
      <c r="A143" s="21">
        <f t="shared" ca="1" si="41"/>
        <v>45495</v>
      </c>
      <c r="B143" vm="423">
        <f ca="1"/>
        <v>45498</v>
      </c>
      <c r="C143" vm="424">
        <f ca="1"/>
        <v>251.46</v>
      </c>
      <c r="D143" vm="425">
        <f ca="1"/>
        <v>3323080</v>
      </c>
      <c r="E143">
        <f t="shared" ca="1" si="42"/>
        <v>835621696.80000007</v>
      </c>
      <c r="F143">
        <f ca="1">SUM($E$2:E143)/SUM($D$2:D143)</f>
        <v>273.27235357568316</v>
      </c>
      <c r="G143">
        <f ca="1">_xlfn.STDEV.P($C$2:C143)</f>
        <v>15.997944002870634</v>
      </c>
      <c r="H143">
        <f t="shared" ca="1" si="43"/>
        <v>289.27029757855377</v>
      </c>
      <c r="I143">
        <f t="shared" ca="1" si="44"/>
        <v>257.27440957281254</v>
      </c>
      <c r="J143">
        <f t="shared" ca="1" si="32"/>
        <v>253.488</v>
      </c>
      <c r="K143">
        <f t="shared" ca="1" si="33"/>
        <v>4.3178583872831648</v>
      </c>
      <c r="L143">
        <f t="shared" ca="1" si="34"/>
        <v>262.12371677456633</v>
      </c>
      <c r="M143">
        <f t="shared" ca="1" si="35"/>
        <v>244.85228322543367</v>
      </c>
      <c r="N143">
        <f t="shared" ca="1" si="45"/>
        <v>-1.9099999999999966</v>
      </c>
      <c r="O143">
        <f t="shared" ca="1" si="46"/>
        <v>0</v>
      </c>
      <c r="P143">
        <f t="shared" ca="1" si="47"/>
        <v>1.9099999999999966</v>
      </c>
      <c r="Q143">
        <f t="shared" ca="1" si="30"/>
        <v>1.157600810653665</v>
      </c>
      <c r="R143">
        <f t="shared" ca="1" si="31"/>
        <v>1.4494959297438925</v>
      </c>
      <c r="S143">
        <f t="shared" ca="1" si="28"/>
        <v>0.79862301569773875</v>
      </c>
      <c r="T143">
        <f t="shared" ca="1" si="29"/>
        <v>44.401912392293582</v>
      </c>
      <c r="U143">
        <f>70</f>
        <v>70</v>
      </c>
      <c r="V143">
        <f>30</f>
        <v>30</v>
      </c>
      <c r="W143">
        <f t="shared" ref="W143:W206" ca="1" si="48">C143*(2/(12+1)) + W142*(1-(2/(12+1)))</f>
        <v>254.71955721952096</v>
      </c>
      <c r="X143">
        <f t="shared" ca="1" si="37"/>
        <v>255.16864423628743</v>
      </c>
      <c r="Y143">
        <f t="shared" ca="1" si="36"/>
        <v>-0.63276604728116581</v>
      </c>
      <c r="Z143">
        <f t="shared" ca="1" si="38"/>
        <v>-0.67490297379237585</v>
      </c>
      <c r="AA143">
        <f t="shared" ca="1" si="39"/>
        <v>4.2136926511210038E-2</v>
      </c>
      <c r="AB143">
        <f t="shared" ca="1" si="40"/>
        <v>266.96740000000005</v>
      </c>
    </row>
    <row r="144" spans="1:28" x14ac:dyDescent="0.25">
      <c r="A144" s="21">
        <f t="shared" ca="1" si="41"/>
        <v>45495</v>
      </c>
      <c r="B144" vm="426">
        <f ca="1"/>
        <v>45499</v>
      </c>
      <c r="C144" vm="427">
        <f ca="1"/>
        <v>252</v>
      </c>
      <c r="D144" vm="428">
        <f ca="1"/>
        <v>4002852</v>
      </c>
      <c r="E144">
        <f t="shared" ca="1" si="42"/>
        <v>1008718704</v>
      </c>
      <c r="F144">
        <f ca="1">SUM($E$2:E144)/SUM($D$2:D144)</f>
        <v>273.10108519378622</v>
      </c>
      <c r="G144">
        <f ca="1">_xlfn.STDEV.P($C$2:C144)</f>
        <v>16.05399011130298</v>
      </c>
      <c r="H144">
        <f t="shared" ca="1" si="43"/>
        <v>289.15507530508921</v>
      </c>
      <c r="I144">
        <f t="shared" ca="1" si="44"/>
        <v>257.04709508248322</v>
      </c>
      <c r="J144">
        <f t="shared" ca="1" si="32"/>
        <v>253.17950000000002</v>
      </c>
      <c r="K144">
        <f t="shared" ca="1" si="33"/>
        <v>4.1840781855933198</v>
      </c>
      <c r="L144">
        <f t="shared" ca="1" si="34"/>
        <v>261.54765637118663</v>
      </c>
      <c r="M144">
        <f t="shared" ca="1" si="35"/>
        <v>244.81134362881338</v>
      </c>
      <c r="N144">
        <f t="shared" ca="1" si="45"/>
        <v>0.53999999999999204</v>
      </c>
      <c r="O144">
        <f t="shared" ca="1" si="46"/>
        <v>0.53999999999999204</v>
      </c>
      <c r="P144">
        <f t="shared" ca="1" si="47"/>
        <v>0</v>
      </c>
      <c r="Q144">
        <f t="shared" ca="1" si="30"/>
        <v>1.1134864670355455</v>
      </c>
      <c r="R144">
        <f t="shared" ca="1" si="31"/>
        <v>1.3459605061907574</v>
      </c>
      <c r="S144">
        <f t="shared" ref="S144:S207" ca="1" si="49">IF(R144=0,NA(),Q144/R144)</f>
        <v>0.82728019277984355</v>
      </c>
      <c r="T144">
        <f t="shared" ref="T144:T207" ca="1" si="50">100-(100/(1+S144))</f>
        <v>45.273855429982049</v>
      </c>
      <c r="U144">
        <f>70</f>
        <v>70</v>
      </c>
      <c r="V144">
        <f>30</f>
        <v>30</v>
      </c>
      <c r="W144">
        <f t="shared" ca="1" si="48"/>
        <v>254.30116380113313</v>
      </c>
      <c r="X144">
        <f t="shared" ca="1" si="37"/>
        <v>254.93392984841429</v>
      </c>
      <c r="Y144">
        <f t="shared" ca="1" si="36"/>
        <v>-1.8010119082930487E-2</v>
      </c>
      <c r="Z144">
        <f t="shared" ca="1" si="38"/>
        <v>-0.54352440285048687</v>
      </c>
      <c r="AA144">
        <f t="shared" ca="1" si="39"/>
        <v>0.52551428376755638</v>
      </c>
      <c r="AB144">
        <f t="shared" ca="1" si="40"/>
        <v>266.57800000000009</v>
      </c>
    </row>
    <row r="145" spans="1:28" x14ac:dyDescent="0.25">
      <c r="A145" s="21">
        <f t="shared" ca="1" si="41"/>
        <v>45502</v>
      </c>
      <c r="B145" vm="429">
        <f ca="1"/>
        <v>45502</v>
      </c>
      <c r="C145" vm="430">
        <f ca="1"/>
        <v>261.42</v>
      </c>
      <c r="D145" vm="431">
        <f ca="1"/>
        <v>9380960</v>
      </c>
      <c r="E145">
        <f t="shared" ca="1" si="42"/>
        <v>2452370563.2000003</v>
      </c>
      <c r="F145">
        <f ca="1">SUM($E$2:E145)/SUM($D$2:D145)</f>
        <v>272.88476133503036</v>
      </c>
      <c r="G145">
        <f ca="1">_xlfn.STDEV.P($C$2:C145)</f>
        <v>16.035355208020071</v>
      </c>
      <c r="H145">
        <f t="shared" ca="1" si="43"/>
        <v>288.92011654305043</v>
      </c>
      <c r="I145">
        <f t="shared" ca="1" si="44"/>
        <v>256.8494061270103</v>
      </c>
      <c r="J145">
        <f t="shared" ca="1" si="32"/>
        <v>253.5085</v>
      </c>
      <c r="K145">
        <f t="shared" ca="1" si="33"/>
        <v>4.5630521583694401</v>
      </c>
      <c r="L145">
        <f t="shared" ca="1" si="34"/>
        <v>262.63460431673889</v>
      </c>
      <c r="M145">
        <f t="shared" ca="1" si="35"/>
        <v>244.38239568326111</v>
      </c>
      <c r="N145">
        <f t="shared" ca="1" si="45"/>
        <v>9.4200000000000159</v>
      </c>
      <c r="O145">
        <f t="shared" ca="1" si="46"/>
        <v>9.4200000000000159</v>
      </c>
      <c r="P145">
        <f t="shared" ca="1" si="47"/>
        <v>0</v>
      </c>
      <c r="Q145">
        <f t="shared" ref="Q145:Q208" ca="1" si="51">(Q144*13+O145)/14</f>
        <v>1.7068088622472932</v>
      </c>
      <c r="R145">
        <f t="shared" ref="R145:R208" ca="1" si="52">(R144*13+P145)/14</f>
        <v>1.2498204700342745</v>
      </c>
      <c r="S145">
        <f t="shared" ca="1" si="49"/>
        <v>1.3656432289034972</v>
      </c>
      <c r="T145">
        <f t="shared" ca="1" si="50"/>
        <v>57.728198919347982</v>
      </c>
      <c r="U145">
        <f>70</f>
        <v>70</v>
      </c>
      <c r="V145">
        <f>30</f>
        <v>30</v>
      </c>
      <c r="W145">
        <f t="shared" ca="1" si="48"/>
        <v>255.39636937018957</v>
      </c>
      <c r="X145">
        <f t="shared" ca="1" si="37"/>
        <v>255.41437948927251</v>
      </c>
      <c r="Y145">
        <f t="shared" ca="1" si="36"/>
        <v>0.86429734738669595</v>
      </c>
      <c r="Z145">
        <f t="shared" ca="1" si="38"/>
        <v>-0.26196005280305029</v>
      </c>
      <c r="AA145">
        <f t="shared" ca="1" si="39"/>
        <v>1.1262574001897463</v>
      </c>
      <c r="AB145">
        <f t="shared" ca="1" si="40"/>
        <v>266.2668000000001</v>
      </c>
    </row>
    <row r="146" spans="1:28" x14ac:dyDescent="0.25">
      <c r="A146" s="21">
        <f t="shared" ca="1" si="41"/>
        <v>45502</v>
      </c>
      <c r="B146" vm="432">
        <f ca="1"/>
        <v>45503</v>
      </c>
      <c r="C146" vm="433">
        <f ca="1"/>
        <v>266.44</v>
      </c>
      <c r="D146" vm="434">
        <f ca="1"/>
        <v>4936596</v>
      </c>
      <c r="E146">
        <f t="shared" ca="1" si="42"/>
        <v>1315306638.24</v>
      </c>
      <c r="F146">
        <f ca="1">SUM($E$2:E146)/SUM($D$2:D146)</f>
        <v>272.82256046343514</v>
      </c>
      <c r="G146">
        <f ca="1">_xlfn.STDEV.P($C$2:C146)</f>
        <v>15.993794174910265</v>
      </c>
      <c r="H146">
        <f t="shared" ca="1" si="43"/>
        <v>288.81635463834539</v>
      </c>
      <c r="I146">
        <f t="shared" ca="1" si="44"/>
        <v>256.82876628852489</v>
      </c>
      <c r="J146">
        <f t="shared" ca="1" si="32"/>
        <v>254.33099999999999</v>
      </c>
      <c r="K146">
        <f t="shared" ca="1" si="33"/>
        <v>5.3159203787946456</v>
      </c>
      <c r="L146">
        <f t="shared" ca="1" si="34"/>
        <v>264.96284075758928</v>
      </c>
      <c r="M146">
        <f t="shared" ca="1" si="35"/>
        <v>243.6991592424107</v>
      </c>
      <c r="N146">
        <f t="shared" ca="1" si="45"/>
        <v>5.0199999999999818</v>
      </c>
      <c r="O146">
        <f t="shared" ca="1" si="46"/>
        <v>5.0199999999999818</v>
      </c>
      <c r="P146">
        <f t="shared" ca="1" si="47"/>
        <v>0</v>
      </c>
      <c r="Q146">
        <f t="shared" ca="1" si="51"/>
        <v>1.9434653720867712</v>
      </c>
      <c r="R146">
        <f t="shared" ca="1" si="52"/>
        <v>1.1605475793175406</v>
      </c>
      <c r="S146">
        <f t="shared" ca="1" si="49"/>
        <v>1.6746106809594354</v>
      </c>
      <c r="T146">
        <f t="shared" ca="1" si="50"/>
        <v>62.6113808967038</v>
      </c>
      <c r="U146">
        <f>70</f>
        <v>70</v>
      </c>
      <c r="V146">
        <f>30</f>
        <v>30</v>
      </c>
      <c r="W146">
        <f t="shared" ca="1" si="48"/>
        <v>257.09538946708346</v>
      </c>
      <c r="X146">
        <f t="shared" ca="1" si="37"/>
        <v>256.23109211969677</v>
      </c>
      <c r="Y146">
        <f t="shared" ca="1" si="36"/>
        <v>1.4627513755622203</v>
      </c>
      <c r="Z146">
        <f t="shared" ca="1" si="38"/>
        <v>8.2982232870003836E-2</v>
      </c>
      <c r="AA146">
        <f t="shared" ca="1" si="39"/>
        <v>1.3797691426922165</v>
      </c>
      <c r="AB146">
        <f t="shared" ca="1" si="40"/>
        <v>266.00190000000003</v>
      </c>
    </row>
    <row r="147" spans="1:28" x14ac:dyDescent="0.25">
      <c r="A147" s="21">
        <f t="shared" ca="1" si="41"/>
        <v>45502</v>
      </c>
      <c r="B147" vm="435">
        <f ca="1"/>
        <v>45504</v>
      </c>
      <c r="C147" vm="436">
        <f ca="1"/>
        <v>265.39999999999998</v>
      </c>
      <c r="D147" vm="437">
        <f ca="1"/>
        <v>4652053</v>
      </c>
      <c r="E147">
        <f t="shared" ca="1" si="42"/>
        <v>1234654866.1999998</v>
      </c>
      <c r="F147">
        <f ca="1">SUM($E$2:E147)/SUM($D$2:D147)</f>
        <v>272.75566011927259</v>
      </c>
      <c r="G147">
        <f ca="1">_xlfn.STDEV.P($C$2:C147)</f>
        <v>15.956276690059005</v>
      </c>
      <c r="H147">
        <f t="shared" ca="1" si="43"/>
        <v>288.71193680933158</v>
      </c>
      <c r="I147">
        <f t="shared" ca="1" si="44"/>
        <v>256.79938342921361</v>
      </c>
      <c r="J147">
        <f t="shared" ca="1" si="32"/>
        <v>255.21149999999997</v>
      </c>
      <c r="K147">
        <f t="shared" ca="1" si="33"/>
        <v>5.624914759588056</v>
      </c>
      <c r="L147">
        <f t="shared" ca="1" si="34"/>
        <v>266.4613295191761</v>
      </c>
      <c r="M147">
        <f t="shared" ca="1" si="35"/>
        <v>243.96167048082387</v>
      </c>
      <c r="N147">
        <f t="shared" ca="1" si="45"/>
        <v>-1.0400000000000205</v>
      </c>
      <c r="O147">
        <f t="shared" ca="1" si="46"/>
        <v>0</v>
      </c>
      <c r="P147">
        <f t="shared" ca="1" si="47"/>
        <v>1.0400000000000205</v>
      </c>
      <c r="Q147">
        <f t="shared" ca="1" si="51"/>
        <v>1.8046464169377161</v>
      </c>
      <c r="R147">
        <f t="shared" ca="1" si="52"/>
        <v>1.1519370379377176</v>
      </c>
      <c r="S147">
        <f t="shared" ca="1" si="49"/>
        <v>1.5666189709192151</v>
      </c>
      <c r="T147">
        <f t="shared" ca="1" si="50"/>
        <v>61.038237021919251</v>
      </c>
      <c r="U147">
        <f>70</f>
        <v>70</v>
      </c>
      <c r="V147">
        <f>30</f>
        <v>30</v>
      </c>
      <c r="W147">
        <f t="shared" ca="1" si="48"/>
        <v>258.37302185676293</v>
      </c>
      <c r="X147">
        <f t="shared" ca="1" si="37"/>
        <v>256.91027048120071</v>
      </c>
      <c r="Y147">
        <f t="shared" ca="1" si="36"/>
        <v>2.1821925500523207</v>
      </c>
      <c r="Z147">
        <f t="shared" ca="1" si="38"/>
        <v>0.5028242963064673</v>
      </c>
      <c r="AA147">
        <f t="shared" ca="1" si="39"/>
        <v>1.6793682537458534</v>
      </c>
      <c r="AB147">
        <f t="shared" ca="1" si="40"/>
        <v>265.74480000000005</v>
      </c>
    </row>
    <row r="148" spans="1:28" x14ac:dyDescent="0.25">
      <c r="A148" s="21">
        <f t="shared" ca="1" si="41"/>
        <v>45502</v>
      </c>
      <c r="B148" vm="438">
        <f ca="1"/>
        <v>45505</v>
      </c>
      <c r="C148" vm="439">
        <f ca="1"/>
        <v>268.75</v>
      </c>
      <c r="D148" vm="440">
        <f ca="1"/>
        <v>4935952</v>
      </c>
      <c r="E148">
        <f t="shared" ca="1" si="42"/>
        <v>1326537100</v>
      </c>
      <c r="F148">
        <f ca="1">SUM($E$2:E148)/SUM($D$2:D148)</f>
        <v>272.71771626103106</v>
      </c>
      <c r="G148">
        <f ca="1">_xlfn.STDEV.P($C$2:C148)</f>
        <v>15.908590044004795</v>
      </c>
      <c r="H148">
        <f t="shared" ca="1" si="43"/>
        <v>288.62630630503583</v>
      </c>
      <c r="I148">
        <f t="shared" ca="1" si="44"/>
        <v>256.80912621702629</v>
      </c>
      <c r="J148">
        <f t="shared" ca="1" si="32"/>
        <v>256.149</v>
      </c>
      <c r="K148">
        <f t="shared" ca="1" si="33"/>
        <v>6.2395461204701146</v>
      </c>
      <c r="L148">
        <f t="shared" ca="1" si="34"/>
        <v>268.62809224094025</v>
      </c>
      <c r="M148">
        <f t="shared" ca="1" si="35"/>
        <v>243.66990775905978</v>
      </c>
      <c r="N148">
        <f t="shared" ca="1" si="45"/>
        <v>3.3500000000000227</v>
      </c>
      <c r="O148">
        <f t="shared" ca="1" si="46"/>
        <v>3.3500000000000227</v>
      </c>
      <c r="P148">
        <f t="shared" ca="1" si="47"/>
        <v>0</v>
      </c>
      <c r="Q148">
        <f t="shared" ca="1" si="51"/>
        <v>1.915028815727881</v>
      </c>
      <c r="R148">
        <f t="shared" ca="1" si="52"/>
        <v>1.0696558209421663</v>
      </c>
      <c r="S148">
        <f t="shared" ca="1" si="49"/>
        <v>1.7903224366517256</v>
      </c>
      <c r="T148">
        <f t="shared" ca="1" si="50"/>
        <v>64.161847861569726</v>
      </c>
      <c r="U148">
        <f>70</f>
        <v>70</v>
      </c>
      <c r="V148">
        <f>30</f>
        <v>30</v>
      </c>
      <c r="W148">
        <f t="shared" ca="1" si="48"/>
        <v>259.96948003264555</v>
      </c>
      <c r="X148">
        <f t="shared" ca="1" si="37"/>
        <v>257.78728748259323</v>
      </c>
      <c r="Y148">
        <f t="shared" ca="1" si="36"/>
        <v>3.3543793101222832</v>
      </c>
      <c r="Z148">
        <f t="shared" ca="1" si="38"/>
        <v>1.0731352990696306</v>
      </c>
      <c r="AA148">
        <f t="shared" ca="1" si="39"/>
        <v>2.2812440110526526</v>
      </c>
      <c r="AB148">
        <f t="shared" ca="1" si="40"/>
        <v>265.50680000000006</v>
      </c>
    </row>
    <row r="149" spans="1:28" x14ac:dyDescent="0.25">
      <c r="A149" s="21">
        <f t="shared" ca="1" si="41"/>
        <v>45502</v>
      </c>
      <c r="B149" vm="441">
        <f ca="1"/>
        <v>45506</v>
      </c>
      <c r="C149" vm="442">
        <f ca="1"/>
        <v>276.69</v>
      </c>
      <c r="D149" vm="443">
        <f ca="1"/>
        <v>9585900</v>
      </c>
      <c r="E149">
        <f t="shared" ca="1" si="42"/>
        <v>2652322671</v>
      </c>
      <c r="F149">
        <f ca="1">SUM($E$2:E149)/SUM($D$2:D149)</f>
        <v>272.78947137010056</v>
      </c>
      <c r="G149">
        <f ca="1">_xlfn.STDEV.P($C$2:C149)</f>
        <v>15.855942925577379</v>
      </c>
      <c r="H149">
        <f t="shared" ca="1" si="43"/>
        <v>288.64541429567794</v>
      </c>
      <c r="I149">
        <f t="shared" ca="1" si="44"/>
        <v>256.93352844452318</v>
      </c>
      <c r="J149">
        <f t="shared" ca="1" si="32"/>
        <v>257.42899999999997</v>
      </c>
      <c r="K149">
        <f t="shared" ca="1" si="33"/>
        <v>7.6201877998683951</v>
      </c>
      <c r="L149">
        <f t="shared" ca="1" si="34"/>
        <v>272.66937559973678</v>
      </c>
      <c r="M149">
        <f t="shared" ca="1" si="35"/>
        <v>242.18862440026319</v>
      </c>
      <c r="N149">
        <f t="shared" ca="1" si="45"/>
        <v>7.9399999999999977</v>
      </c>
      <c r="O149">
        <f t="shared" ca="1" si="46"/>
        <v>7.9399999999999977</v>
      </c>
      <c r="P149">
        <f t="shared" ca="1" si="47"/>
        <v>0</v>
      </c>
      <c r="Q149">
        <f t="shared" ca="1" si="51"/>
        <v>2.3453839003187467</v>
      </c>
      <c r="R149">
        <f t="shared" ca="1" si="52"/>
        <v>0.99325183373201154</v>
      </c>
      <c r="S149">
        <f t="shared" ca="1" si="49"/>
        <v>2.3613184699657475</v>
      </c>
      <c r="T149">
        <f t="shared" ca="1" si="50"/>
        <v>70.249769281451336</v>
      </c>
      <c r="U149">
        <f>70</f>
        <v>70</v>
      </c>
      <c r="V149">
        <f>30</f>
        <v>30</v>
      </c>
      <c r="W149">
        <f t="shared" ca="1" si="48"/>
        <v>262.54186771993085</v>
      </c>
      <c r="X149">
        <f t="shared" ca="1" si="37"/>
        <v>259.18748840980857</v>
      </c>
      <c r="Y149">
        <f t="shared" ca="1" si="36"/>
        <v>3.5772107681813736</v>
      </c>
      <c r="Z149">
        <f t="shared" ca="1" si="38"/>
        <v>1.5739503928919794</v>
      </c>
      <c r="AA149">
        <f t="shared" ca="1" si="39"/>
        <v>2.0032603752893943</v>
      </c>
      <c r="AB149">
        <f t="shared" ca="1" si="40"/>
        <v>265.32550000000003</v>
      </c>
    </row>
    <row r="150" spans="1:28" x14ac:dyDescent="0.25">
      <c r="A150" s="21">
        <f t="shared" ca="1" si="41"/>
        <v>45509</v>
      </c>
      <c r="B150" vm="444">
        <f ca="1"/>
        <v>45509</v>
      </c>
      <c r="C150" vm="445">
        <f ca="1"/>
        <v>268.45</v>
      </c>
      <c r="D150" vm="446">
        <f ca="1"/>
        <v>6794876</v>
      </c>
      <c r="E150">
        <f t="shared" ca="1" si="42"/>
        <v>1824084462.1999998</v>
      </c>
      <c r="F150">
        <f ca="1">SUM($E$2:E150)/SUM($D$2:D150)</f>
        <v>272.73460926963998</v>
      </c>
      <c r="G150">
        <f ca="1">_xlfn.STDEV.P($C$2:C150)</f>
        <v>15.809950176676159</v>
      </c>
      <c r="H150">
        <f t="shared" ca="1" si="43"/>
        <v>288.54455944631616</v>
      </c>
      <c r="I150">
        <f t="shared" ca="1" si="44"/>
        <v>256.92465909296379</v>
      </c>
      <c r="J150">
        <f t="shared" ref="J150:J213" ca="1" si="53">AVERAGE(C131:C150)</f>
        <v>258.45899999999995</v>
      </c>
      <c r="K150">
        <f t="shared" ref="K150:K213" ca="1" si="54">_xlfn.STDEV.S(C131:C150)</f>
        <v>7.6494416032874728</v>
      </c>
      <c r="L150">
        <f t="shared" ref="L150:L213" ca="1" si="55">J150 + 2*K150</f>
        <v>273.75788320657489</v>
      </c>
      <c r="M150">
        <f t="shared" ref="M150:M213" ca="1" si="56">J150-2*K150</f>
        <v>243.160116793425</v>
      </c>
      <c r="N150">
        <f t="shared" ca="1" si="45"/>
        <v>-8.2400000000000091</v>
      </c>
      <c r="O150">
        <f t="shared" ca="1" si="46"/>
        <v>0</v>
      </c>
      <c r="P150">
        <f t="shared" ca="1" si="47"/>
        <v>8.2400000000000091</v>
      </c>
      <c r="Q150">
        <f t="shared" ca="1" si="51"/>
        <v>2.1778564788674077</v>
      </c>
      <c r="R150">
        <f t="shared" ca="1" si="52"/>
        <v>1.5108767027511543</v>
      </c>
      <c r="S150">
        <f t="shared" ca="1" si="49"/>
        <v>1.4414521548328534</v>
      </c>
      <c r="T150">
        <f t="shared" ca="1" si="50"/>
        <v>59.040770140815553</v>
      </c>
      <c r="U150">
        <f>70</f>
        <v>70</v>
      </c>
      <c r="V150">
        <f>30</f>
        <v>30</v>
      </c>
      <c r="W150">
        <f t="shared" ca="1" si="48"/>
        <v>263.45081114763377</v>
      </c>
      <c r="X150">
        <f t="shared" ca="1" si="37"/>
        <v>259.8736003794524</v>
      </c>
      <c r="Y150">
        <f t="shared" ca="1" si="36"/>
        <v>3.8394609331202219</v>
      </c>
      <c r="Z150">
        <f t="shared" ca="1" si="38"/>
        <v>2.0270525009376281</v>
      </c>
      <c r="AA150">
        <f t="shared" ca="1" si="39"/>
        <v>1.8124084321825937</v>
      </c>
      <c r="AB150">
        <f t="shared" ca="1" si="40"/>
        <v>265.06690000000003</v>
      </c>
    </row>
    <row r="151" spans="1:28" x14ac:dyDescent="0.25">
      <c r="A151" s="21">
        <f t="shared" ca="1" si="41"/>
        <v>45509</v>
      </c>
      <c r="B151" vm="447">
        <f ca="1"/>
        <v>45510</v>
      </c>
      <c r="C151" vm="448">
        <f ca="1"/>
        <v>270.06</v>
      </c>
      <c r="D151" vm="449">
        <f ca="1"/>
        <v>3369337</v>
      </c>
      <c r="E151">
        <f t="shared" ca="1" si="42"/>
        <v>909923150.22000003</v>
      </c>
      <c r="F151">
        <f ca="1">SUM($E$2:E151)/SUM($D$2:D151)</f>
        <v>272.71794659288565</v>
      </c>
      <c r="G151">
        <f ca="1">_xlfn.STDEV.P($C$2:C151)</f>
        <v>15.760932411927074</v>
      </c>
      <c r="H151">
        <f t="shared" ca="1" si="43"/>
        <v>288.47887900481271</v>
      </c>
      <c r="I151">
        <f t="shared" ca="1" si="44"/>
        <v>256.95701418095859</v>
      </c>
      <c r="J151">
        <f t="shared" ca="1" si="53"/>
        <v>259.67099999999999</v>
      </c>
      <c r="K151">
        <f t="shared" ca="1" si="54"/>
        <v>7.4594524280483041</v>
      </c>
      <c r="L151">
        <f t="shared" ca="1" si="55"/>
        <v>274.58990485609661</v>
      </c>
      <c r="M151">
        <f t="shared" ca="1" si="56"/>
        <v>244.75209514390338</v>
      </c>
      <c r="N151">
        <f t="shared" ca="1" si="45"/>
        <v>1.6100000000000136</v>
      </c>
      <c r="O151">
        <f t="shared" ca="1" si="46"/>
        <v>1.6100000000000136</v>
      </c>
      <c r="P151">
        <f t="shared" ca="1" si="47"/>
        <v>0</v>
      </c>
      <c r="Q151">
        <f t="shared" ca="1" si="51"/>
        <v>2.1372953018054508</v>
      </c>
      <c r="R151">
        <f t="shared" ca="1" si="52"/>
        <v>1.4029569382689289</v>
      </c>
      <c r="S151">
        <f t="shared" ca="1" si="49"/>
        <v>1.5234218838124871</v>
      </c>
      <c r="T151">
        <f t="shared" ca="1" si="50"/>
        <v>60.371271787135342</v>
      </c>
      <c r="U151">
        <f>70</f>
        <v>70</v>
      </c>
      <c r="V151">
        <f>30</f>
        <v>30</v>
      </c>
      <c r="W151">
        <f t="shared" ca="1" si="48"/>
        <v>264.46760943261319</v>
      </c>
      <c r="X151">
        <f t="shared" ca="1" si="37"/>
        <v>260.62814849949297</v>
      </c>
      <c r="Y151">
        <f t="shared" ca="1" si="36"/>
        <v>3.9461303109712276</v>
      </c>
      <c r="Z151">
        <f t="shared" ca="1" si="38"/>
        <v>2.4108680629443482</v>
      </c>
      <c r="AA151">
        <f t="shared" ca="1" si="39"/>
        <v>1.5352622480268794</v>
      </c>
      <c r="AB151">
        <f t="shared" ca="1" si="40"/>
        <v>264.93890000000005</v>
      </c>
    </row>
    <row r="152" spans="1:28" x14ac:dyDescent="0.25">
      <c r="A152" s="21">
        <f t="shared" ca="1" si="41"/>
        <v>45509</v>
      </c>
      <c r="B152" vm="450">
        <f ca="1"/>
        <v>45511</v>
      </c>
      <c r="C152" vm="451">
        <f ca="1"/>
        <v>269.37</v>
      </c>
      <c r="D152" vm="452">
        <f ca="1"/>
        <v>3539980</v>
      </c>
      <c r="E152">
        <f t="shared" ca="1" si="42"/>
        <v>953564412.60000002</v>
      </c>
      <c r="F152">
        <f ca="1">SUM($E$2:E152)/SUM($D$2:D152)</f>
        <v>272.69617521558217</v>
      </c>
      <c r="G152">
        <f ca="1">_xlfn.STDEV.P($C$2:C152)</f>
        <v>15.713679482558359</v>
      </c>
      <c r="H152">
        <f t="shared" ca="1" si="43"/>
        <v>288.40985469814052</v>
      </c>
      <c r="I152">
        <f t="shared" ca="1" si="44"/>
        <v>256.98249573302382</v>
      </c>
      <c r="J152">
        <f t="shared" ca="1" si="53"/>
        <v>260.61500000000001</v>
      </c>
      <c r="K152">
        <f t="shared" ca="1" si="54"/>
        <v>7.4310242263520818</v>
      </c>
      <c r="L152">
        <f t="shared" ca="1" si="55"/>
        <v>275.4770484527042</v>
      </c>
      <c r="M152">
        <f t="shared" ca="1" si="56"/>
        <v>245.75295154729585</v>
      </c>
      <c r="N152">
        <f t="shared" ca="1" si="45"/>
        <v>-0.68999999999999773</v>
      </c>
      <c r="O152">
        <f t="shared" ca="1" si="46"/>
        <v>0</v>
      </c>
      <c r="P152">
        <f t="shared" ca="1" si="47"/>
        <v>0.68999999999999773</v>
      </c>
      <c r="Q152">
        <f t="shared" ca="1" si="51"/>
        <v>1.9846313516764902</v>
      </c>
      <c r="R152">
        <f t="shared" ca="1" si="52"/>
        <v>1.3520314426782909</v>
      </c>
      <c r="S152">
        <f t="shared" ca="1" si="49"/>
        <v>1.4678884595650068</v>
      </c>
      <c r="T152">
        <f t="shared" ca="1" si="50"/>
        <v>59.47953011716497</v>
      </c>
      <c r="U152">
        <f>70</f>
        <v>70</v>
      </c>
      <c r="V152">
        <f>30</f>
        <v>30</v>
      </c>
      <c r="W152">
        <f t="shared" ca="1" si="48"/>
        <v>265.22182336605732</v>
      </c>
      <c r="X152">
        <f t="shared" ca="1" si="37"/>
        <v>261.27569305508609</v>
      </c>
      <c r="Y152">
        <f t="shared" ca="1" si="36"/>
        <v>4.1299182245471115</v>
      </c>
      <c r="Z152">
        <f t="shared" ca="1" si="38"/>
        <v>2.754678095264901</v>
      </c>
      <c r="AA152">
        <f t="shared" ca="1" si="39"/>
        <v>1.3752401292822105</v>
      </c>
      <c r="AB152">
        <f t="shared" ca="1" si="40"/>
        <v>264.81529999999998</v>
      </c>
    </row>
    <row r="153" spans="1:28" x14ac:dyDescent="0.25">
      <c r="A153" s="21">
        <f t="shared" ca="1" si="41"/>
        <v>45509</v>
      </c>
      <c r="B153" vm="453">
        <f ca="1"/>
        <v>45512</v>
      </c>
      <c r="C153" vm="454">
        <f ca="1"/>
        <v>271.19</v>
      </c>
      <c r="D153" vm="455">
        <f ca="1"/>
        <v>3227234</v>
      </c>
      <c r="E153">
        <f t="shared" ca="1" si="42"/>
        <v>875193588.46000004</v>
      </c>
      <c r="F153">
        <f ca="1">SUM($E$2:E153)/SUM($D$2:D153)</f>
        <v>272.68729863988636</v>
      </c>
      <c r="G153">
        <f ca="1">_xlfn.STDEV.P($C$2:C153)</f>
        <v>15.663839387757962</v>
      </c>
      <c r="H153">
        <f t="shared" ca="1" si="43"/>
        <v>288.35113802764431</v>
      </c>
      <c r="I153">
        <f t="shared" ca="1" si="44"/>
        <v>257.02345925212842</v>
      </c>
      <c r="J153">
        <f t="shared" ca="1" si="53"/>
        <v>261.43449999999996</v>
      </c>
      <c r="K153">
        <f t="shared" ca="1" si="54"/>
        <v>7.656325540980716</v>
      </c>
      <c r="L153">
        <f t="shared" ca="1" si="55"/>
        <v>276.74715108196136</v>
      </c>
      <c r="M153">
        <f t="shared" ca="1" si="56"/>
        <v>246.12184891803852</v>
      </c>
      <c r="N153">
        <f t="shared" ca="1" si="45"/>
        <v>1.8199999999999932</v>
      </c>
      <c r="O153">
        <f t="shared" ca="1" si="46"/>
        <v>1.8199999999999932</v>
      </c>
      <c r="P153">
        <f t="shared" ca="1" si="47"/>
        <v>0</v>
      </c>
      <c r="Q153">
        <f t="shared" ca="1" si="51"/>
        <v>1.9728719694138834</v>
      </c>
      <c r="R153">
        <f t="shared" ca="1" si="52"/>
        <v>1.25545776820127</v>
      </c>
      <c r="S153">
        <f t="shared" ca="1" si="49"/>
        <v>1.5714363472699469</v>
      </c>
      <c r="T153">
        <f t="shared" ca="1" si="50"/>
        <v>61.111228708356549</v>
      </c>
      <c r="U153">
        <f>70</f>
        <v>70</v>
      </c>
      <c r="V153">
        <f>30</f>
        <v>30</v>
      </c>
      <c r="W153">
        <f t="shared" ca="1" si="48"/>
        <v>266.14000438666386</v>
      </c>
      <c r="X153">
        <f t="shared" ca="1" si="37"/>
        <v>262.01008616211675</v>
      </c>
      <c r="Y153">
        <f t="shared" ca="1" si="36"/>
        <v>3.9651945873254135</v>
      </c>
      <c r="Z153">
        <f t="shared" ca="1" si="38"/>
        <v>2.9967813936770038</v>
      </c>
      <c r="AA153">
        <f t="shared" ca="1" si="39"/>
        <v>0.96841319364840972</v>
      </c>
      <c r="AB153">
        <f t="shared" ca="1" si="40"/>
        <v>264.73580000000004</v>
      </c>
    </row>
    <row r="154" spans="1:28" x14ac:dyDescent="0.25">
      <c r="A154" s="21">
        <f t="shared" ca="1" si="41"/>
        <v>45509</v>
      </c>
      <c r="B154" vm="456">
        <f ca="1"/>
        <v>45513</v>
      </c>
      <c r="C154" vm="457">
        <f ca="1"/>
        <v>267.91000000000003</v>
      </c>
      <c r="D154" vm="458">
        <f ca="1"/>
        <v>2664877</v>
      </c>
      <c r="E154">
        <f t="shared" ca="1" si="42"/>
        <v>713947197.07000005</v>
      </c>
      <c r="F154">
        <f ca="1">SUM($E$2:E154)/SUM($D$2:D154)</f>
        <v>272.66416251077192</v>
      </c>
      <c r="G154">
        <f ca="1">_xlfn.STDEV.P($C$2:C154)</f>
        <v>15.620831722369248</v>
      </c>
      <c r="H154">
        <f t="shared" ca="1" si="43"/>
        <v>288.28499423314116</v>
      </c>
      <c r="I154">
        <f t="shared" ca="1" si="44"/>
        <v>257.04333078840267</v>
      </c>
      <c r="J154">
        <f t="shared" ca="1" si="53"/>
        <v>262.13499999999999</v>
      </c>
      <c r="K154">
        <f t="shared" ca="1" si="54"/>
        <v>7.5711241604289912</v>
      </c>
      <c r="L154">
        <f t="shared" ca="1" si="55"/>
        <v>277.27724832085795</v>
      </c>
      <c r="M154">
        <f t="shared" ca="1" si="56"/>
        <v>246.992751679142</v>
      </c>
      <c r="N154">
        <f t="shared" ca="1" si="45"/>
        <v>-3.2799999999999727</v>
      </c>
      <c r="O154">
        <f t="shared" ca="1" si="46"/>
        <v>0</v>
      </c>
      <c r="P154">
        <f t="shared" ca="1" si="47"/>
        <v>3.2799999999999727</v>
      </c>
      <c r="Q154">
        <f t="shared" ca="1" si="51"/>
        <v>1.8319525430271775</v>
      </c>
      <c r="R154">
        <f t="shared" ca="1" si="52"/>
        <v>1.4000679276154631</v>
      </c>
      <c r="S154">
        <f t="shared" ca="1" si="49"/>
        <v>1.3084740439324842</v>
      </c>
      <c r="T154">
        <f t="shared" ca="1" si="50"/>
        <v>56.681340965112149</v>
      </c>
      <c r="U154">
        <f>70</f>
        <v>70</v>
      </c>
      <c r="V154">
        <f>30</f>
        <v>30</v>
      </c>
      <c r="W154">
        <f t="shared" ca="1" si="48"/>
        <v>266.41231140410019</v>
      </c>
      <c r="X154">
        <f t="shared" ca="1" si="37"/>
        <v>262.44711681677478</v>
      </c>
      <c r="Y154">
        <f t="shared" ca="1" si="36"/>
        <v>3.9145969275382981</v>
      </c>
      <c r="Z154">
        <f t="shared" ca="1" si="38"/>
        <v>3.1803445004492628</v>
      </c>
      <c r="AA154">
        <f t="shared" ca="1" si="39"/>
        <v>0.73425242708903538</v>
      </c>
      <c r="AB154">
        <f t="shared" ca="1" si="40"/>
        <v>264.62909999999999</v>
      </c>
    </row>
    <row r="155" spans="1:28" x14ac:dyDescent="0.25">
      <c r="A155" s="21">
        <f t="shared" ca="1" si="41"/>
        <v>45516</v>
      </c>
      <c r="B155" vm="459">
        <f ca="1"/>
        <v>45516</v>
      </c>
      <c r="C155" vm="460">
        <f ca="1"/>
        <v>269.45999999999998</v>
      </c>
      <c r="D155" vm="461">
        <f ca="1"/>
        <v>3008100</v>
      </c>
      <c r="E155">
        <f t="shared" ca="1" si="42"/>
        <v>810562625.99999988</v>
      </c>
      <c r="F155">
        <f ca="1">SUM($E$2:E155)/SUM($D$2:D155)</f>
        <v>272.64674162382215</v>
      </c>
      <c r="G155">
        <f ca="1">_xlfn.STDEV.P($C$2:C155)</f>
        <v>15.574635412233052</v>
      </c>
      <c r="H155">
        <f t="shared" ca="1" si="43"/>
        <v>288.22137703605523</v>
      </c>
      <c r="I155">
        <f t="shared" ca="1" si="44"/>
        <v>257.07210621158907</v>
      </c>
      <c r="J155">
        <f t="shared" ca="1" si="53"/>
        <v>263.03149999999994</v>
      </c>
      <c r="K155">
        <f t="shared" ca="1" si="54"/>
        <v>7.3062044829972015</v>
      </c>
      <c r="L155">
        <f t="shared" ca="1" si="55"/>
        <v>277.64390896599434</v>
      </c>
      <c r="M155">
        <f t="shared" ca="1" si="56"/>
        <v>248.41909103400553</v>
      </c>
      <c r="N155">
        <f t="shared" ca="1" si="45"/>
        <v>1.5499999999999545</v>
      </c>
      <c r="O155">
        <f t="shared" ca="1" si="46"/>
        <v>1.5499999999999545</v>
      </c>
      <c r="P155">
        <f t="shared" ca="1" si="47"/>
        <v>0</v>
      </c>
      <c r="Q155">
        <f t="shared" ca="1" si="51"/>
        <v>1.8118130756680901</v>
      </c>
      <c r="R155">
        <f t="shared" ca="1" si="52"/>
        <v>1.3000630756429299</v>
      </c>
      <c r="S155">
        <f t="shared" ca="1" si="49"/>
        <v>1.3936347471233892</v>
      </c>
      <c r="T155">
        <f t="shared" ca="1" si="50"/>
        <v>58.222531603797322</v>
      </c>
      <c r="U155">
        <f>70</f>
        <v>70</v>
      </c>
      <c r="V155">
        <f>30</f>
        <v>30</v>
      </c>
      <c r="W155">
        <f t="shared" ca="1" si="48"/>
        <v>266.88118657270013</v>
      </c>
      <c r="X155">
        <f t="shared" ca="1" si="37"/>
        <v>262.96658964516183</v>
      </c>
      <c r="Y155">
        <f t="shared" ca="1" si="36"/>
        <v>3.8981503630038219</v>
      </c>
      <c r="Z155">
        <f t="shared" ca="1" si="38"/>
        <v>3.323905672960175</v>
      </c>
      <c r="AA155">
        <f t="shared" ca="1" si="39"/>
        <v>0.57424469004364687</v>
      </c>
      <c r="AB155">
        <f t="shared" ca="1" si="40"/>
        <v>264.495</v>
      </c>
    </row>
    <row r="156" spans="1:28" x14ac:dyDescent="0.25">
      <c r="A156" s="21">
        <f t="shared" ca="1" si="41"/>
        <v>45516</v>
      </c>
      <c r="B156" vm="462">
        <f ca="1"/>
        <v>45517</v>
      </c>
      <c r="C156" vm="463">
        <f ca="1"/>
        <v>270.31</v>
      </c>
      <c r="D156" vm="464">
        <f ca="1"/>
        <v>2603592</v>
      </c>
      <c r="E156">
        <f t="shared" ca="1" si="42"/>
        <v>703776953.51999998</v>
      </c>
      <c r="F156">
        <f ca="1">SUM($E$2:E156)/SUM($D$2:D156)</f>
        <v>272.63579681555342</v>
      </c>
      <c r="G156">
        <f ca="1">_xlfn.STDEV.P($C$2:C156)</f>
        <v>15.52734700291751</v>
      </c>
      <c r="H156">
        <f t="shared" ca="1" si="43"/>
        <v>288.16314381847093</v>
      </c>
      <c r="I156">
        <f t="shared" ca="1" si="44"/>
        <v>257.10844981263591</v>
      </c>
      <c r="J156">
        <f t="shared" ca="1" si="53"/>
        <v>263.68349999999998</v>
      </c>
      <c r="K156">
        <f t="shared" ca="1" si="54"/>
        <v>7.3467194791459907</v>
      </c>
      <c r="L156">
        <f t="shared" ca="1" si="55"/>
        <v>278.37693895829199</v>
      </c>
      <c r="M156">
        <f t="shared" ca="1" si="56"/>
        <v>248.990061041708</v>
      </c>
      <c r="N156">
        <f t="shared" ca="1" si="45"/>
        <v>0.85000000000002274</v>
      </c>
      <c r="O156">
        <f t="shared" ca="1" si="46"/>
        <v>0.85000000000002274</v>
      </c>
      <c r="P156">
        <f t="shared" ca="1" si="47"/>
        <v>0</v>
      </c>
      <c r="Q156">
        <f t="shared" ca="1" si="51"/>
        <v>1.7431121416917996</v>
      </c>
      <c r="R156">
        <f t="shared" ca="1" si="52"/>
        <v>1.2072014273827207</v>
      </c>
      <c r="S156">
        <f t="shared" ca="1" si="49"/>
        <v>1.4439281648887401</v>
      </c>
      <c r="T156">
        <f t="shared" ca="1" si="50"/>
        <v>59.082267049959505</v>
      </c>
      <c r="U156">
        <f>70</f>
        <v>70</v>
      </c>
      <c r="V156">
        <f>30</f>
        <v>30</v>
      </c>
      <c r="W156">
        <f t="shared" ca="1" si="48"/>
        <v>267.40869633074624</v>
      </c>
      <c r="X156">
        <f t="shared" ca="1" si="37"/>
        <v>263.51054596774242</v>
      </c>
      <c r="Y156">
        <f t="shared" ref="Y156:Y219" ca="1" si="57">W157-X157</f>
        <v>3.9078500590180738</v>
      </c>
      <c r="Z156">
        <f t="shared" ca="1" si="38"/>
        <v>3.440694550171755</v>
      </c>
      <c r="AA156">
        <f t="shared" ca="1" si="39"/>
        <v>0.46715550884631885</v>
      </c>
      <c r="AB156">
        <f t="shared" ca="1" si="40"/>
        <v>264.35360000000003</v>
      </c>
    </row>
    <row r="157" spans="1:28" x14ac:dyDescent="0.25">
      <c r="A157" s="21">
        <f t="shared" ca="1" si="41"/>
        <v>45516</v>
      </c>
      <c r="B157" vm="465">
        <f ca="1"/>
        <v>45518</v>
      </c>
      <c r="C157" vm="466">
        <f ca="1"/>
        <v>271.14999999999998</v>
      </c>
      <c r="D157" vm="467">
        <f ca="1"/>
        <v>2242138</v>
      </c>
      <c r="E157">
        <f t="shared" ca="1" si="42"/>
        <v>607955718.69999993</v>
      </c>
      <c r="F157">
        <f ca="1">SUM($E$2:E157)/SUM($D$2:D157)</f>
        <v>272.62982786371708</v>
      </c>
      <c r="G157">
        <f ca="1">_xlfn.STDEV.P($C$2:C157)</f>
        <v>15.479313199032477</v>
      </c>
      <c r="H157">
        <f t="shared" ca="1" si="43"/>
        <v>288.10914106274959</v>
      </c>
      <c r="I157">
        <f t="shared" ca="1" si="44"/>
        <v>257.15051466468458</v>
      </c>
      <c r="J157">
        <f t="shared" ca="1" si="53"/>
        <v>264.19099999999997</v>
      </c>
      <c r="K157">
        <f t="shared" ca="1" si="54"/>
        <v>7.5005535936040273</v>
      </c>
      <c r="L157">
        <f t="shared" ca="1" si="55"/>
        <v>279.19210718720802</v>
      </c>
      <c r="M157">
        <f t="shared" ca="1" si="56"/>
        <v>249.18989281279192</v>
      </c>
      <c r="N157">
        <f t="shared" ca="1" si="45"/>
        <v>0.83999999999997499</v>
      </c>
      <c r="O157">
        <f t="shared" ca="1" si="46"/>
        <v>0.83999999999997499</v>
      </c>
      <c r="P157">
        <f t="shared" ca="1" si="47"/>
        <v>0</v>
      </c>
      <c r="Q157">
        <f t="shared" ca="1" si="51"/>
        <v>1.678604131570955</v>
      </c>
      <c r="R157">
        <f t="shared" ca="1" si="52"/>
        <v>1.1209727539982406</v>
      </c>
      <c r="S157">
        <f t="shared" ca="1" si="49"/>
        <v>1.4974531054245317</v>
      </c>
      <c r="T157">
        <f t="shared" ca="1" si="50"/>
        <v>59.959208129755282</v>
      </c>
      <c r="U157">
        <f>70</f>
        <v>70</v>
      </c>
      <c r="V157">
        <f>30</f>
        <v>30</v>
      </c>
      <c r="W157">
        <f t="shared" ca="1" si="48"/>
        <v>267.98428151063143</v>
      </c>
      <c r="X157">
        <f t="shared" ref="X157:X220" ca="1" si="58">C157*(2/(26+1)) + X156*(1-(2/(26+1)))</f>
        <v>264.07643145161336</v>
      </c>
      <c r="Y157">
        <f t="shared" ca="1" si="57"/>
        <v>4.1676677688979566</v>
      </c>
      <c r="Z157">
        <f t="shared" ca="1" si="38"/>
        <v>3.5860891939169957</v>
      </c>
      <c r="AA157">
        <f t="shared" ca="1" si="39"/>
        <v>0.58157857498096099</v>
      </c>
      <c r="AB157">
        <f t="shared" ca="1" si="40"/>
        <v>264.22980000000001</v>
      </c>
    </row>
    <row r="158" spans="1:28" x14ac:dyDescent="0.25">
      <c r="A158" s="21">
        <f t="shared" ca="1" si="41"/>
        <v>45516</v>
      </c>
      <c r="B158" vm="468">
        <f ca="1"/>
        <v>45519</v>
      </c>
      <c r="C158" vm="469">
        <f ca="1"/>
        <v>274.87</v>
      </c>
      <c r="D158" vm="470">
        <f ca="1"/>
        <v>2445218</v>
      </c>
      <c r="E158">
        <f t="shared" ca="1" si="42"/>
        <v>672117071.65999997</v>
      </c>
      <c r="F158">
        <f ca="1">SUM($E$2:E158)/SUM($D$2:D158)</f>
        <v>272.63959971184829</v>
      </c>
      <c r="G158">
        <f ca="1">_xlfn.STDEV.P($C$2:C158)</f>
        <v>15.430058948195658</v>
      </c>
      <c r="H158">
        <f t="shared" ca="1" si="43"/>
        <v>288.06965866004396</v>
      </c>
      <c r="I158">
        <f t="shared" ca="1" si="44"/>
        <v>257.20954076365263</v>
      </c>
      <c r="J158">
        <f t="shared" ca="1" si="53"/>
        <v>264.95850000000002</v>
      </c>
      <c r="K158">
        <f t="shared" ca="1" si="54"/>
        <v>7.7776652395784769</v>
      </c>
      <c r="L158">
        <f t="shared" ca="1" si="55"/>
        <v>280.51383047915698</v>
      </c>
      <c r="M158">
        <f t="shared" ca="1" si="56"/>
        <v>249.40316952084305</v>
      </c>
      <c r="N158">
        <f t="shared" ca="1" si="45"/>
        <v>3.7200000000000273</v>
      </c>
      <c r="O158">
        <f t="shared" ca="1" si="46"/>
        <v>3.7200000000000273</v>
      </c>
      <c r="P158">
        <f t="shared" ca="1" si="47"/>
        <v>0</v>
      </c>
      <c r="Q158">
        <f t="shared" ca="1" si="51"/>
        <v>1.8244181221730318</v>
      </c>
      <c r="R158">
        <f t="shared" ca="1" si="52"/>
        <v>1.0409032715697948</v>
      </c>
      <c r="S158">
        <f t="shared" ca="1" si="49"/>
        <v>1.7527258987490852</v>
      </c>
      <c r="T158">
        <f t="shared" ca="1" si="50"/>
        <v>63.672372884840165</v>
      </c>
      <c r="U158">
        <f>70</f>
        <v>70</v>
      </c>
      <c r="V158">
        <f>30</f>
        <v>30</v>
      </c>
      <c r="W158">
        <f t="shared" ca="1" si="48"/>
        <v>269.04362281668813</v>
      </c>
      <c r="X158">
        <f t="shared" ca="1" si="58"/>
        <v>264.87595504779017</v>
      </c>
      <c r="Y158">
        <f t="shared" ca="1" si="57"/>
        <v>4.6125087920927967</v>
      </c>
      <c r="Z158">
        <f t="shared" ca="1" si="38"/>
        <v>3.7913731135521562</v>
      </c>
      <c r="AA158">
        <f t="shared" ca="1" si="39"/>
        <v>0.82113567854064051</v>
      </c>
      <c r="AB158">
        <f t="shared" ca="1" si="40"/>
        <v>264.15219999999999</v>
      </c>
    </row>
    <row r="159" spans="1:28" x14ac:dyDescent="0.25">
      <c r="A159" s="21">
        <f t="shared" ca="1" si="41"/>
        <v>45516</v>
      </c>
      <c r="B159" vm="471">
        <f ca="1"/>
        <v>45520</v>
      </c>
      <c r="C159" vm="472">
        <f ca="1"/>
        <v>278.49</v>
      </c>
      <c r="D159" vm="473">
        <f ca="1"/>
        <v>3286217</v>
      </c>
      <c r="E159">
        <f t="shared" ca="1" si="42"/>
        <v>915178572.33000004</v>
      </c>
      <c r="F159">
        <f ca="1">SUM($E$2:E159)/SUM($D$2:D159)</f>
        <v>272.67369709013639</v>
      </c>
      <c r="G159">
        <f ca="1">_xlfn.STDEV.P($C$2:C159)</f>
        <v>15.385083291505337</v>
      </c>
      <c r="H159">
        <f t="shared" ca="1" si="43"/>
        <v>288.05878038164172</v>
      </c>
      <c r="I159">
        <f t="shared" ca="1" si="44"/>
        <v>257.28861379863105</v>
      </c>
      <c r="J159">
        <f t="shared" ca="1" si="53"/>
        <v>266.01899999999995</v>
      </c>
      <c r="K159">
        <f t="shared" ca="1" si="54"/>
        <v>8.1143095824598621</v>
      </c>
      <c r="L159">
        <f t="shared" ca="1" si="55"/>
        <v>282.24761916491968</v>
      </c>
      <c r="M159">
        <f t="shared" ca="1" si="56"/>
        <v>249.79038083508021</v>
      </c>
      <c r="N159">
        <f t="shared" ca="1" si="45"/>
        <v>3.6200000000000045</v>
      </c>
      <c r="O159">
        <f t="shared" ca="1" si="46"/>
        <v>3.6200000000000045</v>
      </c>
      <c r="P159">
        <f t="shared" ca="1" si="47"/>
        <v>0</v>
      </c>
      <c r="Q159">
        <f t="shared" ca="1" si="51"/>
        <v>1.952673970589244</v>
      </c>
      <c r="R159">
        <f t="shared" ca="1" si="52"/>
        <v>0.96655303788623803</v>
      </c>
      <c r="S159">
        <f t="shared" ca="1" si="49"/>
        <v>2.0202450295532266</v>
      </c>
      <c r="T159">
        <f t="shared" ca="1" si="50"/>
        <v>66.89010361030455</v>
      </c>
      <c r="U159">
        <f>70</f>
        <v>70</v>
      </c>
      <c r="V159">
        <f>30</f>
        <v>30</v>
      </c>
      <c r="W159">
        <f t="shared" ca="1" si="48"/>
        <v>270.49691161412073</v>
      </c>
      <c r="X159">
        <f t="shared" ca="1" si="58"/>
        <v>265.88440282202794</v>
      </c>
      <c r="Y159">
        <f t="shared" ca="1" si="57"/>
        <v>5.6312018012386602</v>
      </c>
      <c r="Z159">
        <f t="shared" ca="1" si="38"/>
        <v>4.1593388510894576</v>
      </c>
      <c r="AA159">
        <f t="shared" ca="1" si="39"/>
        <v>1.4718629501492027</v>
      </c>
      <c r="AB159">
        <f t="shared" ca="1" si="40"/>
        <v>264.15090000000004</v>
      </c>
    </row>
    <row r="160" spans="1:28" x14ac:dyDescent="0.25">
      <c r="A160" s="21">
        <f t="shared" ca="1" si="41"/>
        <v>45523</v>
      </c>
      <c r="B160" vm="474">
        <f ca="1"/>
        <v>45523</v>
      </c>
      <c r="C160" vm="475">
        <f ca="1"/>
        <v>287.55</v>
      </c>
      <c r="D160" vm="476">
        <f ca="1"/>
        <v>5268793</v>
      </c>
      <c r="E160">
        <f t="shared" ca="1" si="42"/>
        <v>1515041427.1500001</v>
      </c>
      <c r="F160">
        <f ca="1">SUM($E$2:E160)/SUM($D$2:D160)</f>
        <v>272.8114199237923</v>
      </c>
      <c r="G160">
        <f ca="1">_xlfn.STDEV.P($C$2:C160)</f>
        <v>15.373264398464636</v>
      </c>
      <c r="H160">
        <f t="shared" ca="1" si="43"/>
        <v>288.18468432225694</v>
      </c>
      <c r="I160">
        <f t="shared" ca="1" si="44"/>
        <v>257.43815552532766</v>
      </c>
      <c r="J160">
        <f t="shared" ca="1" si="53"/>
        <v>267.41949999999997</v>
      </c>
      <c r="K160">
        <f t="shared" ca="1" si="54"/>
        <v>9.2718501389959904</v>
      </c>
      <c r="L160">
        <f t="shared" ca="1" si="55"/>
        <v>285.96320027799197</v>
      </c>
      <c r="M160">
        <f t="shared" ca="1" si="56"/>
        <v>248.875799722008</v>
      </c>
      <c r="N160">
        <f t="shared" ca="1" si="45"/>
        <v>9.0600000000000023</v>
      </c>
      <c r="O160">
        <f t="shared" ca="1" si="46"/>
        <v>9.0600000000000023</v>
      </c>
      <c r="P160">
        <f t="shared" ca="1" si="47"/>
        <v>0</v>
      </c>
      <c r="Q160">
        <f t="shared" ca="1" si="51"/>
        <v>2.4603401155471554</v>
      </c>
      <c r="R160">
        <f t="shared" ca="1" si="52"/>
        <v>0.89751353518007815</v>
      </c>
      <c r="S160">
        <f t="shared" ca="1" si="49"/>
        <v>2.7412846927745886</v>
      </c>
      <c r="T160">
        <f t="shared" ca="1" si="50"/>
        <v>73.271213443572876</v>
      </c>
      <c r="U160">
        <f>70</f>
        <v>70</v>
      </c>
      <c r="V160">
        <f>30</f>
        <v>30</v>
      </c>
      <c r="W160">
        <f t="shared" ca="1" si="48"/>
        <v>273.12046367348677</v>
      </c>
      <c r="X160">
        <f t="shared" ca="1" si="58"/>
        <v>267.48926187224811</v>
      </c>
      <c r="Y160">
        <f t="shared" ca="1" si="57"/>
        <v>6.21198747163794</v>
      </c>
      <c r="Z160">
        <f t="shared" ca="1" si="38"/>
        <v>4.5698685751991546</v>
      </c>
      <c r="AA160">
        <f t="shared" ca="1" si="39"/>
        <v>1.6421188964387854</v>
      </c>
      <c r="AB160">
        <f t="shared" ca="1" si="40"/>
        <v>264.24020000000002</v>
      </c>
    </row>
    <row r="161" spans="1:28" x14ac:dyDescent="0.25">
      <c r="A161" s="21">
        <f t="shared" ca="1" si="41"/>
        <v>45523</v>
      </c>
      <c r="B161" vm="477">
        <f ca="1"/>
        <v>45524</v>
      </c>
      <c r="C161" vm="478">
        <f ca="1"/>
        <v>285.63</v>
      </c>
      <c r="D161" vm="479">
        <f ca="1"/>
        <v>3697631</v>
      </c>
      <c r="E161">
        <f t="shared" ca="1" si="42"/>
        <v>1056154342.53</v>
      </c>
      <c r="F161">
        <f ca="1">SUM($E$2:E161)/SUM($D$2:D161)</f>
        <v>272.89416663428551</v>
      </c>
      <c r="G161">
        <f ca="1">_xlfn.STDEV.P($C$2:C161)</f>
        <v>15.351520942055712</v>
      </c>
      <c r="H161">
        <f t="shared" ca="1" si="43"/>
        <v>288.2456875763412</v>
      </c>
      <c r="I161">
        <f t="shared" ca="1" si="44"/>
        <v>257.54264569222983</v>
      </c>
      <c r="J161">
        <f t="shared" ca="1" si="53"/>
        <v>268.99849999999998</v>
      </c>
      <c r="K161">
        <f t="shared" ca="1" si="54"/>
        <v>9.5597590120473779</v>
      </c>
      <c r="L161">
        <f t="shared" ca="1" si="55"/>
        <v>288.11801802409474</v>
      </c>
      <c r="M161">
        <f t="shared" ca="1" si="56"/>
        <v>249.87898197590522</v>
      </c>
      <c r="N161">
        <f t="shared" ca="1" si="45"/>
        <v>-1.9200000000000159</v>
      </c>
      <c r="O161">
        <f t="shared" ca="1" si="46"/>
        <v>0</v>
      </c>
      <c r="P161">
        <f t="shared" ca="1" si="47"/>
        <v>1.9200000000000159</v>
      </c>
      <c r="Q161">
        <f t="shared" ca="1" si="51"/>
        <v>2.2846015358652156</v>
      </c>
      <c r="R161">
        <f t="shared" ca="1" si="52"/>
        <v>0.9705482826672166</v>
      </c>
      <c r="S161">
        <f t="shared" ca="1" si="49"/>
        <v>2.353928780943054</v>
      </c>
      <c r="T161">
        <f t="shared" ca="1" si="50"/>
        <v>70.184220795564386</v>
      </c>
      <c r="U161">
        <f>70</f>
        <v>70</v>
      </c>
      <c r="V161">
        <f>30</f>
        <v>30</v>
      </c>
      <c r="W161">
        <f t="shared" ca="1" si="48"/>
        <v>275.04500772371955</v>
      </c>
      <c r="X161">
        <f t="shared" ca="1" si="58"/>
        <v>268.83302025208161</v>
      </c>
      <c r="Y161">
        <f t="shared" ca="1" si="57"/>
        <v>6.9216971852370079</v>
      </c>
      <c r="Z161">
        <f t="shared" ca="1" si="38"/>
        <v>5.0402342972067249</v>
      </c>
      <c r="AA161">
        <f t="shared" ca="1" si="39"/>
        <v>1.8814628880302831</v>
      </c>
      <c r="AB161">
        <f t="shared" ca="1" si="40"/>
        <v>264.27629999999999</v>
      </c>
    </row>
    <row r="162" spans="1:28" x14ac:dyDescent="0.25">
      <c r="A162" s="21">
        <f t="shared" ca="1" si="41"/>
        <v>45523</v>
      </c>
      <c r="B162" vm="480">
        <f ca="1"/>
        <v>45525</v>
      </c>
      <c r="C162" vm="481">
        <f ca="1"/>
        <v>289.70999999999998</v>
      </c>
      <c r="D162" vm="482">
        <f ca="1"/>
        <v>2686435</v>
      </c>
      <c r="E162">
        <f t="shared" ca="1" si="42"/>
        <v>778287083.8499999</v>
      </c>
      <c r="F162">
        <f ca="1">SUM($E$2:E162)/SUM($D$2:D162)</f>
        <v>272.97266307118002</v>
      </c>
      <c r="G162">
        <f ca="1">_xlfn.STDEV.P($C$2:C162)</f>
        <v>15.351660082765852</v>
      </c>
      <c r="H162">
        <f t="shared" ca="1" si="43"/>
        <v>288.3243231539459</v>
      </c>
      <c r="I162">
        <f t="shared" ca="1" si="44"/>
        <v>257.62100298841415</v>
      </c>
      <c r="J162">
        <f t="shared" ca="1" si="53"/>
        <v>270.81550000000004</v>
      </c>
      <c r="K162">
        <f t="shared" ca="1" si="54"/>
        <v>9.8810751998587243</v>
      </c>
      <c r="L162">
        <f t="shared" ca="1" si="55"/>
        <v>290.57765039971747</v>
      </c>
      <c r="M162">
        <f t="shared" ca="1" si="56"/>
        <v>251.05334960028259</v>
      </c>
      <c r="N162">
        <f t="shared" ca="1" si="45"/>
        <v>4.0799999999999841</v>
      </c>
      <c r="O162">
        <f t="shared" ca="1" si="46"/>
        <v>4.0799999999999841</v>
      </c>
      <c r="P162">
        <f t="shared" ca="1" si="47"/>
        <v>0</v>
      </c>
      <c r="Q162">
        <f t="shared" ca="1" si="51"/>
        <v>2.4128442833034134</v>
      </c>
      <c r="R162">
        <f t="shared" ca="1" si="52"/>
        <v>0.90122340533384393</v>
      </c>
      <c r="S162">
        <f t="shared" ca="1" si="49"/>
        <v>2.6772987352782005</v>
      </c>
      <c r="T162">
        <f t="shared" ca="1" si="50"/>
        <v>72.806125583257881</v>
      </c>
      <c r="U162">
        <f>70</f>
        <v>70</v>
      </c>
      <c r="V162">
        <f>30</f>
        <v>30</v>
      </c>
      <c r="W162">
        <f t="shared" ca="1" si="48"/>
        <v>277.30116038160884</v>
      </c>
      <c r="X162">
        <f t="shared" ca="1" si="58"/>
        <v>270.37946319637183</v>
      </c>
      <c r="Y162">
        <f t="shared" ca="1" si="57"/>
        <v>7.3589717792506235</v>
      </c>
      <c r="Z162">
        <f t="shared" ca="1" si="38"/>
        <v>5.5039817936155044</v>
      </c>
      <c r="AA162">
        <f t="shared" ca="1" si="39"/>
        <v>1.8549899856351191</v>
      </c>
      <c r="AB162">
        <f t="shared" ca="1" si="40"/>
        <v>264.35389999999995</v>
      </c>
    </row>
    <row r="163" spans="1:28" x14ac:dyDescent="0.25">
      <c r="A163" s="21">
        <f t="shared" ca="1" si="41"/>
        <v>45523</v>
      </c>
      <c r="B163" vm="483">
        <f ca="1"/>
        <v>45526</v>
      </c>
      <c r="C163" vm="484">
        <f ca="1"/>
        <v>289.20999999999998</v>
      </c>
      <c r="D163" vm="485">
        <f ca="1"/>
        <v>1746359</v>
      </c>
      <c r="E163">
        <f t="shared" ca="1" si="42"/>
        <v>505064486.38999999</v>
      </c>
      <c r="F163">
        <f ca="1">SUM($E$2:E163)/SUM($D$2:D163)</f>
        <v>273.02178638597059</v>
      </c>
      <c r="G163">
        <f ca="1">_xlfn.STDEV.P($C$2:C163)</f>
        <v>15.348198152932666</v>
      </c>
      <c r="H163">
        <f t="shared" ca="1" si="43"/>
        <v>288.36998453890322</v>
      </c>
      <c r="I163">
        <f t="shared" ca="1" si="44"/>
        <v>257.67358823303795</v>
      </c>
      <c r="J163">
        <f t="shared" ca="1" si="53"/>
        <v>272.70300000000003</v>
      </c>
      <c r="K163">
        <f t="shared" ca="1" si="54"/>
        <v>9.5904185189396731</v>
      </c>
      <c r="L163">
        <f t="shared" ca="1" si="55"/>
        <v>291.8838370378794</v>
      </c>
      <c r="M163">
        <f t="shared" ca="1" si="56"/>
        <v>253.52216296212069</v>
      </c>
      <c r="N163">
        <f t="shared" ca="1" si="45"/>
        <v>-0.5</v>
      </c>
      <c r="O163">
        <f t="shared" ca="1" si="46"/>
        <v>0</v>
      </c>
      <c r="P163">
        <f t="shared" ca="1" si="47"/>
        <v>0.5</v>
      </c>
      <c r="Q163">
        <f t="shared" ca="1" si="51"/>
        <v>2.2404982630674555</v>
      </c>
      <c r="R163">
        <f t="shared" ca="1" si="52"/>
        <v>0.87256459066714076</v>
      </c>
      <c r="S163">
        <f t="shared" ca="1" si="49"/>
        <v>2.5677162321638876</v>
      </c>
      <c r="T163">
        <f t="shared" ca="1" si="50"/>
        <v>71.970864975618284</v>
      </c>
      <c r="U163">
        <f>70</f>
        <v>70</v>
      </c>
      <c r="V163">
        <f>30</f>
        <v>30</v>
      </c>
      <c r="W163">
        <f t="shared" ca="1" si="48"/>
        <v>279.13328955366899</v>
      </c>
      <c r="X163">
        <f t="shared" ca="1" si="58"/>
        <v>271.77431777441836</v>
      </c>
      <c r="Y163">
        <f t="shared" ca="1" si="57"/>
        <v>7.6424322528595781</v>
      </c>
      <c r="Z163">
        <f t="shared" ca="1" si="38"/>
        <v>5.9316718854643193</v>
      </c>
      <c r="AA163">
        <f t="shared" ca="1" si="39"/>
        <v>1.7107603673952587</v>
      </c>
      <c r="AB163">
        <f t="shared" ca="1" si="40"/>
        <v>264.44379999999995</v>
      </c>
    </row>
    <row r="164" spans="1:28" x14ac:dyDescent="0.25">
      <c r="A164" s="21">
        <f t="shared" ca="1" si="41"/>
        <v>45523</v>
      </c>
      <c r="B164" vm="486">
        <f ca="1"/>
        <v>45527</v>
      </c>
      <c r="C164" vm="487">
        <f ca="1"/>
        <v>289.52</v>
      </c>
      <c r="D164" vm="488">
        <f ca="1"/>
        <v>2145946</v>
      </c>
      <c r="E164">
        <f t="shared" ca="1" si="42"/>
        <v>621294285.91999996</v>
      </c>
      <c r="F164">
        <f ca="1">SUM($E$2:E164)/SUM($D$2:D164)</f>
        <v>273.08289233939354</v>
      </c>
      <c r="G164">
        <f ca="1">_xlfn.STDEV.P($C$2:C164)</f>
        <v>15.346076147653751</v>
      </c>
      <c r="H164">
        <f t="shared" ca="1" si="43"/>
        <v>288.42896848704731</v>
      </c>
      <c r="I164">
        <f t="shared" ca="1" si="44"/>
        <v>257.73681619173976</v>
      </c>
      <c r="J164">
        <f t="shared" ca="1" si="53"/>
        <v>274.57900000000001</v>
      </c>
      <c r="K164">
        <f t="shared" ca="1" si="54"/>
        <v>8.9776218278679156</v>
      </c>
      <c r="L164">
        <f t="shared" ca="1" si="55"/>
        <v>292.53424365573585</v>
      </c>
      <c r="M164">
        <f t="shared" ca="1" si="56"/>
        <v>256.62375634426417</v>
      </c>
      <c r="N164">
        <f t="shared" ca="1" si="45"/>
        <v>0.31000000000000227</v>
      </c>
      <c r="O164">
        <f t="shared" ca="1" si="46"/>
        <v>0.31000000000000227</v>
      </c>
      <c r="P164">
        <f t="shared" ca="1" si="47"/>
        <v>0</v>
      </c>
      <c r="Q164">
        <f t="shared" ca="1" si="51"/>
        <v>2.1026055299912088</v>
      </c>
      <c r="R164">
        <f t="shared" ca="1" si="52"/>
        <v>0.81023854847663068</v>
      </c>
      <c r="S164">
        <f t="shared" ca="1" si="49"/>
        <v>2.5950450443815845</v>
      </c>
      <c r="T164">
        <f t="shared" ca="1" si="50"/>
        <v>72.18393684488538</v>
      </c>
      <c r="U164">
        <f>70</f>
        <v>70</v>
      </c>
      <c r="V164">
        <f>30</f>
        <v>30</v>
      </c>
      <c r="W164">
        <f t="shared" ca="1" si="48"/>
        <v>280.73124500695064</v>
      </c>
      <c r="X164">
        <f t="shared" ca="1" si="58"/>
        <v>273.08881275409107</v>
      </c>
      <c r="Y164">
        <f t="shared" ca="1" si="57"/>
        <v>7.7104148774494092</v>
      </c>
      <c r="Z164">
        <f t="shared" ca="1" si="38"/>
        <v>6.2874204838613377</v>
      </c>
      <c r="AA164">
        <f t="shared" ca="1" si="39"/>
        <v>1.4229943935880716</v>
      </c>
      <c r="AB164">
        <f t="shared" ca="1" si="40"/>
        <v>264.56159999999994</v>
      </c>
    </row>
    <row r="165" spans="1:28" x14ac:dyDescent="0.25">
      <c r="A165" s="21">
        <f t="shared" ca="1" si="41"/>
        <v>45530</v>
      </c>
      <c r="B165" vm="489">
        <f ca="1"/>
        <v>45530</v>
      </c>
      <c r="C165" vm="490">
        <f ca="1"/>
        <v>288.68</v>
      </c>
      <c r="D165" vm="491">
        <f ca="1"/>
        <v>2018540</v>
      </c>
      <c r="E165">
        <f t="shared" ca="1" si="42"/>
        <v>582712127.20000005</v>
      </c>
      <c r="F165">
        <f ca="1">SUM($E$2:E165)/SUM($D$2:D165)</f>
        <v>273.1370423861037</v>
      </c>
      <c r="G165">
        <f ca="1">_xlfn.STDEV.P($C$2:C165)</f>
        <v>15.338612296140958</v>
      </c>
      <c r="H165">
        <f t="shared" ca="1" si="43"/>
        <v>288.47565468224468</v>
      </c>
      <c r="I165">
        <f t="shared" ca="1" si="44"/>
        <v>257.79843008996272</v>
      </c>
      <c r="J165">
        <f t="shared" ca="1" si="53"/>
        <v>275.94200000000001</v>
      </c>
      <c r="K165">
        <f t="shared" ca="1" si="54"/>
        <v>8.9439180158185803</v>
      </c>
      <c r="L165">
        <f t="shared" ca="1" si="55"/>
        <v>293.82983603163717</v>
      </c>
      <c r="M165">
        <f t="shared" ca="1" si="56"/>
        <v>258.05416396836284</v>
      </c>
      <c r="N165">
        <f t="shared" ca="1" si="45"/>
        <v>-0.83999999999997499</v>
      </c>
      <c r="O165">
        <f t="shared" ca="1" si="46"/>
        <v>0</v>
      </c>
      <c r="P165">
        <f t="shared" ca="1" si="47"/>
        <v>0.83999999999997499</v>
      </c>
      <c r="Q165">
        <f t="shared" ca="1" si="51"/>
        <v>1.9524194207061225</v>
      </c>
      <c r="R165">
        <f t="shared" ca="1" si="52"/>
        <v>0.81236436644258381</v>
      </c>
      <c r="S165">
        <f t="shared" ca="1" si="49"/>
        <v>2.4033789532841547</v>
      </c>
      <c r="T165">
        <f t="shared" ca="1" si="50"/>
        <v>70.61743597388616</v>
      </c>
      <c r="U165">
        <f>70</f>
        <v>70</v>
      </c>
      <c r="V165">
        <f>30</f>
        <v>30</v>
      </c>
      <c r="W165">
        <f t="shared" ca="1" si="48"/>
        <v>281.95413039049669</v>
      </c>
      <c r="X165">
        <f t="shared" ca="1" si="58"/>
        <v>274.24371551304728</v>
      </c>
      <c r="Y165">
        <f t="shared" ca="1" si="57"/>
        <v>7.7523908382824516</v>
      </c>
      <c r="Z165">
        <f t="shared" ca="1" si="38"/>
        <v>6.5804145547455608</v>
      </c>
      <c r="AA165">
        <f t="shared" ca="1" si="39"/>
        <v>1.1719762835368908</v>
      </c>
      <c r="AB165">
        <f t="shared" ca="1" si="40"/>
        <v>264.69299999999998</v>
      </c>
    </row>
    <row r="166" spans="1:28" x14ac:dyDescent="0.25">
      <c r="A166" s="21">
        <f t="shared" ca="1" si="41"/>
        <v>45530</v>
      </c>
      <c r="B166" vm="492">
        <f ca="1"/>
        <v>45531</v>
      </c>
      <c r="C166" vm="493">
        <f ca="1"/>
        <v>289.64</v>
      </c>
      <c r="D166" vm="494">
        <f ca="1"/>
        <v>2897582</v>
      </c>
      <c r="E166">
        <f t="shared" ca="1" si="42"/>
        <v>839255650.48000002</v>
      </c>
      <c r="F166">
        <f ca="1">SUM($E$2:E166)/SUM($D$2:D166)</f>
        <v>273.21888055449807</v>
      </c>
      <c r="G166">
        <f ca="1">_xlfn.STDEV.P($C$2:C166)</f>
        <v>15.336232024966224</v>
      </c>
      <c r="H166">
        <f t="shared" ca="1" si="43"/>
        <v>288.55511257946432</v>
      </c>
      <c r="I166">
        <f t="shared" ca="1" si="44"/>
        <v>257.88264852953182</v>
      </c>
      <c r="J166">
        <f t="shared" ca="1" si="53"/>
        <v>277.10199999999998</v>
      </c>
      <c r="K166">
        <f t="shared" ca="1" si="54"/>
        <v>9.1488133254077191</v>
      </c>
      <c r="L166">
        <f t="shared" ca="1" si="55"/>
        <v>295.39962665081543</v>
      </c>
      <c r="M166">
        <f t="shared" ca="1" si="56"/>
        <v>258.80437334918452</v>
      </c>
      <c r="N166">
        <f t="shared" ca="1" si="45"/>
        <v>0.95999999999997954</v>
      </c>
      <c r="O166">
        <f t="shared" ca="1" si="46"/>
        <v>0.95999999999997954</v>
      </c>
      <c r="P166">
        <f t="shared" ca="1" si="47"/>
        <v>0</v>
      </c>
      <c r="Q166">
        <f t="shared" ca="1" si="51"/>
        <v>1.8815323192271123</v>
      </c>
      <c r="R166">
        <f t="shared" ca="1" si="52"/>
        <v>0.75433834026811353</v>
      </c>
      <c r="S166">
        <f t="shared" ca="1" si="49"/>
        <v>2.494281701972568</v>
      </c>
      <c r="T166">
        <f t="shared" ca="1" si="50"/>
        <v>71.381815054135828</v>
      </c>
      <c r="U166">
        <f>70</f>
        <v>70</v>
      </c>
      <c r="V166">
        <f>30</f>
        <v>30</v>
      </c>
      <c r="W166">
        <f t="shared" ca="1" si="48"/>
        <v>283.13657186888179</v>
      </c>
      <c r="X166">
        <f t="shared" ca="1" si="58"/>
        <v>275.38418103059934</v>
      </c>
      <c r="Y166">
        <f t="shared" ca="1" si="57"/>
        <v>7.4903219661342177</v>
      </c>
      <c r="Z166">
        <f t="shared" ref="Z166:Z229" ca="1" si="59">Y166*(2/(9+1)) + Z165*(1-(2/(9+1)))</f>
        <v>6.7623960370232927</v>
      </c>
      <c r="AA166">
        <f t="shared" ref="AA166:AA229" ca="1" si="60">Y166-Z166</f>
        <v>0.72792592911092502</v>
      </c>
      <c r="AB166">
        <f t="shared" ref="AB166:AB229" ca="1" si="61">AVERAGE(C67:C166)</f>
        <v>264.88849999999996</v>
      </c>
    </row>
    <row r="167" spans="1:28" x14ac:dyDescent="0.25">
      <c r="A167" s="21">
        <f t="shared" ca="1" si="41"/>
        <v>45530</v>
      </c>
      <c r="B167" vm="495">
        <f ca="1"/>
        <v>45532</v>
      </c>
      <c r="C167" vm="496">
        <f ca="1"/>
        <v>287.05</v>
      </c>
      <c r="D167" vm="497">
        <f ca="1"/>
        <v>2603793</v>
      </c>
      <c r="E167">
        <f t="shared" ca="1" si="42"/>
        <v>747418780.64999998</v>
      </c>
      <c r="F167">
        <f ca="1">SUM($E$2:E167)/SUM($D$2:D167)</f>
        <v>273.28024137582725</v>
      </c>
      <c r="G167">
        <f ca="1">_xlfn.STDEV.P($C$2:C167)</f>
        <v>15.319589914439957</v>
      </c>
      <c r="H167">
        <f t="shared" ca="1" si="43"/>
        <v>288.59983129026722</v>
      </c>
      <c r="I167">
        <f t="shared" ca="1" si="44"/>
        <v>257.96065146138727</v>
      </c>
      <c r="J167">
        <f t="shared" ca="1" si="53"/>
        <v>278.18450000000001</v>
      </c>
      <c r="K167">
        <f t="shared" ca="1" si="54"/>
        <v>8.9704329972356796</v>
      </c>
      <c r="L167">
        <f t="shared" ca="1" si="55"/>
        <v>296.12536599447139</v>
      </c>
      <c r="M167">
        <f t="shared" ca="1" si="56"/>
        <v>260.24363400552863</v>
      </c>
      <c r="N167">
        <f t="shared" ca="1" si="45"/>
        <v>-2.589999999999975</v>
      </c>
      <c r="O167">
        <f t="shared" ca="1" si="46"/>
        <v>0</v>
      </c>
      <c r="P167">
        <f t="shared" ca="1" si="47"/>
        <v>2.589999999999975</v>
      </c>
      <c r="Q167">
        <f t="shared" ca="1" si="51"/>
        <v>1.7471371535680329</v>
      </c>
      <c r="R167">
        <f t="shared" ca="1" si="52"/>
        <v>0.88545703024896072</v>
      </c>
      <c r="S167">
        <f t="shared" ca="1" si="49"/>
        <v>1.9731473057216529</v>
      </c>
      <c r="T167">
        <f t="shared" ca="1" si="50"/>
        <v>66.365608657345803</v>
      </c>
      <c r="U167">
        <f>70</f>
        <v>70</v>
      </c>
      <c r="V167">
        <f>30</f>
        <v>30</v>
      </c>
      <c r="W167">
        <f t="shared" ca="1" si="48"/>
        <v>283.73863773520765</v>
      </c>
      <c r="X167">
        <f t="shared" ca="1" si="58"/>
        <v>276.24831576907343</v>
      </c>
      <c r="Y167">
        <f t="shared" ca="1" si="57"/>
        <v>7.2642529413328134</v>
      </c>
      <c r="Z167">
        <f t="shared" ca="1" si="59"/>
        <v>6.8627674178851965</v>
      </c>
      <c r="AA167">
        <f t="shared" ca="1" si="60"/>
        <v>0.4014855234476169</v>
      </c>
      <c r="AB167">
        <f t="shared" ca="1" si="61"/>
        <v>265.09209999999996</v>
      </c>
    </row>
    <row r="168" spans="1:28" x14ac:dyDescent="0.25">
      <c r="A168" s="21">
        <f t="shared" ca="1" si="41"/>
        <v>45530</v>
      </c>
      <c r="B168" vm="498">
        <f ca="1"/>
        <v>45533</v>
      </c>
      <c r="C168" vm="499">
        <f ca="1"/>
        <v>287.86</v>
      </c>
      <c r="D168" vm="500">
        <f ca="1"/>
        <v>1797229</v>
      </c>
      <c r="E168">
        <f t="shared" ca="1" si="42"/>
        <v>517350339.94</v>
      </c>
      <c r="F168">
        <f ca="1">SUM($E$2:E168)/SUM($D$2:D168)</f>
        <v>273.32475093292919</v>
      </c>
      <c r="G168">
        <f ca="1">_xlfn.STDEV.P($C$2:C168)</f>
        <v>15.306757307452349</v>
      </c>
      <c r="H168">
        <f t="shared" ca="1" si="43"/>
        <v>288.63150824038155</v>
      </c>
      <c r="I168">
        <f t="shared" ca="1" si="44"/>
        <v>258.01799362547683</v>
      </c>
      <c r="J168">
        <f t="shared" ca="1" si="53"/>
        <v>279.1400000000001</v>
      </c>
      <c r="K168">
        <f t="shared" ca="1" si="54"/>
        <v>8.9302873178273128</v>
      </c>
      <c r="L168">
        <f t="shared" ca="1" si="55"/>
        <v>297.00057463565474</v>
      </c>
      <c r="M168">
        <f t="shared" ca="1" si="56"/>
        <v>261.27942536434546</v>
      </c>
      <c r="N168">
        <f t="shared" ca="1" si="45"/>
        <v>0.81000000000000227</v>
      </c>
      <c r="O168">
        <f t="shared" ca="1" si="46"/>
        <v>0.81000000000000227</v>
      </c>
      <c r="P168">
        <f t="shared" ca="1" si="47"/>
        <v>0</v>
      </c>
      <c r="Q168">
        <f t="shared" ca="1" si="51"/>
        <v>1.6801987854560305</v>
      </c>
      <c r="R168">
        <f t="shared" ca="1" si="52"/>
        <v>0.82221009951689206</v>
      </c>
      <c r="S168">
        <f t="shared" ca="1" si="49"/>
        <v>2.04351513857987</v>
      </c>
      <c r="T168">
        <f t="shared" ca="1" si="50"/>
        <v>67.143255266783115</v>
      </c>
      <c r="U168">
        <f>70</f>
        <v>70</v>
      </c>
      <c r="V168">
        <f>30</f>
        <v>30</v>
      </c>
      <c r="W168">
        <f t="shared" ca="1" si="48"/>
        <v>284.37269346825263</v>
      </c>
      <c r="X168">
        <f t="shared" ca="1" si="58"/>
        <v>277.10844052691982</v>
      </c>
      <c r="Y168">
        <f t="shared" ca="1" si="57"/>
        <v>7.0681674895216702</v>
      </c>
      <c r="Z168">
        <f t="shared" ca="1" si="59"/>
        <v>6.9038474322124923</v>
      </c>
      <c r="AA168">
        <f t="shared" ca="1" si="60"/>
        <v>0.16432005730917787</v>
      </c>
      <c r="AB168">
        <f t="shared" ca="1" si="61"/>
        <v>265.29509999999999</v>
      </c>
    </row>
    <row r="169" spans="1:28" x14ac:dyDescent="0.25">
      <c r="A169" s="21">
        <f t="shared" ca="1" si="41"/>
        <v>45530</v>
      </c>
      <c r="B169" vm="501">
        <f ca="1"/>
        <v>45534</v>
      </c>
      <c r="C169" vm="502">
        <f ca="1"/>
        <v>288.66000000000003</v>
      </c>
      <c r="D169" vm="503">
        <f ca="1"/>
        <v>2528549</v>
      </c>
      <c r="E169">
        <f t="shared" ca="1" si="42"/>
        <v>729890954.34000003</v>
      </c>
      <c r="F169">
        <f ca="1">SUM($E$2:E169)/SUM($D$2:D169)</f>
        <v>273.39033530963923</v>
      </c>
      <c r="G169">
        <f ca="1">_xlfn.STDEV.P($C$2:C169)</f>
        <v>15.297810736129932</v>
      </c>
      <c r="H169">
        <f t="shared" ca="1" si="43"/>
        <v>288.68814604576914</v>
      </c>
      <c r="I169">
        <f t="shared" ca="1" si="44"/>
        <v>258.09252457350931</v>
      </c>
      <c r="J169">
        <f t="shared" ca="1" si="53"/>
        <v>279.73850000000004</v>
      </c>
      <c r="K169">
        <f t="shared" ca="1" si="54"/>
        <v>9.1557127837731649</v>
      </c>
      <c r="L169">
        <f t="shared" ca="1" si="55"/>
        <v>298.04992556754638</v>
      </c>
      <c r="M169">
        <f t="shared" ca="1" si="56"/>
        <v>261.42707443245371</v>
      </c>
      <c r="N169">
        <f t="shared" ca="1" si="45"/>
        <v>0.80000000000001137</v>
      </c>
      <c r="O169">
        <f t="shared" ca="1" si="46"/>
        <v>0.80000000000001137</v>
      </c>
      <c r="P169">
        <f t="shared" ca="1" si="47"/>
        <v>0</v>
      </c>
      <c r="Q169">
        <f t="shared" ca="1" si="51"/>
        <v>1.6173274436377434</v>
      </c>
      <c r="R169">
        <f t="shared" ca="1" si="52"/>
        <v>0.76348080669425689</v>
      </c>
      <c r="S169">
        <f t="shared" ca="1" si="49"/>
        <v>2.1183603169285923</v>
      </c>
      <c r="T169">
        <f t="shared" ca="1" si="50"/>
        <v>67.931864878753231</v>
      </c>
      <c r="U169">
        <f>70</f>
        <v>70</v>
      </c>
      <c r="V169">
        <f>30</f>
        <v>30</v>
      </c>
      <c r="W169">
        <f t="shared" ca="1" si="48"/>
        <v>285.03227908852148</v>
      </c>
      <c r="X169">
        <f t="shared" ca="1" si="58"/>
        <v>277.96411159899981</v>
      </c>
      <c r="Y169">
        <f t="shared" ca="1" si="57"/>
        <v>6.5835060387918816</v>
      </c>
      <c r="Z169">
        <f t="shared" ca="1" si="59"/>
        <v>6.8397791535283705</v>
      </c>
      <c r="AA169">
        <f t="shared" ca="1" si="60"/>
        <v>-0.25627311473648895</v>
      </c>
      <c r="AB169">
        <f t="shared" ca="1" si="61"/>
        <v>265.48729999999995</v>
      </c>
    </row>
    <row r="170" spans="1:28" x14ac:dyDescent="0.25">
      <c r="A170" s="21">
        <f t="shared" ca="1" si="41"/>
        <v>45537</v>
      </c>
      <c r="B170" vm="504">
        <f ca="1"/>
        <v>45538</v>
      </c>
      <c r="C170" vm="505">
        <f ca="1"/>
        <v>285.52</v>
      </c>
      <c r="D170" vm="506">
        <f ca="1"/>
        <v>2902782</v>
      </c>
      <c r="E170">
        <f t="shared" ca="1" si="42"/>
        <v>828802316.63999999</v>
      </c>
      <c r="F170">
        <f ca="1">SUM($E$2:E170)/SUM($D$2:D170)</f>
        <v>273.44959704673352</v>
      </c>
      <c r="G170">
        <f ca="1">_xlfn.STDEV.P($C$2:C170)</f>
        <v>15.273895177195877</v>
      </c>
      <c r="H170">
        <f t="shared" ca="1" si="43"/>
        <v>288.72349222392938</v>
      </c>
      <c r="I170">
        <f t="shared" ca="1" si="44"/>
        <v>258.17570186953765</v>
      </c>
      <c r="J170">
        <f t="shared" ca="1" si="53"/>
        <v>280.59199999999998</v>
      </c>
      <c r="K170">
        <f t="shared" ca="1" si="54"/>
        <v>8.8381372174052721</v>
      </c>
      <c r="L170">
        <f t="shared" ca="1" si="55"/>
        <v>298.26827443481051</v>
      </c>
      <c r="M170">
        <f t="shared" ca="1" si="56"/>
        <v>262.91572556518946</v>
      </c>
      <c r="N170">
        <f t="shared" ca="1" si="45"/>
        <v>-3.1400000000000432</v>
      </c>
      <c r="O170">
        <f t="shared" ca="1" si="46"/>
        <v>0</v>
      </c>
      <c r="P170">
        <f t="shared" ca="1" si="47"/>
        <v>3.1400000000000432</v>
      </c>
      <c r="Q170">
        <f t="shared" ca="1" si="51"/>
        <v>1.5018040548064759</v>
      </c>
      <c r="R170">
        <f t="shared" ca="1" si="52"/>
        <v>0.93323217764467015</v>
      </c>
      <c r="S170">
        <f t="shared" ca="1" si="49"/>
        <v>1.6092501853041448</v>
      </c>
      <c r="T170">
        <f t="shared" ca="1" si="50"/>
        <v>61.67481349116256</v>
      </c>
      <c r="U170">
        <f>70</f>
        <v>70</v>
      </c>
      <c r="V170">
        <f>30</f>
        <v>30</v>
      </c>
      <c r="W170">
        <f t="shared" ca="1" si="48"/>
        <v>285.10731307490278</v>
      </c>
      <c r="X170">
        <f t="shared" ca="1" si="58"/>
        <v>278.5238070361109</v>
      </c>
      <c r="Y170">
        <f t="shared" ca="1" si="57"/>
        <v>6.3289877393449387</v>
      </c>
      <c r="Z170">
        <f t="shared" ca="1" si="59"/>
        <v>6.7376208706916847</v>
      </c>
      <c r="AA170">
        <f t="shared" ca="1" si="60"/>
        <v>-0.40863313134674595</v>
      </c>
      <c r="AB170">
        <f t="shared" ca="1" si="61"/>
        <v>265.65579999999994</v>
      </c>
    </row>
    <row r="171" spans="1:28" x14ac:dyDescent="0.25">
      <c r="A171" s="21">
        <f t="shared" ca="1" si="41"/>
        <v>45537</v>
      </c>
      <c r="B171" vm="507">
        <f ca="1"/>
        <v>45539</v>
      </c>
      <c r="C171" vm="508">
        <f ca="1"/>
        <v>288.02999999999997</v>
      </c>
      <c r="D171" vm="509">
        <f ca="1"/>
        <v>2558502</v>
      </c>
      <c r="E171">
        <f t="shared" ca="1" si="42"/>
        <v>736925331.05999994</v>
      </c>
      <c r="F171">
        <f ca="1">SUM($E$2:E171)/SUM($D$2:D171)</f>
        <v>273.51211435811956</v>
      </c>
      <c r="G171">
        <f ca="1">_xlfn.STDEV.P($C$2:C171)</f>
        <v>15.261262988817171</v>
      </c>
      <c r="H171">
        <f t="shared" ca="1" si="43"/>
        <v>288.77337734693674</v>
      </c>
      <c r="I171">
        <f t="shared" ca="1" si="44"/>
        <v>258.25085136930238</v>
      </c>
      <c r="J171">
        <f t="shared" ca="1" si="53"/>
        <v>281.4905</v>
      </c>
      <c r="K171">
        <f t="shared" ca="1" si="54"/>
        <v>8.6218678370756727</v>
      </c>
      <c r="L171">
        <f t="shared" ca="1" si="55"/>
        <v>298.73423567415136</v>
      </c>
      <c r="M171">
        <f t="shared" ca="1" si="56"/>
        <v>264.24676432584863</v>
      </c>
      <c r="N171">
        <f t="shared" ca="1" si="45"/>
        <v>2.5099999999999909</v>
      </c>
      <c r="O171">
        <f t="shared" ca="1" si="46"/>
        <v>2.5099999999999909</v>
      </c>
      <c r="P171">
        <f t="shared" ca="1" si="47"/>
        <v>0</v>
      </c>
      <c r="Q171">
        <f t="shared" ca="1" si="51"/>
        <v>1.573818050891727</v>
      </c>
      <c r="R171">
        <f t="shared" ca="1" si="52"/>
        <v>0.86657273638433652</v>
      </c>
      <c r="S171">
        <f t="shared" ca="1" si="49"/>
        <v>1.8161407401971597</v>
      </c>
      <c r="T171">
        <f t="shared" ca="1" si="50"/>
        <v>64.490411088971726</v>
      </c>
      <c r="U171">
        <f>70</f>
        <v>70</v>
      </c>
      <c r="V171">
        <f>30</f>
        <v>30</v>
      </c>
      <c r="W171">
        <f t="shared" ca="1" si="48"/>
        <v>285.55695721722543</v>
      </c>
      <c r="X171">
        <f t="shared" ca="1" si="58"/>
        <v>279.22796947788049</v>
      </c>
      <c r="Y171">
        <f t="shared" ca="1" si="57"/>
        <v>6.052667274087753</v>
      </c>
      <c r="Z171">
        <f t="shared" ca="1" si="59"/>
        <v>6.6006301513708987</v>
      </c>
      <c r="AA171">
        <f t="shared" ca="1" si="60"/>
        <v>-0.54796287728314574</v>
      </c>
      <c r="AB171">
        <f t="shared" ca="1" si="61"/>
        <v>265.84989999999993</v>
      </c>
    </row>
    <row r="172" spans="1:28" x14ac:dyDescent="0.25">
      <c r="A172" s="21">
        <f t="shared" ca="1" si="41"/>
        <v>45537</v>
      </c>
      <c r="B172" vm="510">
        <f ca="1"/>
        <v>45540</v>
      </c>
      <c r="C172" vm="511">
        <f ca="1"/>
        <v>287.97000000000003</v>
      </c>
      <c r="D172" vm="512">
        <f ca="1"/>
        <v>2412493</v>
      </c>
      <c r="E172">
        <f t="shared" ca="1" si="42"/>
        <v>694725609.21000004</v>
      </c>
      <c r="F172">
        <f ca="1">SUM($E$2:E172)/SUM($D$2:D172)</f>
        <v>273.57033319304782</v>
      </c>
      <c r="G172">
        <f ca="1">_xlfn.STDEV.P($C$2:C172)</f>
        <v>15.24809741033059</v>
      </c>
      <c r="H172">
        <f t="shared" ca="1" si="43"/>
        <v>288.81843060337843</v>
      </c>
      <c r="I172">
        <f t="shared" ca="1" si="44"/>
        <v>258.3222357827172</v>
      </c>
      <c r="J172">
        <f t="shared" ca="1" si="53"/>
        <v>282.4205</v>
      </c>
      <c r="K172">
        <f t="shared" ca="1" si="54"/>
        <v>8.2403848115306637</v>
      </c>
      <c r="L172">
        <f t="shared" ca="1" si="55"/>
        <v>298.90126962306135</v>
      </c>
      <c r="M172">
        <f t="shared" ca="1" si="56"/>
        <v>265.93973037693866</v>
      </c>
      <c r="N172">
        <f t="shared" ca="1" si="45"/>
        <v>-5.999999999994543E-2</v>
      </c>
      <c r="O172">
        <f t="shared" ca="1" si="46"/>
        <v>0</v>
      </c>
      <c r="P172">
        <f t="shared" ca="1" si="47"/>
        <v>5.999999999994543E-2</v>
      </c>
      <c r="Q172">
        <f t="shared" ca="1" si="51"/>
        <v>1.4614024758280322</v>
      </c>
      <c r="R172">
        <f t="shared" ca="1" si="52"/>
        <v>0.80896039807116582</v>
      </c>
      <c r="S172">
        <f t="shared" ca="1" si="49"/>
        <v>1.8065191810532482</v>
      </c>
      <c r="T172">
        <f t="shared" ca="1" si="50"/>
        <v>64.368673952026455</v>
      </c>
      <c r="U172">
        <f>70</f>
        <v>70</v>
      </c>
      <c r="V172">
        <f>30</f>
        <v>30</v>
      </c>
      <c r="W172">
        <f t="shared" ca="1" si="48"/>
        <v>285.92819456842153</v>
      </c>
      <c r="X172">
        <f t="shared" ca="1" si="58"/>
        <v>279.87552729433378</v>
      </c>
      <c r="Y172">
        <f t="shared" ca="1" si="57"/>
        <v>5.8900496186971623</v>
      </c>
      <c r="Z172">
        <f t="shared" ca="1" si="59"/>
        <v>6.4585140448361518</v>
      </c>
      <c r="AA172">
        <f t="shared" ca="1" si="60"/>
        <v>-0.56846442613898951</v>
      </c>
      <c r="AB172">
        <f t="shared" ca="1" si="61"/>
        <v>266.05569999999989</v>
      </c>
    </row>
    <row r="173" spans="1:28" x14ac:dyDescent="0.25">
      <c r="A173" s="21">
        <f t="shared" ca="1" si="41"/>
        <v>45537</v>
      </c>
      <c r="B173" vm="513">
        <f ca="1"/>
        <v>45541</v>
      </c>
      <c r="C173" vm="514">
        <f ca="1"/>
        <v>289.51</v>
      </c>
      <c r="D173" vm="515">
        <f ca="1"/>
        <v>3863559</v>
      </c>
      <c r="E173">
        <f t="shared" ca="1" si="42"/>
        <v>1118538966.0899999</v>
      </c>
      <c r="F173">
        <f ca="1">SUM($E$2:E173)/SUM($D$2:D173)</f>
        <v>273.67246658508202</v>
      </c>
      <c r="G173">
        <f ca="1">_xlfn.STDEV.P($C$2:C173)</f>
        <v>15.242622834632282</v>
      </c>
      <c r="H173">
        <f t="shared" ca="1" si="43"/>
        <v>288.91508941971432</v>
      </c>
      <c r="I173">
        <f t="shared" ca="1" si="44"/>
        <v>258.42984375044972</v>
      </c>
      <c r="J173">
        <f t="shared" ca="1" si="53"/>
        <v>283.3365</v>
      </c>
      <c r="K173">
        <f t="shared" ca="1" si="54"/>
        <v>7.9390131131347994</v>
      </c>
      <c r="L173">
        <f t="shared" ca="1" si="55"/>
        <v>299.21452622626958</v>
      </c>
      <c r="M173">
        <f t="shared" ca="1" si="56"/>
        <v>267.45847377373042</v>
      </c>
      <c r="N173">
        <f t="shared" ca="1" si="45"/>
        <v>1.5399999999999636</v>
      </c>
      <c r="O173">
        <f t="shared" ca="1" si="46"/>
        <v>1.5399999999999636</v>
      </c>
      <c r="P173">
        <f t="shared" ca="1" si="47"/>
        <v>0</v>
      </c>
      <c r="Q173">
        <f t="shared" ca="1" si="51"/>
        <v>1.4670165846974559</v>
      </c>
      <c r="R173">
        <f t="shared" ca="1" si="52"/>
        <v>0.75117751249465403</v>
      </c>
      <c r="S173">
        <f t="shared" ca="1" si="49"/>
        <v>1.952955939569472</v>
      </c>
      <c r="T173">
        <f t="shared" ca="1" si="50"/>
        <v>66.135627470764234</v>
      </c>
      <c r="U173">
        <f>70</f>
        <v>70</v>
      </c>
      <c r="V173">
        <f>30</f>
        <v>30</v>
      </c>
      <c r="W173">
        <f t="shared" ca="1" si="48"/>
        <v>286.47924155789514</v>
      </c>
      <c r="X173">
        <f t="shared" ca="1" si="58"/>
        <v>280.58919193919797</v>
      </c>
      <c r="Y173">
        <f t="shared" ca="1" si="57"/>
        <v>5.8375138531496304</v>
      </c>
      <c r="Z173">
        <f t="shared" ca="1" si="59"/>
        <v>6.3343140064988477</v>
      </c>
      <c r="AA173">
        <f t="shared" ca="1" si="60"/>
        <v>-0.49680015334921723</v>
      </c>
      <c r="AB173">
        <f t="shared" ca="1" si="61"/>
        <v>266.28849999999989</v>
      </c>
    </row>
    <row r="174" spans="1:28" x14ac:dyDescent="0.25">
      <c r="A174" s="21">
        <f t="shared" ca="1" si="41"/>
        <v>45544</v>
      </c>
      <c r="B174" vm="516">
        <f ca="1"/>
        <v>45544</v>
      </c>
      <c r="C174" vm="517">
        <f ca="1"/>
        <v>291.29000000000002</v>
      </c>
      <c r="D174" vm="518">
        <f ca="1"/>
        <v>3208635</v>
      </c>
      <c r="E174">
        <f t="shared" ca="1" si="42"/>
        <v>934643289.1500001</v>
      </c>
      <c r="F174">
        <f ca="1">SUM($E$2:E174)/SUM($D$2:D174)</f>
        <v>273.76571930025642</v>
      </c>
      <c r="G174">
        <f ca="1">_xlfn.STDEV.P($C$2:C174)</f>
        <v>15.246913230527689</v>
      </c>
      <c r="H174">
        <f t="shared" ca="1" si="43"/>
        <v>289.01263253078412</v>
      </c>
      <c r="I174">
        <f t="shared" ca="1" si="44"/>
        <v>258.51880606972873</v>
      </c>
      <c r="J174">
        <f t="shared" ca="1" si="53"/>
        <v>284.50549999999998</v>
      </c>
      <c r="K174">
        <f t="shared" ca="1" si="54"/>
        <v>7.2383506953914392</v>
      </c>
      <c r="L174">
        <f t="shared" ca="1" si="55"/>
        <v>298.98220139078285</v>
      </c>
      <c r="M174">
        <f t="shared" ca="1" si="56"/>
        <v>270.02879860921712</v>
      </c>
      <c r="N174">
        <f t="shared" ca="1" si="45"/>
        <v>1.7800000000000296</v>
      </c>
      <c r="O174">
        <f t="shared" ca="1" si="46"/>
        <v>1.7800000000000296</v>
      </c>
      <c r="P174">
        <f t="shared" ca="1" si="47"/>
        <v>0</v>
      </c>
      <c r="Q174">
        <f t="shared" ca="1" si="51"/>
        <v>1.489372542933354</v>
      </c>
      <c r="R174">
        <f t="shared" ca="1" si="52"/>
        <v>0.697521975887893</v>
      </c>
      <c r="S174">
        <f t="shared" ca="1" si="49"/>
        <v>2.1352338627575063</v>
      </c>
      <c r="T174">
        <f t="shared" ca="1" si="50"/>
        <v>68.104452689201366</v>
      </c>
      <c r="U174">
        <f>70</f>
        <v>70</v>
      </c>
      <c r="V174">
        <f>30</f>
        <v>30</v>
      </c>
      <c r="W174">
        <f t="shared" ca="1" si="48"/>
        <v>287.21935824129588</v>
      </c>
      <c r="X174">
        <f t="shared" ca="1" si="58"/>
        <v>281.38184438814625</v>
      </c>
      <c r="Y174">
        <f t="shared" ca="1" si="57"/>
        <v>5.7282335370865098</v>
      </c>
      <c r="Z174">
        <f t="shared" ca="1" si="59"/>
        <v>6.2130979126163801</v>
      </c>
      <c r="AA174">
        <f t="shared" ca="1" si="60"/>
        <v>-0.48486437552987027</v>
      </c>
      <c r="AB174">
        <f t="shared" ca="1" si="61"/>
        <v>266.54709999999994</v>
      </c>
    </row>
    <row r="175" spans="1:28" x14ac:dyDescent="0.25">
      <c r="A175" s="21">
        <f t="shared" ca="1" si="41"/>
        <v>45544</v>
      </c>
      <c r="B175" vm="519">
        <f ca="1"/>
        <v>45545</v>
      </c>
      <c r="C175" vm="520">
        <f ca="1"/>
        <v>291.27</v>
      </c>
      <c r="D175" vm="521">
        <f ca="1"/>
        <v>2497109</v>
      </c>
      <c r="E175">
        <f t="shared" ca="1" si="42"/>
        <v>727332938.42999995</v>
      </c>
      <c r="F175">
        <f ca="1">SUM($E$2:E175)/SUM($D$2:D175)</f>
        <v>273.8375305488704</v>
      </c>
      <c r="G175">
        <f ca="1">_xlfn.STDEV.P($C$2:C175)</f>
        <v>15.25048169536986</v>
      </c>
      <c r="H175">
        <f t="shared" ca="1" si="43"/>
        <v>289.08801224424025</v>
      </c>
      <c r="I175">
        <f t="shared" ca="1" si="44"/>
        <v>258.58704885350056</v>
      </c>
      <c r="J175">
        <f t="shared" ca="1" si="53"/>
        <v>285.596</v>
      </c>
      <c r="K175">
        <f t="shared" ca="1" si="54"/>
        <v>6.4526138318636344</v>
      </c>
      <c r="L175">
        <f t="shared" ca="1" si="55"/>
        <v>298.50122766372726</v>
      </c>
      <c r="M175">
        <f t="shared" ca="1" si="56"/>
        <v>272.69077233627274</v>
      </c>
      <c r="N175">
        <f t="shared" ca="1" si="45"/>
        <v>-2.0000000000038654E-2</v>
      </c>
      <c r="O175">
        <f t="shared" ca="1" si="46"/>
        <v>0</v>
      </c>
      <c r="P175">
        <f t="shared" ca="1" si="47"/>
        <v>2.0000000000038654E-2</v>
      </c>
      <c r="Q175">
        <f t="shared" ca="1" si="51"/>
        <v>1.3829887898666857</v>
      </c>
      <c r="R175">
        <f t="shared" ca="1" si="52"/>
        <v>0.64912754903876047</v>
      </c>
      <c r="S175">
        <f t="shared" ca="1" si="49"/>
        <v>2.1305347337586271</v>
      </c>
      <c r="T175">
        <f t="shared" ca="1" si="50"/>
        <v>68.05657547203235</v>
      </c>
      <c r="U175">
        <f>70</f>
        <v>70</v>
      </c>
      <c r="V175">
        <f>30</f>
        <v>30</v>
      </c>
      <c r="W175">
        <f t="shared" ca="1" si="48"/>
        <v>287.84253389648114</v>
      </c>
      <c r="X175">
        <f t="shared" ca="1" si="58"/>
        <v>282.11430035939463</v>
      </c>
      <c r="Y175">
        <f t="shared" ca="1" si="57"/>
        <v>5.4943730782098328</v>
      </c>
      <c r="Z175">
        <f t="shared" ca="1" si="59"/>
        <v>6.069352945735071</v>
      </c>
      <c r="AA175">
        <f t="shared" ca="1" si="60"/>
        <v>-0.57497986752523822</v>
      </c>
      <c r="AB175">
        <f t="shared" ca="1" si="61"/>
        <v>266.76029999999992</v>
      </c>
    </row>
    <row r="176" spans="1:28" x14ac:dyDescent="0.25">
      <c r="A176" s="21">
        <f t="shared" ca="1" si="41"/>
        <v>45544</v>
      </c>
      <c r="B176" vm="522">
        <f ca="1"/>
        <v>45546</v>
      </c>
      <c r="C176" vm="523">
        <f ca="1"/>
        <v>290.23</v>
      </c>
      <c r="D176" vm="524">
        <f ca="1"/>
        <v>2747627</v>
      </c>
      <c r="E176">
        <f t="shared" ca="1" si="42"/>
        <v>797443784.21000004</v>
      </c>
      <c r="F176">
        <f ca="1">SUM($E$2:E176)/SUM($D$2:D176)</f>
        <v>273.91119481088856</v>
      </c>
      <c r="G176">
        <f ca="1">_xlfn.STDEV.P($C$2:C176)</f>
        <v>15.247546141820292</v>
      </c>
      <c r="H176">
        <f t="shared" ca="1" si="43"/>
        <v>289.15874095270885</v>
      </c>
      <c r="I176">
        <f t="shared" ca="1" si="44"/>
        <v>258.66364866906827</v>
      </c>
      <c r="J176">
        <f t="shared" ca="1" si="53"/>
        <v>286.59199999999998</v>
      </c>
      <c r="K176">
        <f t="shared" ca="1" si="54"/>
        <v>5.4244093542159293</v>
      </c>
      <c r="L176">
        <f t="shared" ca="1" si="55"/>
        <v>297.44081870843183</v>
      </c>
      <c r="M176">
        <f t="shared" ca="1" si="56"/>
        <v>275.74318129156813</v>
      </c>
      <c r="N176">
        <f t="shared" ca="1" si="45"/>
        <v>-1.0399999999999636</v>
      </c>
      <c r="O176">
        <f t="shared" ca="1" si="46"/>
        <v>0</v>
      </c>
      <c r="P176">
        <f t="shared" ca="1" si="47"/>
        <v>1.0399999999999636</v>
      </c>
      <c r="Q176">
        <f t="shared" ca="1" si="51"/>
        <v>1.2842038763047796</v>
      </c>
      <c r="R176">
        <f t="shared" ca="1" si="52"/>
        <v>0.67704700982170352</v>
      </c>
      <c r="S176">
        <f t="shared" ca="1" si="49"/>
        <v>1.8967720965830237</v>
      </c>
      <c r="T176">
        <f t="shared" ca="1" si="50"/>
        <v>65.478816881052509</v>
      </c>
      <c r="U176">
        <f>70</f>
        <v>70</v>
      </c>
      <c r="V176">
        <f>30</f>
        <v>30</v>
      </c>
      <c r="W176">
        <f t="shared" ca="1" si="48"/>
        <v>288.20983637394556</v>
      </c>
      <c r="X176">
        <f t="shared" ca="1" si="58"/>
        <v>282.71546329573573</v>
      </c>
      <c r="Y176">
        <f t="shared" ca="1" si="57"/>
        <v>5.4176519428709753</v>
      </c>
      <c r="Z176">
        <f t="shared" ca="1" si="59"/>
        <v>5.9390127451622519</v>
      </c>
      <c r="AA176">
        <f t="shared" ca="1" si="60"/>
        <v>-0.52136080229127657</v>
      </c>
      <c r="AB176">
        <f t="shared" ca="1" si="61"/>
        <v>266.95279999999991</v>
      </c>
    </row>
    <row r="177" spans="1:28" x14ac:dyDescent="0.25">
      <c r="A177" s="21">
        <f t="shared" ca="1" si="41"/>
        <v>45544</v>
      </c>
      <c r="B177" vm="525">
        <f ca="1"/>
        <v>45547</v>
      </c>
      <c r="C177" vm="526">
        <f ca="1"/>
        <v>292.35000000000002</v>
      </c>
      <c r="D177" vm="527">
        <f ca="1"/>
        <v>2274712</v>
      </c>
      <c r="E177">
        <f t="shared" ca="1" si="42"/>
        <v>665012053.20000005</v>
      </c>
      <c r="F177">
        <f ca="1">SUM($E$2:E177)/SUM($D$2:D177)</f>
        <v>273.97953893140925</v>
      </c>
      <c r="G177">
        <f ca="1">_xlfn.STDEV.P($C$2:C177)</f>
        <v>15.256550081944884</v>
      </c>
      <c r="H177">
        <f t="shared" ca="1" si="43"/>
        <v>289.23608901335416</v>
      </c>
      <c r="I177">
        <f t="shared" ca="1" si="44"/>
        <v>258.72298884946434</v>
      </c>
      <c r="J177">
        <f t="shared" ca="1" si="53"/>
        <v>287.65200000000004</v>
      </c>
      <c r="K177">
        <f t="shared" ca="1" si="54"/>
        <v>4.1756645862475699</v>
      </c>
      <c r="L177">
        <f t="shared" ca="1" si="55"/>
        <v>296.00332917249517</v>
      </c>
      <c r="M177">
        <f t="shared" ca="1" si="56"/>
        <v>279.30067082750492</v>
      </c>
      <c r="N177">
        <f t="shared" ca="1" si="45"/>
        <v>2.1200000000000045</v>
      </c>
      <c r="O177">
        <f t="shared" ca="1" si="46"/>
        <v>2.1200000000000045</v>
      </c>
      <c r="P177">
        <f t="shared" ca="1" si="47"/>
        <v>0</v>
      </c>
      <c r="Q177">
        <f t="shared" ca="1" si="51"/>
        <v>1.343903599425867</v>
      </c>
      <c r="R177">
        <f t="shared" ca="1" si="52"/>
        <v>0.62868650912015323</v>
      </c>
      <c r="S177">
        <f t="shared" ca="1" si="49"/>
        <v>2.1376370892810472</v>
      </c>
      <c r="T177">
        <f t="shared" ca="1" si="50"/>
        <v>68.128882609902533</v>
      </c>
      <c r="U177">
        <f>70</f>
        <v>70</v>
      </c>
      <c r="V177">
        <f>30</f>
        <v>30</v>
      </c>
      <c r="W177">
        <f t="shared" ca="1" si="48"/>
        <v>288.84678462410778</v>
      </c>
      <c r="X177">
        <f t="shared" ca="1" si="58"/>
        <v>283.42913268123681</v>
      </c>
      <c r="Y177">
        <f t="shared" ca="1" si="57"/>
        <v>5.6292504614189625</v>
      </c>
      <c r="Z177">
        <f t="shared" ca="1" si="59"/>
        <v>5.8770602884135945</v>
      </c>
      <c r="AA177">
        <f t="shared" ca="1" si="60"/>
        <v>-0.24780982699463205</v>
      </c>
      <c r="AB177">
        <f t="shared" ca="1" si="61"/>
        <v>267.15639999999991</v>
      </c>
    </row>
    <row r="178" spans="1:28" x14ac:dyDescent="0.25">
      <c r="A178" s="21">
        <f t="shared" ca="1" si="41"/>
        <v>45544</v>
      </c>
      <c r="B178" vm="528">
        <f ca="1"/>
        <v>45548</v>
      </c>
      <c r="C178" vm="529">
        <f ca="1"/>
        <v>296.52999999999997</v>
      </c>
      <c r="D178" vm="530">
        <f ca="1"/>
        <v>2205535</v>
      </c>
      <c r="E178">
        <f t="shared" ca="1" si="42"/>
        <v>654007293.54999995</v>
      </c>
      <c r="F178">
        <f ca="1">SUM($E$2:E178)/SUM($D$2:D178)</f>
        <v>274.06029094634437</v>
      </c>
      <c r="G178">
        <f ca="1">_xlfn.STDEV.P($C$2:C178)</f>
        <v>15.293753468167106</v>
      </c>
      <c r="H178">
        <f t="shared" ca="1" si="43"/>
        <v>289.35404441451146</v>
      </c>
      <c r="I178">
        <f t="shared" ca="1" si="44"/>
        <v>258.76653747817727</v>
      </c>
      <c r="J178">
        <f t="shared" ca="1" si="53"/>
        <v>288.73500000000001</v>
      </c>
      <c r="K178">
        <f t="shared" ca="1" si="54"/>
        <v>3.427972394410737</v>
      </c>
      <c r="L178">
        <f t="shared" ca="1" si="55"/>
        <v>295.5909447888215</v>
      </c>
      <c r="M178">
        <f t="shared" ca="1" si="56"/>
        <v>281.87905521117852</v>
      </c>
      <c r="N178">
        <f t="shared" ca="1" si="45"/>
        <v>4.17999999999995</v>
      </c>
      <c r="O178">
        <f t="shared" ca="1" si="46"/>
        <v>4.17999999999995</v>
      </c>
      <c r="P178">
        <f t="shared" ca="1" si="47"/>
        <v>0</v>
      </c>
      <c r="Q178">
        <f t="shared" ca="1" si="51"/>
        <v>1.5464819137525871</v>
      </c>
      <c r="R178">
        <f t="shared" ca="1" si="52"/>
        <v>0.58378032989728523</v>
      </c>
      <c r="S178">
        <f t="shared" ca="1" si="49"/>
        <v>2.6490819141245936</v>
      </c>
      <c r="T178">
        <f t="shared" ca="1" si="50"/>
        <v>72.595846749033655</v>
      </c>
      <c r="U178">
        <f>70</f>
        <v>70</v>
      </c>
      <c r="V178">
        <f>30</f>
        <v>30</v>
      </c>
      <c r="W178">
        <f t="shared" ca="1" si="48"/>
        <v>290.02881775886044</v>
      </c>
      <c r="X178">
        <f t="shared" ca="1" si="58"/>
        <v>284.39956729744148</v>
      </c>
      <c r="Y178">
        <f t="shared" ca="1" si="57"/>
        <v>5.7436453068748392</v>
      </c>
      <c r="Z178">
        <f t="shared" ca="1" si="59"/>
        <v>5.8503772921058435</v>
      </c>
      <c r="AA178">
        <f t="shared" ca="1" si="60"/>
        <v>-0.10673198523100424</v>
      </c>
      <c r="AB178">
        <f t="shared" ca="1" si="61"/>
        <v>267.36589999999995</v>
      </c>
    </row>
    <row r="179" spans="1:28" x14ac:dyDescent="0.25">
      <c r="A179" s="21">
        <f t="shared" ca="1" si="41"/>
        <v>45551</v>
      </c>
      <c r="B179" vm="531">
        <f ca="1"/>
        <v>45551</v>
      </c>
      <c r="C179" vm="532">
        <f ca="1"/>
        <v>296.69</v>
      </c>
      <c r="D179" vm="533">
        <f ca="1"/>
        <v>2916205</v>
      </c>
      <c r="E179">
        <f t="shared" ca="1" si="42"/>
        <v>865208861.45000005</v>
      </c>
      <c r="F179">
        <f ca="1">SUM($E$2:E179)/SUM($D$2:D179)</f>
        <v>274.16693326072607</v>
      </c>
      <c r="G179">
        <f ca="1">_xlfn.STDEV.P($C$2:C179)</f>
        <v>15.33077246572754</v>
      </c>
      <c r="H179">
        <f t="shared" ca="1" si="43"/>
        <v>289.4977057264536</v>
      </c>
      <c r="I179">
        <f t="shared" ca="1" si="44"/>
        <v>258.83616079499853</v>
      </c>
      <c r="J179">
        <f t="shared" ca="1" si="53"/>
        <v>289.64499999999998</v>
      </c>
      <c r="K179">
        <f t="shared" ca="1" si="54"/>
        <v>2.9471565243378834</v>
      </c>
      <c r="L179">
        <f t="shared" ca="1" si="55"/>
        <v>295.53931304867575</v>
      </c>
      <c r="M179">
        <f t="shared" ca="1" si="56"/>
        <v>283.75068695132421</v>
      </c>
      <c r="N179">
        <f t="shared" ca="1" si="45"/>
        <v>0.16000000000002501</v>
      </c>
      <c r="O179">
        <f t="shared" ca="1" si="46"/>
        <v>0.16000000000002501</v>
      </c>
      <c r="P179">
        <f t="shared" ca="1" si="47"/>
        <v>0</v>
      </c>
      <c r="Q179">
        <f t="shared" ca="1" si="51"/>
        <v>1.4474474913416897</v>
      </c>
      <c r="R179">
        <f t="shared" ca="1" si="52"/>
        <v>0.54208173490462197</v>
      </c>
      <c r="S179">
        <f t="shared" ca="1" si="49"/>
        <v>2.6701646599407463</v>
      </c>
      <c r="T179">
        <f t="shared" ca="1" si="50"/>
        <v>72.753266061470256</v>
      </c>
      <c r="U179">
        <f>70</f>
        <v>70</v>
      </c>
      <c r="V179">
        <f>30</f>
        <v>30</v>
      </c>
      <c r="W179">
        <f t="shared" ca="1" si="48"/>
        <v>291.0536150267281</v>
      </c>
      <c r="X179">
        <f t="shared" ca="1" si="58"/>
        <v>285.30996971985326</v>
      </c>
      <c r="Y179">
        <f t="shared" ca="1" si="57"/>
        <v>5.5332863361422824</v>
      </c>
      <c r="Z179">
        <f t="shared" ca="1" si="59"/>
        <v>5.7869591009131316</v>
      </c>
      <c r="AA179">
        <f t="shared" ca="1" si="60"/>
        <v>-0.25367276477084921</v>
      </c>
      <c r="AB179">
        <f t="shared" ca="1" si="61"/>
        <v>267.56399999999996</v>
      </c>
    </row>
    <row r="180" spans="1:28" x14ac:dyDescent="0.25">
      <c r="A180" s="21">
        <f t="shared" ca="1" si="41"/>
        <v>45551</v>
      </c>
      <c r="B180" vm="534">
        <f ca="1"/>
        <v>45552</v>
      </c>
      <c r="C180" vm="535">
        <f ca="1"/>
        <v>293.75</v>
      </c>
      <c r="D180" vm="536">
        <f ca="1"/>
        <v>2997493</v>
      </c>
      <c r="E180">
        <f t="shared" ca="1" si="42"/>
        <v>880513568.75</v>
      </c>
      <c r="F180">
        <f ca="1">SUM($E$2:E180)/SUM($D$2:D180)</f>
        <v>274.26133344535367</v>
      </c>
      <c r="G180">
        <f ca="1">_xlfn.STDEV.P($C$2:C180)</f>
        <v>15.345830264311065</v>
      </c>
      <c r="H180">
        <f t="shared" ca="1" si="43"/>
        <v>289.60716370966475</v>
      </c>
      <c r="I180">
        <f t="shared" ca="1" si="44"/>
        <v>258.9155031810426</v>
      </c>
      <c r="J180">
        <f t="shared" ca="1" si="53"/>
        <v>289.95499999999993</v>
      </c>
      <c r="K180">
        <f t="shared" ca="1" si="54"/>
        <v>3.0398138793440332</v>
      </c>
      <c r="L180">
        <f t="shared" ca="1" si="55"/>
        <v>296.03462775868798</v>
      </c>
      <c r="M180">
        <f t="shared" ca="1" si="56"/>
        <v>283.87537224131188</v>
      </c>
      <c r="N180">
        <f t="shared" ca="1" si="45"/>
        <v>-2.9399999999999977</v>
      </c>
      <c r="O180">
        <f t="shared" ca="1" si="46"/>
        <v>0</v>
      </c>
      <c r="P180">
        <f t="shared" ca="1" si="47"/>
        <v>2.9399999999999977</v>
      </c>
      <c r="Q180">
        <f t="shared" ca="1" si="51"/>
        <v>1.3440583848172831</v>
      </c>
      <c r="R180">
        <f t="shared" ca="1" si="52"/>
        <v>0.7133616109828631</v>
      </c>
      <c r="S180">
        <f t="shared" ca="1" si="49"/>
        <v>1.8841193079698413</v>
      </c>
      <c r="T180">
        <f t="shared" ca="1" si="50"/>
        <v>65.327370569010569</v>
      </c>
      <c r="U180">
        <f>70</f>
        <v>70</v>
      </c>
      <c r="V180">
        <f>30</f>
        <v>30</v>
      </c>
      <c r="W180">
        <f t="shared" ca="1" si="48"/>
        <v>291.46844348415453</v>
      </c>
      <c r="X180">
        <f t="shared" ca="1" si="58"/>
        <v>285.93515714801225</v>
      </c>
      <c r="Y180">
        <f t="shared" ca="1" si="57"/>
        <v>5.168209805384322</v>
      </c>
      <c r="Z180">
        <f t="shared" ca="1" si="59"/>
        <v>5.6632092418073698</v>
      </c>
      <c r="AA180">
        <f t="shared" ca="1" si="60"/>
        <v>-0.49499943642304789</v>
      </c>
      <c r="AB180">
        <f t="shared" ca="1" si="61"/>
        <v>267.73399999999992</v>
      </c>
    </row>
    <row r="181" spans="1:28" x14ac:dyDescent="0.25">
      <c r="A181" s="21">
        <f t="shared" ca="1" si="41"/>
        <v>45551</v>
      </c>
      <c r="B181" vm="537">
        <f ca="1"/>
        <v>45553</v>
      </c>
      <c r="C181" vm="538">
        <f ca="1"/>
        <v>292.02999999999997</v>
      </c>
      <c r="D181" vm="539">
        <f ca="1"/>
        <v>1788384</v>
      </c>
      <c r="E181">
        <f t="shared" ca="1" si="42"/>
        <v>522261779.51999998</v>
      </c>
      <c r="F181">
        <f ca="1">SUM($E$2:E181)/SUM($D$2:D181)</f>
        <v>274.31229026566194</v>
      </c>
      <c r="G181">
        <f ca="1">_xlfn.STDEV.P($C$2:C181)</f>
        <v>15.349600002831133</v>
      </c>
      <c r="H181">
        <f t="shared" ca="1" si="43"/>
        <v>289.6618902684931</v>
      </c>
      <c r="I181">
        <f t="shared" ca="1" si="44"/>
        <v>258.96269026283079</v>
      </c>
      <c r="J181">
        <f t="shared" ca="1" si="53"/>
        <v>290.27499999999998</v>
      </c>
      <c r="K181">
        <f t="shared" ca="1" si="54"/>
        <v>2.8939219427148166</v>
      </c>
      <c r="L181">
        <f t="shared" ca="1" si="55"/>
        <v>296.06284388542963</v>
      </c>
      <c r="M181">
        <f t="shared" ca="1" si="56"/>
        <v>284.48715611457033</v>
      </c>
      <c r="N181">
        <f t="shared" ca="1" si="45"/>
        <v>-1.7200000000000273</v>
      </c>
      <c r="O181">
        <f t="shared" ca="1" si="46"/>
        <v>0</v>
      </c>
      <c r="P181">
        <f t="shared" ca="1" si="47"/>
        <v>1.7200000000000273</v>
      </c>
      <c r="Q181">
        <f t="shared" ca="1" si="51"/>
        <v>1.2480542144731914</v>
      </c>
      <c r="R181">
        <f t="shared" ca="1" si="52"/>
        <v>0.78526435305551767</v>
      </c>
      <c r="S181">
        <f t="shared" ca="1" si="49"/>
        <v>1.58934276032896</v>
      </c>
      <c r="T181">
        <f t="shared" ca="1" si="50"/>
        <v>61.380161200715037</v>
      </c>
      <c r="U181">
        <f>70</f>
        <v>70</v>
      </c>
      <c r="V181">
        <f>30</f>
        <v>30</v>
      </c>
      <c r="W181">
        <f t="shared" ca="1" si="48"/>
        <v>291.5548367942846</v>
      </c>
      <c r="X181">
        <f t="shared" ca="1" si="58"/>
        <v>286.38662698890028</v>
      </c>
      <c r="Y181">
        <f t="shared" ca="1" si="57"/>
        <v>4.9684693917662344</v>
      </c>
      <c r="Z181">
        <f t="shared" ca="1" si="59"/>
        <v>5.5242612717991424</v>
      </c>
      <c r="AA181">
        <f t="shared" ca="1" si="60"/>
        <v>-0.55579188003290803</v>
      </c>
      <c r="AB181">
        <f t="shared" ca="1" si="61"/>
        <v>267.89829999999995</v>
      </c>
    </row>
    <row r="182" spans="1:28" x14ac:dyDescent="0.25">
      <c r="A182" s="21">
        <f t="shared" ca="1" si="41"/>
        <v>45551</v>
      </c>
      <c r="B182" vm="540">
        <f ca="1"/>
        <v>45554</v>
      </c>
      <c r="C182" vm="541">
        <f ca="1"/>
        <v>293.85000000000002</v>
      </c>
      <c r="D182" vm="542">
        <f ca="1"/>
        <v>2271388</v>
      </c>
      <c r="E182">
        <f t="shared" ca="1" si="42"/>
        <v>667447363.80000007</v>
      </c>
      <c r="F182">
        <f ca="1">SUM($E$2:E182)/SUM($D$2:D182)</f>
        <v>274.3831945898205</v>
      </c>
      <c r="G182">
        <f ca="1">_xlfn.STDEV.P($C$2:C182)</f>
        <v>15.363805132218294</v>
      </c>
      <c r="H182">
        <f t="shared" ca="1" si="43"/>
        <v>289.74699972203882</v>
      </c>
      <c r="I182">
        <f t="shared" ca="1" si="44"/>
        <v>259.01938945760219</v>
      </c>
      <c r="J182">
        <f t="shared" ca="1" si="53"/>
        <v>290.48200000000003</v>
      </c>
      <c r="K182">
        <f t="shared" ca="1" si="54"/>
        <v>2.9975895579439706</v>
      </c>
      <c r="L182">
        <f t="shared" ca="1" si="55"/>
        <v>296.47717911588796</v>
      </c>
      <c r="M182">
        <f t="shared" ca="1" si="56"/>
        <v>284.48682088411209</v>
      </c>
      <c r="N182">
        <f t="shared" ca="1" si="45"/>
        <v>1.82000000000005</v>
      </c>
      <c r="O182">
        <f t="shared" ca="1" si="46"/>
        <v>1.82000000000005</v>
      </c>
      <c r="P182">
        <f t="shared" ca="1" si="47"/>
        <v>0</v>
      </c>
      <c r="Q182">
        <f t="shared" ca="1" si="51"/>
        <v>1.2889074848679669</v>
      </c>
      <c r="R182">
        <f t="shared" ca="1" si="52"/>
        <v>0.72917404212298076</v>
      </c>
      <c r="S182">
        <f t="shared" ca="1" si="49"/>
        <v>1.7676266712886948</v>
      </c>
      <c r="T182">
        <f t="shared" ca="1" si="50"/>
        <v>63.86795912996574</v>
      </c>
      <c r="U182">
        <f>70</f>
        <v>70</v>
      </c>
      <c r="V182">
        <f>30</f>
        <v>30</v>
      </c>
      <c r="W182">
        <f t="shared" ca="1" si="48"/>
        <v>291.90793882593312</v>
      </c>
      <c r="X182">
        <f t="shared" ca="1" si="58"/>
        <v>286.93946943416688</v>
      </c>
      <c r="Y182">
        <f t="shared" ca="1" si="57"/>
        <v>4.9930776786264914</v>
      </c>
      <c r="Z182">
        <f t="shared" ca="1" si="59"/>
        <v>5.4180245531646118</v>
      </c>
      <c r="AA182">
        <f t="shared" ca="1" si="60"/>
        <v>-0.42494687453812041</v>
      </c>
      <c r="AB182">
        <f t="shared" ca="1" si="61"/>
        <v>268.10589999999991</v>
      </c>
    </row>
    <row r="183" spans="1:28" x14ac:dyDescent="0.25">
      <c r="A183" s="21">
        <f t="shared" ca="1" si="41"/>
        <v>45551</v>
      </c>
      <c r="B183" vm="543">
        <f ca="1"/>
        <v>45555</v>
      </c>
      <c r="C183" vm="544">
        <f ca="1"/>
        <v>296.83</v>
      </c>
      <c r="D183" vm="545">
        <f ca="1"/>
        <v>5817302</v>
      </c>
      <c r="E183">
        <f t="shared" ca="1" si="42"/>
        <v>1726749752.6599998</v>
      </c>
      <c r="F183">
        <f ca="1">SUM($E$2:E183)/SUM($D$2:D183)</f>
        <v>274.58990671718789</v>
      </c>
      <c r="G183">
        <f ca="1">_xlfn.STDEV.P($C$2:C183)</f>
        <v>15.397518006666139</v>
      </c>
      <c r="H183">
        <f t="shared" ca="1" si="43"/>
        <v>289.98742472385402</v>
      </c>
      <c r="I183">
        <f t="shared" ca="1" si="44"/>
        <v>259.19238871052175</v>
      </c>
      <c r="J183">
        <f t="shared" ca="1" si="53"/>
        <v>290.863</v>
      </c>
      <c r="K183">
        <f t="shared" ca="1" si="54"/>
        <v>3.2967385797417834</v>
      </c>
      <c r="L183">
        <f t="shared" ca="1" si="55"/>
        <v>297.45647715948354</v>
      </c>
      <c r="M183">
        <f t="shared" ca="1" si="56"/>
        <v>284.26952284051646</v>
      </c>
      <c r="N183">
        <f t="shared" ca="1" si="45"/>
        <v>2.9799999999999613</v>
      </c>
      <c r="O183">
        <f t="shared" ca="1" si="46"/>
        <v>2.9799999999999613</v>
      </c>
      <c r="P183">
        <f t="shared" ca="1" si="47"/>
        <v>0</v>
      </c>
      <c r="Q183">
        <f t="shared" ca="1" si="51"/>
        <v>1.409699807377395</v>
      </c>
      <c r="R183">
        <f t="shared" ca="1" si="52"/>
        <v>0.6770901819713393</v>
      </c>
      <c r="S183">
        <f t="shared" ca="1" si="49"/>
        <v>2.0819971178330667</v>
      </c>
      <c r="T183">
        <f t="shared" ca="1" si="50"/>
        <v>67.553506321800398</v>
      </c>
      <c r="U183">
        <f>70</f>
        <v>70</v>
      </c>
      <c r="V183">
        <f>30</f>
        <v>30</v>
      </c>
      <c r="W183">
        <f t="shared" ca="1" si="48"/>
        <v>292.66517900655879</v>
      </c>
      <c r="X183">
        <f t="shared" ca="1" si="58"/>
        <v>287.6721013279323</v>
      </c>
      <c r="Y183">
        <f t="shared" ca="1" si="57"/>
        <v>5.1333482432192454</v>
      </c>
      <c r="Z183">
        <f t="shared" ca="1" si="59"/>
        <v>5.3610892911755386</v>
      </c>
      <c r="AA183">
        <f t="shared" ca="1" si="60"/>
        <v>-0.22774104795629313</v>
      </c>
      <c r="AB183">
        <f t="shared" ca="1" si="61"/>
        <v>268.33869999999996</v>
      </c>
    </row>
    <row r="184" spans="1:28" x14ac:dyDescent="0.25">
      <c r="A184" s="21">
        <f t="shared" ca="1" si="41"/>
        <v>45558</v>
      </c>
      <c r="B184" vm="546">
        <f ca="1"/>
        <v>45558</v>
      </c>
      <c r="C184" vm="547">
        <f ca="1"/>
        <v>299.06</v>
      </c>
      <c r="D184" vm="548">
        <f ca="1"/>
        <v>2312365</v>
      </c>
      <c r="E184">
        <f t="shared" ca="1" si="42"/>
        <v>691535876.89999998</v>
      </c>
      <c r="F184">
        <f ca="1">SUM($E$2:E184)/SUM($D$2:D184)</f>
        <v>274.67915399188092</v>
      </c>
      <c r="G184">
        <f ca="1">_xlfn.STDEV.P($C$2:C184)</f>
        <v>15.446977898303905</v>
      </c>
      <c r="H184">
        <f t="shared" ca="1" si="43"/>
        <v>290.12613189018481</v>
      </c>
      <c r="I184">
        <f t="shared" ca="1" si="44"/>
        <v>259.23217609357704</v>
      </c>
      <c r="J184">
        <f t="shared" ca="1" si="53"/>
        <v>291.34000000000003</v>
      </c>
      <c r="K184">
        <f t="shared" ca="1" si="54"/>
        <v>3.7510545885544997</v>
      </c>
      <c r="L184">
        <f t="shared" ca="1" si="55"/>
        <v>298.84210917710902</v>
      </c>
      <c r="M184">
        <f t="shared" ca="1" si="56"/>
        <v>283.83789082289104</v>
      </c>
      <c r="N184">
        <f t="shared" ca="1" si="45"/>
        <v>2.2300000000000182</v>
      </c>
      <c r="O184">
        <f t="shared" ca="1" si="46"/>
        <v>2.2300000000000182</v>
      </c>
      <c r="P184">
        <f t="shared" ca="1" si="47"/>
        <v>0</v>
      </c>
      <c r="Q184">
        <f t="shared" ca="1" si="51"/>
        <v>1.4682926782790109</v>
      </c>
      <c r="R184">
        <f t="shared" ca="1" si="52"/>
        <v>0.62872659754481508</v>
      </c>
      <c r="S184">
        <f t="shared" ca="1" si="49"/>
        <v>2.3353436676811694</v>
      </c>
      <c r="T184">
        <f t="shared" ca="1" si="50"/>
        <v>70.018082103808212</v>
      </c>
      <c r="U184">
        <f>70</f>
        <v>70</v>
      </c>
      <c r="V184">
        <f>30</f>
        <v>30</v>
      </c>
      <c r="W184">
        <f t="shared" ca="1" si="48"/>
        <v>293.64899762093438</v>
      </c>
      <c r="X184">
        <f t="shared" ca="1" si="58"/>
        <v>288.51564937771514</v>
      </c>
      <c r="Y184">
        <f t="shared" ca="1" si="57"/>
        <v>5.2812713551569459</v>
      </c>
      <c r="Z184">
        <f t="shared" ca="1" si="59"/>
        <v>5.3451257039718207</v>
      </c>
      <c r="AA184">
        <f t="shared" ca="1" si="60"/>
        <v>-6.3854348814874839E-2</v>
      </c>
      <c r="AB184">
        <f t="shared" ca="1" si="61"/>
        <v>268.59889999999996</v>
      </c>
    </row>
    <row r="185" spans="1:28" x14ac:dyDescent="0.25">
      <c r="A185" s="21">
        <f t="shared" ca="1" si="41"/>
        <v>45558</v>
      </c>
      <c r="B185" vm="549">
        <f ca="1"/>
        <v>45559</v>
      </c>
      <c r="C185" vm="550">
        <f ca="1"/>
        <v>300.27</v>
      </c>
      <c r="D185" vm="551">
        <f ca="1"/>
        <v>2408175</v>
      </c>
      <c r="E185">
        <f t="shared" ca="1" si="42"/>
        <v>723102707.25</v>
      </c>
      <c r="F185">
        <f ca="1">SUM($E$2:E185)/SUM($D$2:D185)</f>
        <v>274.77598828253468</v>
      </c>
      <c r="G185">
        <f ca="1">_xlfn.STDEV.P($C$2:C185)</f>
        <v>15.504577524630369</v>
      </c>
      <c r="H185">
        <f t="shared" ca="1" si="43"/>
        <v>290.28056580716503</v>
      </c>
      <c r="I185">
        <f t="shared" ca="1" si="44"/>
        <v>259.27141075790433</v>
      </c>
      <c r="J185">
        <f t="shared" ca="1" si="53"/>
        <v>291.91950000000008</v>
      </c>
      <c r="K185">
        <f t="shared" ca="1" si="54"/>
        <v>4.188271185861268</v>
      </c>
      <c r="L185">
        <f t="shared" ca="1" si="55"/>
        <v>300.29604237172259</v>
      </c>
      <c r="M185">
        <f t="shared" ca="1" si="56"/>
        <v>283.54295762827758</v>
      </c>
      <c r="N185">
        <f t="shared" ca="1" si="45"/>
        <v>1.2099999999999795</v>
      </c>
      <c r="O185">
        <f t="shared" ca="1" si="46"/>
        <v>1.2099999999999795</v>
      </c>
      <c r="P185">
        <f t="shared" ca="1" si="47"/>
        <v>0</v>
      </c>
      <c r="Q185">
        <f t="shared" ca="1" si="51"/>
        <v>1.4498432012590801</v>
      </c>
      <c r="R185">
        <f t="shared" ca="1" si="52"/>
        <v>0.58381755486304254</v>
      </c>
      <c r="S185">
        <f t="shared" ca="1" si="49"/>
        <v>2.4833840455503227</v>
      </c>
      <c r="T185">
        <f t="shared" ca="1" si="50"/>
        <v>71.292283970887425</v>
      </c>
      <c r="U185">
        <f>70</f>
        <v>70</v>
      </c>
      <c r="V185">
        <f>30</f>
        <v>30</v>
      </c>
      <c r="W185">
        <f t="shared" ca="1" si="48"/>
        <v>294.66761337155987</v>
      </c>
      <c r="X185">
        <f t="shared" ca="1" si="58"/>
        <v>289.38634201640292</v>
      </c>
      <c r="Y185">
        <f t="shared" ca="1" si="57"/>
        <v>5.352934518582174</v>
      </c>
      <c r="Z185">
        <f t="shared" ca="1" si="59"/>
        <v>5.3466874668938917</v>
      </c>
      <c r="AA185">
        <f t="shared" ca="1" si="60"/>
        <v>6.2470516882822125E-3</v>
      </c>
      <c r="AB185">
        <f t="shared" ca="1" si="61"/>
        <v>268.85729999999995</v>
      </c>
    </row>
    <row r="186" spans="1:28" x14ac:dyDescent="0.25">
      <c r="A186" s="21">
        <f t="shared" ca="1" si="41"/>
        <v>45558</v>
      </c>
      <c r="B186" vm="552">
        <f ca="1"/>
        <v>45560</v>
      </c>
      <c r="C186" vm="553">
        <f ca="1"/>
        <v>300.47000000000003</v>
      </c>
      <c r="D186" vm="554">
        <f ca="1"/>
        <v>1986241</v>
      </c>
      <c r="E186">
        <f t="shared" ca="1" si="42"/>
        <v>596805833.2700001</v>
      </c>
      <c r="F186">
        <f ca="1">SUM($E$2:E186)/SUM($D$2:D186)</f>
        <v>274.85592881616878</v>
      </c>
      <c r="G186">
        <f ca="1">_xlfn.STDEV.P($C$2:C186)</f>
        <v>15.561927970225113</v>
      </c>
      <c r="H186">
        <f t="shared" ca="1" si="43"/>
        <v>290.41785678639388</v>
      </c>
      <c r="I186">
        <f t="shared" ca="1" si="44"/>
        <v>259.29400084594369</v>
      </c>
      <c r="J186">
        <f t="shared" ca="1" si="53"/>
        <v>292.46100000000013</v>
      </c>
      <c r="K186">
        <f t="shared" ca="1" si="54"/>
        <v>4.5615162529926137</v>
      </c>
      <c r="L186">
        <f t="shared" ca="1" si="55"/>
        <v>301.58403250598536</v>
      </c>
      <c r="M186">
        <f t="shared" ca="1" si="56"/>
        <v>283.33796749401489</v>
      </c>
      <c r="N186">
        <f t="shared" ca="1" si="45"/>
        <v>0.20000000000004547</v>
      </c>
      <c r="O186">
        <f t="shared" ca="1" si="46"/>
        <v>0.20000000000004547</v>
      </c>
      <c r="P186">
        <f t="shared" ca="1" si="47"/>
        <v>0</v>
      </c>
      <c r="Q186">
        <f t="shared" ca="1" si="51"/>
        <v>1.3605686868834346</v>
      </c>
      <c r="R186">
        <f t="shared" ca="1" si="52"/>
        <v>0.54211630094425378</v>
      </c>
      <c r="S186">
        <f t="shared" ca="1" si="49"/>
        <v>2.5097357974914369</v>
      </c>
      <c r="T186">
        <f t="shared" ca="1" si="50"/>
        <v>71.507826865066477</v>
      </c>
      <c r="U186">
        <f>70</f>
        <v>70</v>
      </c>
      <c r="V186">
        <f>30</f>
        <v>30</v>
      </c>
      <c r="W186">
        <f t="shared" ca="1" si="48"/>
        <v>295.56028823747374</v>
      </c>
      <c r="X186">
        <f t="shared" ca="1" si="58"/>
        <v>290.20735371889157</v>
      </c>
      <c r="Y186">
        <f t="shared" ca="1" si="57"/>
        <v>5.60175398259247</v>
      </c>
      <c r="Z186">
        <f t="shared" ca="1" si="59"/>
        <v>5.3977007700336079</v>
      </c>
      <c r="AA186">
        <f t="shared" ca="1" si="60"/>
        <v>0.20405321255886211</v>
      </c>
      <c r="AB186">
        <f t="shared" ca="1" si="61"/>
        <v>269.12919999999997</v>
      </c>
    </row>
    <row r="187" spans="1:28" x14ac:dyDescent="0.25">
      <c r="A187" s="21">
        <f t="shared" ca="1" si="41"/>
        <v>45558</v>
      </c>
      <c r="B187" vm="555">
        <f ca="1"/>
        <v>45561</v>
      </c>
      <c r="C187" vm="556">
        <f ca="1"/>
        <v>303.64999999999998</v>
      </c>
      <c r="D187" vm="557">
        <f ca="1"/>
        <v>1971134</v>
      </c>
      <c r="E187">
        <f t="shared" ca="1" si="42"/>
        <v>598534839.0999999</v>
      </c>
      <c r="F187">
        <f ca="1">SUM($E$2:E187)/SUM($D$2:D187)</f>
        <v>274.9445593876053</v>
      </c>
      <c r="G187">
        <f ca="1">_xlfn.STDEV.P($C$2:C187)</f>
        <v>15.64503182160154</v>
      </c>
      <c r="H187">
        <f t="shared" ca="1" si="43"/>
        <v>290.58959120920684</v>
      </c>
      <c r="I187">
        <f t="shared" ca="1" si="44"/>
        <v>259.29952756600375</v>
      </c>
      <c r="J187">
        <f t="shared" ca="1" si="53"/>
        <v>293.29100000000005</v>
      </c>
      <c r="K187">
        <f t="shared" ca="1" si="54"/>
        <v>5.0130250348467209</v>
      </c>
      <c r="L187">
        <f t="shared" ca="1" si="55"/>
        <v>303.31705006969349</v>
      </c>
      <c r="M187">
        <f t="shared" ca="1" si="56"/>
        <v>283.26494993030661</v>
      </c>
      <c r="N187">
        <f t="shared" ca="1" si="45"/>
        <v>3.17999999999995</v>
      </c>
      <c r="O187">
        <f t="shared" ca="1" si="46"/>
        <v>3.17999999999995</v>
      </c>
      <c r="P187">
        <f t="shared" ca="1" si="47"/>
        <v>0</v>
      </c>
      <c r="Q187">
        <f t="shared" ca="1" si="51"/>
        <v>1.4905280663917571</v>
      </c>
      <c r="R187">
        <f t="shared" ca="1" si="52"/>
        <v>0.50339370801966421</v>
      </c>
      <c r="S187">
        <f t="shared" ca="1" si="49"/>
        <v>2.9609588730368719</v>
      </c>
      <c r="T187">
        <f t="shared" ca="1" si="50"/>
        <v>74.753587905008999</v>
      </c>
      <c r="U187">
        <f>70</f>
        <v>70</v>
      </c>
      <c r="V187">
        <f>30</f>
        <v>30</v>
      </c>
      <c r="W187">
        <f t="shared" ca="1" si="48"/>
        <v>296.80485927786242</v>
      </c>
      <c r="X187">
        <f t="shared" ca="1" si="58"/>
        <v>291.20310529526995</v>
      </c>
      <c r="Y187">
        <f t="shared" ca="1" si="57"/>
        <v>5.7360512380695354</v>
      </c>
      <c r="Z187">
        <f t="shared" ca="1" si="59"/>
        <v>5.4653708636407936</v>
      </c>
      <c r="AA187">
        <f t="shared" ca="1" si="60"/>
        <v>0.27068037442874182</v>
      </c>
      <c r="AB187">
        <f t="shared" ca="1" si="61"/>
        <v>269.46249999999998</v>
      </c>
    </row>
    <row r="188" spans="1:28" x14ac:dyDescent="0.25">
      <c r="A188" s="21">
        <f t="shared" ca="1" si="41"/>
        <v>45558</v>
      </c>
      <c r="B188" vm="558">
        <f ca="1"/>
        <v>45562</v>
      </c>
      <c r="C188" vm="559">
        <f ca="1"/>
        <v>303.69</v>
      </c>
      <c r="D188" vm="560">
        <f ca="1"/>
        <v>3402999</v>
      </c>
      <c r="E188">
        <f t="shared" ca="1" si="42"/>
        <v>1033456766.3099999</v>
      </c>
      <c r="F188">
        <f ca="1">SUM($E$2:E188)/SUM($D$2:D188)</f>
        <v>275.09650681896153</v>
      </c>
      <c r="G188">
        <f ca="1">_xlfn.STDEV.P($C$2:C188)</f>
        <v>15.725860682619464</v>
      </c>
      <c r="H188">
        <f t="shared" ca="1" si="43"/>
        <v>290.82236750158097</v>
      </c>
      <c r="I188">
        <f t="shared" ca="1" si="44"/>
        <v>259.37064613634209</v>
      </c>
      <c r="J188">
        <f t="shared" ca="1" si="53"/>
        <v>294.08249999999998</v>
      </c>
      <c r="K188">
        <f t="shared" ca="1" si="54"/>
        <v>5.3488413649470292</v>
      </c>
      <c r="L188">
        <f t="shared" ca="1" si="55"/>
        <v>304.78018272989402</v>
      </c>
      <c r="M188">
        <f t="shared" ca="1" si="56"/>
        <v>283.38481727010594</v>
      </c>
      <c r="N188">
        <f t="shared" ca="1" si="45"/>
        <v>4.0000000000020464E-2</v>
      </c>
      <c r="O188">
        <f t="shared" ca="1" si="46"/>
        <v>4.0000000000020464E-2</v>
      </c>
      <c r="P188">
        <f t="shared" ca="1" si="47"/>
        <v>0</v>
      </c>
      <c r="Q188">
        <f t="shared" ca="1" si="51"/>
        <v>1.3869189187923472</v>
      </c>
      <c r="R188">
        <f t="shared" ca="1" si="52"/>
        <v>0.46743701458968817</v>
      </c>
      <c r="S188">
        <f t="shared" ca="1" si="49"/>
        <v>2.9670712320670019</v>
      </c>
      <c r="T188">
        <f t="shared" ca="1" si="50"/>
        <v>74.792486912846272</v>
      </c>
      <c r="U188">
        <f>70</f>
        <v>70</v>
      </c>
      <c r="V188">
        <f>30</f>
        <v>30</v>
      </c>
      <c r="W188">
        <f t="shared" ca="1" si="48"/>
        <v>297.8641116966528</v>
      </c>
      <c r="X188">
        <f t="shared" ca="1" si="58"/>
        <v>292.12806045858326</v>
      </c>
      <c r="Y188">
        <f t="shared" ca="1" si="57"/>
        <v>5.8413148856590169</v>
      </c>
      <c r="Z188">
        <f t="shared" ca="1" si="59"/>
        <v>5.5405596680444384</v>
      </c>
      <c r="AA188">
        <f t="shared" ca="1" si="60"/>
        <v>0.30075521761457846</v>
      </c>
      <c r="AB188">
        <f t="shared" ca="1" si="61"/>
        <v>269.8064</v>
      </c>
    </row>
    <row r="189" spans="1:28" x14ac:dyDescent="0.25">
      <c r="A189" s="21">
        <f t="shared" ca="1" si="41"/>
        <v>45565</v>
      </c>
      <c r="B189" vm="561">
        <f ca="1"/>
        <v>45565</v>
      </c>
      <c r="C189" vm="562">
        <f ca="1"/>
        <v>304.51</v>
      </c>
      <c r="D189" vm="563">
        <f ca="1"/>
        <v>2286978</v>
      </c>
      <c r="E189">
        <f t="shared" ca="1" si="42"/>
        <v>696407670.77999997</v>
      </c>
      <c r="F189">
        <f ca="1">SUM($E$2:E189)/SUM($D$2:D189)</f>
        <v>275.20062608540911</v>
      </c>
      <c r="G189">
        <f ca="1">_xlfn.STDEV.P($C$2:C189)</f>
        <v>15.81158756915659</v>
      </c>
      <c r="H189">
        <f t="shared" ca="1" si="43"/>
        <v>291.0122136545657</v>
      </c>
      <c r="I189">
        <f t="shared" ca="1" si="44"/>
        <v>259.38903851625253</v>
      </c>
      <c r="J189">
        <f t="shared" ca="1" si="53"/>
        <v>294.875</v>
      </c>
      <c r="K189">
        <f t="shared" ca="1" si="54"/>
        <v>5.6678228438681524</v>
      </c>
      <c r="L189">
        <f t="shared" ca="1" si="55"/>
        <v>306.2106456877363</v>
      </c>
      <c r="M189">
        <f t="shared" ca="1" si="56"/>
        <v>283.5393543122637</v>
      </c>
      <c r="N189">
        <f t="shared" ca="1" si="45"/>
        <v>0.81999999999999318</v>
      </c>
      <c r="O189">
        <f t="shared" ca="1" si="46"/>
        <v>0.81999999999999318</v>
      </c>
      <c r="P189">
        <f t="shared" ca="1" si="47"/>
        <v>0</v>
      </c>
      <c r="Q189">
        <f t="shared" ca="1" si="51"/>
        <v>1.3464247103071791</v>
      </c>
      <c r="R189">
        <f t="shared" ca="1" si="52"/>
        <v>0.43404865640471041</v>
      </c>
      <c r="S189">
        <f t="shared" ca="1" si="49"/>
        <v>3.1020133121936495</v>
      </c>
      <c r="T189">
        <f t="shared" ca="1" si="50"/>
        <v>75.621727091245688</v>
      </c>
      <c r="U189">
        <f>70</f>
        <v>70</v>
      </c>
      <c r="V189">
        <f>30</f>
        <v>30</v>
      </c>
      <c r="W189">
        <f t="shared" ca="1" si="48"/>
        <v>298.88655605101388</v>
      </c>
      <c r="X189">
        <f t="shared" ca="1" si="58"/>
        <v>293.04524116535487</v>
      </c>
      <c r="Y189">
        <f t="shared" ca="1" si="57"/>
        <v>5.7351674313697458</v>
      </c>
      <c r="Z189">
        <f t="shared" ca="1" si="59"/>
        <v>5.5794812207095008</v>
      </c>
      <c r="AA189">
        <f t="shared" ca="1" si="60"/>
        <v>0.15568621066024502</v>
      </c>
      <c r="AB189">
        <f t="shared" ca="1" si="61"/>
        <v>270.17649999999998</v>
      </c>
    </row>
    <row r="190" spans="1:28" x14ac:dyDescent="0.25">
      <c r="A190" s="21">
        <f t="shared" ca="1" si="41"/>
        <v>45565</v>
      </c>
      <c r="B190" vm="564">
        <f ca="1"/>
        <v>45566</v>
      </c>
      <c r="C190" vm="565">
        <f ca="1"/>
        <v>302.98</v>
      </c>
      <c r="D190" vm="566">
        <f ca="1"/>
        <v>3036208</v>
      </c>
      <c r="E190">
        <f t="shared" ca="1" si="42"/>
        <v>919910299.84000003</v>
      </c>
      <c r="F190">
        <f ca="1">SUM($E$2:E190)/SUM($D$2:D190)</f>
        <v>275.33056531408482</v>
      </c>
      <c r="G190">
        <f ca="1">_xlfn.STDEV.P($C$2:C190)</f>
        <v>15.881114799617553</v>
      </c>
      <c r="H190">
        <f t="shared" ca="1" si="43"/>
        <v>291.21168011370236</v>
      </c>
      <c r="I190">
        <f t="shared" ca="1" si="44"/>
        <v>259.44945051446729</v>
      </c>
      <c r="J190">
        <f t="shared" ca="1" si="53"/>
        <v>295.74799999999993</v>
      </c>
      <c r="K190">
        <f t="shared" ca="1" si="54"/>
        <v>5.4930219848746074</v>
      </c>
      <c r="L190">
        <f t="shared" ca="1" si="55"/>
        <v>306.73404396974917</v>
      </c>
      <c r="M190">
        <f t="shared" ca="1" si="56"/>
        <v>284.7619560302507</v>
      </c>
      <c r="N190">
        <f t="shared" ca="1" si="45"/>
        <v>-1.5299999999999727</v>
      </c>
      <c r="O190">
        <f t="shared" ca="1" si="46"/>
        <v>0</v>
      </c>
      <c r="P190">
        <f t="shared" ca="1" si="47"/>
        <v>1.5299999999999727</v>
      </c>
      <c r="Q190">
        <f t="shared" ca="1" si="51"/>
        <v>1.2502515167138093</v>
      </c>
      <c r="R190">
        <f t="shared" ca="1" si="52"/>
        <v>0.5123308952329434</v>
      </c>
      <c r="S190">
        <f t="shared" ca="1" si="49"/>
        <v>2.4403203639424338</v>
      </c>
      <c r="T190">
        <f t="shared" ca="1" si="50"/>
        <v>70.932939545954071</v>
      </c>
      <c r="U190">
        <f>70</f>
        <v>70</v>
      </c>
      <c r="V190">
        <f>30</f>
        <v>30</v>
      </c>
      <c r="W190">
        <f t="shared" ca="1" si="48"/>
        <v>299.51631665855018</v>
      </c>
      <c r="X190">
        <f t="shared" ca="1" si="58"/>
        <v>293.78114922718044</v>
      </c>
      <c r="Y190">
        <f t="shared" ca="1" si="57"/>
        <v>5.6488676602727992</v>
      </c>
      <c r="Z190">
        <f t="shared" ca="1" si="59"/>
        <v>5.5933585086221607</v>
      </c>
      <c r="AA190">
        <f t="shared" ca="1" si="60"/>
        <v>5.5509151650638522E-2</v>
      </c>
      <c r="AB190">
        <f t="shared" ca="1" si="61"/>
        <v>270.52140000000003</v>
      </c>
    </row>
    <row r="191" spans="1:28" x14ac:dyDescent="0.25">
      <c r="A191" s="21">
        <f t="shared" ca="1" si="41"/>
        <v>45565</v>
      </c>
      <c r="B191" vm="567">
        <f ca="1"/>
        <v>45567</v>
      </c>
      <c r="C191" vm="568">
        <f ca="1"/>
        <v>303.76</v>
      </c>
      <c r="D191" vm="569">
        <f ca="1"/>
        <v>2352436</v>
      </c>
      <c r="E191">
        <f t="shared" ca="1" si="42"/>
        <v>714575959.36000001</v>
      </c>
      <c r="F191">
        <f ca="1">SUM($E$2:E191)/SUM($D$2:D191)</f>
        <v>275.4332253131102</v>
      </c>
      <c r="G191">
        <f ca="1">_xlfn.STDEV.P($C$2:C191)</f>
        <v>15.955145545110232</v>
      </c>
      <c r="H191">
        <f t="shared" ca="1" si="43"/>
        <v>291.38837085822041</v>
      </c>
      <c r="I191">
        <f t="shared" ca="1" si="44"/>
        <v>259.47807976799999</v>
      </c>
      <c r="J191">
        <f t="shared" ca="1" si="53"/>
        <v>296.53449999999992</v>
      </c>
      <c r="K191">
        <f t="shared" ca="1" si="54"/>
        <v>5.4557815543165766</v>
      </c>
      <c r="L191">
        <f t="shared" ca="1" si="55"/>
        <v>307.4460631086331</v>
      </c>
      <c r="M191">
        <f t="shared" ca="1" si="56"/>
        <v>285.62293689136675</v>
      </c>
      <c r="N191">
        <f t="shared" ca="1" si="45"/>
        <v>0.77999999999997272</v>
      </c>
      <c r="O191">
        <f t="shared" ca="1" si="46"/>
        <v>0.77999999999997272</v>
      </c>
      <c r="P191">
        <f t="shared" ca="1" si="47"/>
        <v>0</v>
      </c>
      <c r="Q191">
        <f t="shared" ca="1" si="51"/>
        <v>1.2166621226628211</v>
      </c>
      <c r="R191">
        <f t="shared" ca="1" si="52"/>
        <v>0.47573583128773317</v>
      </c>
      <c r="S191">
        <f t="shared" ca="1" si="49"/>
        <v>2.5574321769489821</v>
      </c>
      <c r="T191">
        <f t="shared" ca="1" si="50"/>
        <v>71.889836537722942</v>
      </c>
      <c r="U191">
        <f>70</f>
        <v>70</v>
      </c>
      <c r="V191">
        <f>30</f>
        <v>30</v>
      </c>
      <c r="W191">
        <f t="shared" ca="1" si="48"/>
        <v>300.16919101877323</v>
      </c>
      <c r="X191">
        <f t="shared" ca="1" si="58"/>
        <v>294.52032335850043</v>
      </c>
      <c r="Y191">
        <f t="shared" ca="1" si="57"/>
        <v>5.4921499745385063</v>
      </c>
      <c r="Z191">
        <f t="shared" ca="1" si="59"/>
        <v>5.5731168018054298</v>
      </c>
      <c r="AA191">
        <f t="shared" ca="1" si="60"/>
        <v>-8.0966827266923502E-2</v>
      </c>
      <c r="AB191">
        <f t="shared" ca="1" si="61"/>
        <v>270.87950000000001</v>
      </c>
    </row>
    <row r="192" spans="1:28" x14ac:dyDescent="0.25">
      <c r="A192" s="21">
        <f t="shared" ca="1" si="41"/>
        <v>45565</v>
      </c>
      <c r="B192" vm="570">
        <f ca="1"/>
        <v>45568</v>
      </c>
      <c r="C192" vm="571">
        <f ca="1"/>
        <v>303.45</v>
      </c>
      <c r="D192" vm="572">
        <f ca="1"/>
        <v>1802561</v>
      </c>
      <c r="E192">
        <f t="shared" ca="1" si="42"/>
        <v>546987135.44999993</v>
      </c>
      <c r="F192">
        <f ca="1">SUM($E$2:E192)/SUM($D$2:D192)</f>
        <v>275.51053311064464</v>
      </c>
      <c r="G192">
        <f ca="1">_xlfn.STDEV.P($C$2:C192)</f>
        <v>16.024224374509927</v>
      </c>
      <c r="H192">
        <f t="shared" ca="1" si="43"/>
        <v>291.53475748515456</v>
      </c>
      <c r="I192">
        <f t="shared" ca="1" si="44"/>
        <v>259.48630873613473</v>
      </c>
      <c r="J192">
        <f t="shared" ca="1" si="53"/>
        <v>297.30849999999998</v>
      </c>
      <c r="K192">
        <f t="shared" ca="1" si="54"/>
        <v>5.2717591940451873</v>
      </c>
      <c r="L192">
        <f t="shared" ca="1" si="55"/>
        <v>307.85201838809036</v>
      </c>
      <c r="M192">
        <f t="shared" ca="1" si="56"/>
        <v>286.7649816119096</v>
      </c>
      <c r="N192">
        <f t="shared" ca="1" si="45"/>
        <v>-0.31000000000000227</v>
      </c>
      <c r="O192">
        <f t="shared" ca="1" si="46"/>
        <v>0</v>
      </c>
      <c r="P192">
        <f t="shared" ca="1" si="47"/>
        <v>0.31000000000000227</v>
      </c>
      <c r="Q192">
        <f t="shared" ca="1" si="51"/>
        <v>1.1297576853297626</v>
      </c>
      <c r="R192">
        <f t="shared" ca="1" si="52"/>
        <v>0.46389755762432383</v>
      </c>
      <c r="S192">
        <f t="shared" ca="1" si="49"/>
        <v>2.4353602789275071</v>
      </c>
      <c r="T192">
        <f t="shared" ca="1" si="50"/>
        <v>70.890971577741112</v>
      </c>
      <c r="U192">
        <f>70</f>
        <v>70</v>
      </c>
      <c r="V192">
        <f>30</f>
        <v>30</v>
      </c>
      <c r="W192">
        <f t="shared" ca="1" si="48"/>
        <v>300.6739308620389</v>
      </c>
      <c r="X192">
        <f t="shared" ca="1" si="58"/>
        <v>295.18178088750039</v>
      </c>
      <c r="Y192">
        <f t="shared" ca="1" si="57"/>
        <v>5.3315062039541772</v>
      </c>
      <c r="Z192">
        <f t="shared" ca="1" si="59"/>
        <v>5.5247946822351794</v>
      </c>
      <c r="AA192">
        <f t="shared" ca="1" si="60"/>
        <v>-0.19328847828100226</v>
      </c>
      <c r="AB192">
        <f t="shared" ca="1" si="61"/>
        <v>271.16399999999999</v>
      </c>
    </row>
    <row r="193" spans="1:28" x14ac:dyDescent="0.25">
      <c r="A193" s="21">
        <f t="shared" ca="1" si="41"/>
        <v>45565</v>
      </c>
      <c r="B193" vm="573">
        <f ca="1"/>
        <v>45569</v>
      </c>
      <c r="C193" vm="568">
        <f ca="1"/>
        <v>303.76</v>
      </c>
      <c r="D193" vm="574">
        <f ca="1"/>
        <v>2432634</v>
      </c>
      <c r="E193">
        <f t="shared" ca="1" si="42"/>
        <v>738936903.84000003</v>
      </c>
      <c r="F193">
        <f ca="1">SUM($E$2:E193)/SUM($D$2:D193)</f>
        <v>275.61533955283551</v>
      </c>
      <c r="G193">
        <f ca="1">_xlfn.STDEV.P($C$2:C193)</f>
        <v>16.093755969524242</v>
      </c>
      <c r="H193">
        <f t="shared" ca="1" si="43"/>
        <v>291.70909552235975</v>
      </c>
      <c r="I193">
        <f t="shared" ca="1" si="44"/>
        <v>259.52158358331127</v>
      </c>
      <c r="J193">
        <f t="shared" ca="1" si="53"/>
        <v>298.02099999999996</v>
      </c>
      <c r="K193">
        <f t="shared" ca="1" si="54"/>
        <v>5.1231650373572739</v>
      </c>
      <c r="L193">
        <f t="shared" ca="1" si="55"/>
        <v>308.26733007471449</v>
      </c>
      <c r="M193">
        <f t="shared" ca="1" si="56"/>
        <v>287.77466992528542</v>
      </c>
      <c r="N193">
        <f t="shared" ca="1" si="45"/>
        <v>0.31000000000000227</v>
      </c>
      <c r="O193">
        <f t="shared" ca="1" si="46"/>
        <v>0.31000000000000227</v>
      </c>
      <c r="P193">
        <f t="shared" ca="1" si="47"/>
        <v>0</v>
      </c>
      <c r="Q193">
        <f t="shared" ca="1" si="51"/>
        <v>1.0712035649490654</v>
      </c>
      <c r="R193">
        <f t="shared" ca="1" si="52"/>
        <v>0.43076201779401496</v>
      </c>
      <c r="S193">
        <f t="shared" ca="1" si="49"/>
        <v>2.4867642008801751</v>
      </c>
      <c r="T193">
        <f t="shared" ca="1" si="50"/>
        <v>71.320113939807953</v>
      </c>
      <c r="U193">
        <f>70</f>
        <v>70</v>
      </c>
      <c r="V193">
        <f>30</f>
        <v>30</v>
      </c>
      <c r="W193">
        <f t="shared" ca="1" si="48"/>
        <v>301.14871072941753</v>
      </c>
      <c r="X193">
        <f t="shared" ca="1" si="58"/>
        <v>295.81720452546335</v>
      </c>
      <c r="Y193">
        <f t="shared" ca="1" si="57"/>
        <v>4.9127510423402327</v>
      </c>
      <c r="Z193">
        <f t="shared" ca="1" si="59"/>
        <v>5.4023859542561912</v>
      </c>
      <c r="AA193">
        <f t="shared" ca="1" si="60"/>
        <v>-0.48963491191595843</v>
      </c>
      <c r="AB193">
        <f t="shared" ca="1" si="61"/>
        <v>271.48839999999996</v>
      </c>
    </row>
    <row r="194" spans="1:28" x14ac:dyDescent="0.25">
      <c r="A194" s="21">
        <f t="shared" ca="1" si="41"/>
        <v>45572</v>
      </c>
      <c r="B194" vm="575">
        <f ca="1"/>
        <v>45572</v>
      </c>
      <c r="C194" vm="576">
        <f ca="1"/>
        <v>300.85000000000002</v>
      </c>
      <c r="D194" vm="577">
        <f ca="1"/>
        <v>2091776</v>
      </c>
      <c r="E194">
        <f t="shared" ca="1" si="42"/>
        <v>629310809.60000002</v>
      </c>
      <c r="F194">
        <f ca="1">SUM($E$2:E194)/SUM($D$2:D194)</f>
        <v>275.69558683184886</v>
      </c>
      <c r="G194">
        <f ca="1">_xlfn.STDEV.P($C$2:C194)</f>
        <v>16.138230088888001</v>
      </c>
      <c r="H194">
        <f t="shared" ca="1" si="43"/>
        <v>291.83381692073687</v>
      </c>
      <c r="I194">
        <f t="shared" ca="1" si="44"/>
        <v>259.55735674296085</v>
      </c>
      <c r="J194">
        <f t="shared" ca="1" si="53"/>
        <v>298.49900000000002</v>
      </c>
      <c r="K194">
        <f t="shared" ca="1" si="54"/>
        <v>4.9033650099755581</v>
      </c>
      <c r="L194">
        <f t="shared" ca="1" si="55"/>
        <v>308.30573001995111</v>
      </c>
      <c r="M194">
        <f t="shared" ca="1" si="56"/>
        <v>288.69226998004893</v>
      </c>
      <c r="N194">
        <f t="shared" ca="1" si="45"/>
        <v>-2.9099999999999682</v>
      </c>
      <c r="O194">
        <f t="shared" ca="1" si="46"/>
        <v>0</v>
      </c>
      <c r="P194">
        <f t="shared" ca="1" si="47"/>
        <v>2.9099999999999682</v>
      </c>
      <c r="Q194">
        <f t="shared" ca="1" si="51"/>
        <v>0.99468902459556074</v>
      </c>
      <c r="R194">
        <f t="shared" ca="1" si="52"/>
        <v>0.60785044509444019</v>
      </c>
      <c r="S194">
        <f t="shared" ca="1" si="49"/>
        <v>1.6364042053815038</v>
      </c>
      <c r="T194">
        <f t="shared" ca="1" si="50"/>
        <v>62.06954920043097</v>
      </c>
      <c r="U194">
        <f>70</f>
        <v>70</v>
      </c>
      <c r="V194">
        <f>30</f>
        <v>30</v>
      </c>
      <c r="W194">
        <f t="shared" ca="1" si="48"/>
        <v>301.10275523258406</v>
      </c>
      <c r="X194">
        <f t="shared" ca="1" si="58"/>
        <v>296.19000419024383</v>
      </c>
      <c r="Y194">
        <f t="shared" ca="1" si="57"/>
        <v>4.6124414309065855</v>
      </c>
      <c r="Z194">
        <f t="shared" ca="1" si="59"/>
        <v>5.2443970495862704</v>
      </c>
      <c r="AA194">
        <f t="shared" ca="1" si="60"/>
        <v>-0.63195561867968486</v>
      </c>
      <c r="AB194">
        <f t="shared" ca="1" si="61"/>
        <v>271.79029999999995</v>
      </c>
    </row>
    <row r="195" spans="1:28" x14ac:dyDescent="0.25">
      <c r="A195" s="21">
        <f t="shared" ref="A195:A258" ca="1" si="62">B195 - WEEKDAY(B195, 2) + 1</f>
        <v>45572</v>
      </c>
      <c r="B195" vm="578">
        <f ca="1"/>
        <v>45573</v>
      </c>
      <c r="C195" vm="579">
        <f ca="1"/>
        <v>301.89999999999998</v>
      </c>
      <c r="D195" vm="580">
        <f ca="1"/>
        <v>2038348</v>
      </c>
      <c r="E195">
        <f t="shared" ref="E195:E258" ca="1" si="63">C195*D195</f>
        <v>615377261.19999993</v>
      </c>
      <c r="F195">
        <f ca="1">SUM($E$2:E195)/SUM($D$2:D195)</f>
        <v>275.7765386720933</v>
      </c>
      <c r="G195">
        <f ca="1">_xlfn.STDEV.P($C$2:C195)</f>
        <v>16.189100204767541</v>
      </c>
      <c r="H195">
        <f t="shared" ref="H195:H258" ca="1" si="64">F195 + G195</f>
        <v>291.96563887686085</v>
      </c>
      <c r="I195">
        <f t="shared" ref="I195:I258" ca="1" si="65">F195 - G195</f>
        <v>259.58743846732574</v>
      </c>
      <c r="J195">
        <f t="shared" ca="1" si="53"/>
        <v>299.03049999999996</v>
      </c>
      <c r="K195">
        <f t="shared" ca="1" si="54"/>
        <v>4.6480063354880237</v>
      </c>
      <c r="L195">
        <f t="shared" ca="1" si="55"/>
        <v>308.326512670976</v>
      </c>
      <c r="M195">
        <f t="shared" ca="1" si="56"/>
        <v>289.73448732902392</v>
      </c>
      <c r="N195">
        <f t="shared" ca="1" si="45"/>
        <v>1.0499999999999545</v>
      </c>
      <c r="O195">
        <f t="shared" ca="1" si="46"/>
        <v>1.0499999999999545</v>
      </c>
      <c r="P195">
        <f t="shared" ca="1" si="47"/>
        <v>0</v>
      </c>
      <c r="Q195">
        <f t="shared" ca="1" si="51"/>
        <v>0.99863980855301737</v>
      </c>
      <c r="R195">
        <f t="shared" ca="1" si="52"/>
        <v>0.56443255615912302</v>
      </c>
      <c r="S195">
        <f t="shared" ca="1" si="49"/>
        <v>1.7692810197707378</v>
      </c>
      <c r="T195">
        <f t="shared" ca="1" si="50"/>
        <v>63.889544150243459</v>
      </c>
      <c r="U195">
        <f>70</f>
        <v>70</v>
      </c>
      <c r="V195">
        <f>30</f>
        <v>30</v>
      </c>
      <c r="W195">
        <f t="shared" ca="1" si="48"/>
        <v>301.22540827372495</v>
      </c>
      <c r="X195">
        <f t="shared" ca="1" si="58"/>
        <v>296.61296684281837</v>
      </c>
      <c r="Y195">
        <f t="shared" ca="1" si="57"/>
        <v>4.4785528016533931</v>
      </c>
      <c r="Z195">
        <f t="shared" ca="1" si="59"/>
        <v>5.0912281999996951</v>
      </c>
      <c r="AA195">
        <f t="shared" ca="1" si="60"/>
        <v>-0.61267539834630202</v>
      </c>
      <c r="AB195">
        <f t="shared" ca="1" si="61"/>
        <v>272.07059999999996</v>
      </c>
    </row>
    <row r="196" spans="1:28" x14ac:dyDescent="0.25">
      <c r="A196" s="21">
        <f t="shared" ca="1" si="62"/>
        <v>45572</v>
      </c>
      <c r="B196" vm="581">
        <f ca="1"/>
        <v>45574</v>
      </c>
      <c r="C196" vm="582">
        <f ca="1"/>
        <v>303.83</v>
      </c>
      <c r="D196" vm="583">
        <f ca="1"/>
        <v>1854155</v>
      </c>
      <c r="E196">
        <f t="shared" ca="1" si="63"/>
        <v>563347913.64999998</v>
      </c>
      <c r="F196">
        <f ca="1">SUM($E$2:E196)/SUM($D$2:D196)</f>
        <v>275.85515047410308</v>
      </c>
      <c r="G196">
        <f ca="1">_xlfn.STDEV.P($C$2:C196)</f>
        <v>16.253490700705573</v>
      </c>
      <c r="H196">
        <f t="shared" ca="1" si="64"/>
        <v>292.10864117480867</v>
      </c>
      <c r="I196">
        <f t="shared" ca="1" si="65"/>
        <v>259.6016597733975</v>
      </c>
      <c r="J196">
        <f t="shared" ca="1" si="53"/>
        <v>299.71050000000002</v>
      </c>
      <c r="K196">
        <f t="shared" ca="1" si="54"/>
        <v>4.272394219687718</v>
      </c>
      <c r="L196">
        <f t="shared" ca="1" si="55"/>
        <v>308.25528843937548</v>
      </c>
      <c r="M196">
        <f t="shared" ca="1" si="56"/>
        <v>291.16571156062457</v>
      </c>
      <c r="N196">
        <f t="shared" ref="N196:N259" ca="1" si="66">C196-C195</f>
        <v>1.9300000000000068</v>
      </c>
      <c r="O196">
        <f t="shared" ref="O196:O259" ca="1" si="67">MAX(N196,0)</f>
        <v>1.9300000000000068</v>
      </c>
      <c r="P196">
        <f t="shared" ref="P196:P259" ca="1" si="68">MAX(-N196,0)</f>
        <v>0</v>
      </c>
      <c r="Q196">
        <f t="shared" ca="1" si="51"/>
        <v>1.0651655365135166</v>
      </c>
      <c r="R196">
        <f t="shared" ca="1" si="52"/>
        <v>0.5241159450049</v>
      </c>
      <c r="S196">
        <f t="shared" ca="1" si="49"/>
        <v>2.0323089703053365</v>
      </c>
      <c r="T196">
        <f t="shared" ca="1" si="50"/>
        <v>67.021830235877786</v>
      </c>
      <c r="U196">
        <f>70</f>
        <v>70</v>
      </c>
      <c r="V196">
        <f>30</f>
        <v>30</v>
      </c>
      <c r="W196">
        <f t="shared" ca="1" si="48"/>
        <v>301.62611469315186</v>
      </c>
      <c r="X196">
        <f t="shared" ca="1" si="58"/>
        <v>297.14756189149847</v>
      </c>
      <c r="Y196">
        <f t="shared" ca="1" si="57"/>
        <v>4.3393688009376206</v>
      </c>
      <c r="Z196">
        <f t="shared" ca="1" si="59"/>
        <v>4.9408563201872804</v>
      </c>
      <c r="AA196">
        <f t="shared" ca="1" si="60"/>
        <v>-0.60148751924965982</v>
      </c>
      <c r="AB196">
        <f t="shared" ca="1" si="61"/>
        <v>272.37379999999996</v>
      </c>
    </row>
    <row r="197" spans="1:28" x14ac:dyDescent="0.25">
      <c r="A197" s="21">
        <f t="shared" ca="1" si="62"/>
        <v>45572</v>
      </c>
      <c r="B197" vm="584">
        <f ca="1"/>
        <v>45575</v>
      </c>
      <c r="C197" vm="585">
        <f ca="1"/>
        <v>304.04000000000002</v>
      </c>
      <c r="D197" vm="586">
        <f ca="1"/>
        <v>1739458</v>
      </c>
      <c r="E197">
        <f t="shared" ca="1" si="63"/>
        <v>528864810.32000005</v>
      </c>
      <c r="F197">
        <f ca="1">SUM($E$2:E197)/SUM($D$2:D197)</f>
        <v>275.92905052254389</v>
      </c>
      <c r="G197">
        <f ca="1">_xlfn.STDEV.P($C$2:C197)</f>
        <v>16.317598742057264</v>
      </c>
      <c r="H197">
        <f t="shared" ca="1" si="64"/>
        <v>292.24664926460116</v>
      </c>
      <c r="I197">
        <f t="shared" ca="1" si="65"/>
        <v>259.61145178048662</v>
      </c>
      <c r="J197">
        <f t="shared" ca="1" si="53"/>
        <v>300.29499999999996</v>
      </c>
      <c r="K197">
        <f t="shared" ca="1" si="54"/>
        <v>4.0036069263918304</v>
      </c>
      <c r="L197">
        <f t="shared" ca="1" si="55"/>
        <v>308.30221385278361</v>
      </c>
      <c r="M197">
        <f t="shared" ca="1" si="56"/>
        <v>292.28778614721631</v>
      </c>
      <c r="N197">
        <f t="shared" ca="1" si="66"/>
        <v>0.21000000000003638</v>
      </c>
      <c r="O197">
        <f t="shared" ca="1" si="67"/>
        <v>0.21000000000003638</v>
      </c>
      <c r="P197">
        <f t="shared" ca="1" si="68"/>
        <v>0</v>
      </c>
      <c r="Q197">
        <f t="shared" ca="1" si="51"/>
        <v>1.0040822839054109</v>
      </c>
      <c r="R197">
        <f t="shared" ca="1" si="52"/>
        <v>0.48667909179026431</v>
      </c>
      <c r="S197">
        <f t="shared" ca="1" si="49"/>
        <v>2.0631301012169287</v>
      </c>
      <c r="T197">
        <f t="shared" ca="1" si="50"/>
        <v>67.353655673890017</v>
      </c>
      <c r="U197">
        <f>70</f>
        <v>70</v>
      </c>
      <c r="V197">
        <f>30</f>
        <v>30</v>
      </c>
      <c r="W197">
        <f t="shared" ca="1" si="48"/>
        <v>301.99748166343619</v>
      </c>
      <c r="X197">
        <f t="shared" ca="1" si="58"/>
        <v>297.65811286249857</v>
      </c>
      <c r="Y197">
        <f t="shared" ca="1" si="57"/>
        <v>4.26064209039464</v>
      </c>
      <c r="Z197">
        <f t="shared" ca="1" si="59"/>
        <v>4.8048134742287525</v>
      </c>
      <c r="AA197">
        <f t="shared" ca="1" si="60"/>
        <v>-0.54417138383411245</v>
      </c>
      <c r="AB197">
        <f t="shared" ca="1" si="61"/>
        <v>272.69039999999995</v>
      </c>
    </row>
    <row r="198" spans="1:28" x14ac:dyDescent="0.25">
      <c r="A198" s="21">
        <f t="shared" ca="1" si="62"/>
        <v>45572</v>
      </c>
      <c r="B198" vm="587">
        <f ca="1"/>
        <v>45576</v>
      </c>
      <c r="C198" vm="588">
        <f ca="1"/>
        <v>305.04000000000002</v>
      </c>
      <c r="D198" vm="589">
        <f ca="1"/>
        <v>1775710</v>
      </c>
      <c r="E198">
        <f t="shared" ca="1" si="63"/>
        <v>541662578.4000001</v>
      </c>
      <c r="F198">
        <f ca="1">SUM($E$2:E198)/SUM($D$2:D198)</f>
        <v>276.00676153678739</v>
      </c>
      <c r="G198">
        <f ca="1">_xlfn.STDEV.P($C$2:C198)</f>
        <v>16.387882586488423</v>
      </c>
      <c r="H198">
        <f t="shared" ca="1" si="64"/>
        <v>292.39464412327584</v>
      </c>
      <c r="I198">
        <f t="shared" ca="1" si="65"/>
        <v>259.61887895029895</v>
      </c>
      <c r="J198">
        <f t="shared" ca="1" si="53"/>
        <v>300.72050000000002</v>
      </c>
      <c r="K198">
        <f t="shared" ca="1" si="54"/>
        <v>4.0345044370568726</v>
      </c>
      <c r="L198">
        <f t="shared" ca="1" si="55"/>
        <v>308.78950887411378</v>
      </c>
      <c r="M198">
        <f t="shared" ca="1" si="56"/>
        <v>292.65149112588625</v>
      </c>
      <c r="N198">
        <f t="shared" ca="1" si="66"/>
        <v>1</v>
      </c>
      <c r="O198">
        <f t="shared" ca="1" si="67"/>
        <v>1</v>
      </c>
      <c r="P198">
        <f t="shared" ca="1" si="68"/>
        <v>0</v>
      </c>
      <c r="Q198">
        <f t="shared" ca="1" si="51"/>
        <v>1.0037906921978814</v>
      </c>
      <c r="R198">
        <f t="shared" ca="1" si="52"/>
        <v>0.45191629951953116</v>
      </c>
      <c r="S198">
        <f t="shared" ca="1" si="49"/>
        <v>2.2211871828148104</v>
      </c>
      <c r="T198">
        <f t="shared" ca="1" si="50"/>
        <v>68.955545168717663</v>
      </c>
      <c r="U198">
        <f>70</f>
        <v>70</v>
      </c>
      <c r="V198">
        <f>30</f>
        <v>30</v>
      </c>
      <c r="W198">
        <f t="shared" ca="1" si="48"/>
        <v>302.46556140752296</v>
      </c>
      <c r="X198">
        <f t="shared" ca="1" si="58"/>
        <v>298.20491931712832</v>
      </c>
      <c r="Y198">
        <f t="shared" ca="1" si="57"/>
        <v>4.5333132762610262</v>
      </c>
      <c r="Z198">
        <f t="shared" ca="1" si="59"/>
        <v>4.7505134346352076</v>
      </c>
      <c r="AA198">
        <f t="shared" ca="1" si="60"/>
        <v>-0.21720015837418138</v>
      </c>
      <c r="AB198">
        <f t="shared" ca="1" si="61"/>
        <v>273.06209999999993</v>
      </c>
    </row>
    <row r="199" spans="1:28" x14ac:dyDescent="0.25">
      <c r="A199" s="21">
        <f t="shared" ca="1" si="62"/>
        <v>45579</v>
      </c>
      <c r="B199" vm="590">
        <f ca="1"/>
        <v>45579</v>
      </c>
      <c r="C199" vm="591">
        <f ca="1"/>
        <v>309.83999999999997</v>
      </c>
      <c r="D199" vm="592">
        <f ca="1"/>
        <v>2376310</v>
      </c>
      <c r="E199">
        <f t="shared" ca="1" si="63"/>
        <v>736275890.39999998</v>
      </c>
      <c r="F199">
        <f ca="1">SUM($E$2:E199)/SUM($D$2:D199)</f>
        <v>276.12719637474561</v>
      </c>
      <c r="G199">
        <f ca="1">_xlfn.STDEV.P($C$2:C199)</f>
        <v>16.498713693975041</v>
      </c>
      <c r="H199">
        <f t="shared" ca="1" si="64"/>
        <v>292.62591006872066</v>
      </c>
      <c r="I199">
        <f t="shared" ca="1" si="65"/>
        <v>259.62848268077056</v>
      </c>
      <c r="J199">
        <f t="shared" ca="1" si="53"/>
        <v>301.37800000000004</v>
      </c>
      <c r="K199">
        <f t="shared" ca="1" si="54"/>
        <v>4.3982144702499193</v>
      </c>
      <c r="L199">
        <f t="shared" ca="1" si="55"/>
        <v>310.17442894049987</v>
      </c>
      <c r="M199">
        <f t="shared" ca="1" si="56"/>
        <v>292.58157105950022</v>
      </c>
      <c r="N199">
        <f t="shared" ca="1" si="66"/>
        <v>4.7999999999999545</v>
      </c>
      <c r="O199">
        <f t="shared" ca="1" si="67"/>
        <v>4.7999999999999545</v>
      </c>
      <c r="P199">
        <f t="shared" ca="1" si="68"/>
        <v>0</v>
      </c>
      <c r="Q199">
        <f t="shared" ca="1" si="51"/>
        <v>1.2749484998980294</v>
      </c>
      <c r="R199">
        <f t="shared" ca="1" si="52"/>
        <v>0.41963656383956466</v>
      </c>
      <c r="S199">
        <f t="shared" ca="1" si="49"/>
        <v>3.0382207123053924</v>
      </c>
      <c r="T199">
        <f t="shared" ca="1" si="50"/>
        <v>75.236618519815693</v>
      </c>
      <c r="U199">
        <f>70</f>
        <v>70</v>
      </c>
      <c r="V199">
        <f>30</f>
        <v>30</v>
      </c>
      <c r="W199">
        <f t="shared" ca="1" si="48"/>
        <v>303.60009042175022</v>
      </c>
      <c r="X199">
        <f t="shared" ca="1" si="58"/>
        <v>299.0667771454892</v>
      </c>
      <c r="Y199">
        <f t="shared" ca="1" si="57"/>
        <v>4.9744851366832563</v>
      </c>
      <c r="Z199">
        <f t="shared" ca="1" si="59"/>
        <v>4.7953077750448179</v>
      </c>
      <c r="AA199">
        <f t="shared" ca="1" si="60"/>
        <v>0.17917736163843845</v>
      </c>
      <c r="AB199">
        <f t="shared" ca="1" si="61"/>
        <v>273.5018</v>
      </c>
    </row>
    <row r="200" spans="1:28" x14ac:dyDescent="0.25">
      <c r="A200" s="21">
        <f t="shared" ca="1" si="62"/>
        <v>45579</v>
      </c>
      <c r="B200" vm="593">
        <f ca="1"/>
        <v>45580</v>
      </c>
      <c r="C200" vm="594">
        <f ca="1"/>
        <v>313.33999999999997</v>
      </c>
      <c r="D200" vm="595">
        <f ca="1"/>
        <v>3067090</v>
      </c>
      <c r="E200">
        <f t="shared" ca="1" si="63"/>
        <v>961041980.5999999</v>
      </c>
      <c r="F200">
        <f ca="1">SUM($E$2:E200)/SUM($D$2:D200)</f>
        <v>276.2973862072912</v>
      </c>
      <c r="G200">
        <f ca="1">_xlfn.STDEV.P($C$2:C200)</f>
        <v>16.6410813901498</v>
      </c>
      <c r="H200">
        <f t="shared" ca="1" si="64"/>
        <v>292.93846759744099</v>
      </c>
      <c r="I200">
        <f t="shared" ca="1" si="65"/>
        <v>259.6563048171414</v>
      </c>
      <c r="J200">
        <f t="shared" ca="1" si="53"/>
        <v>302.35749999999996</v>
      </c>
      <c r="K200">
        <f t="shared" ca="1" si="54"/>
        <v>4.7752441381511934</v>
      </c>
      <c r="L200">
        <f t="shared" ca="1" si="55"/>
        <v>311.90798827630232</v>
      </c>
      <c r="M200">
        <f t="shared" ca="1" si="56"/>
        <v>292.8070117236976</v>
      </c>
      <c r="N200">
        <f t="shared" ca="1" si="66"/>
        <v>3.5</v>
      </c>
      <c r="O200">
        <f t="shared" ca="1" si="67"/>
        <v>3.5</v>
      </c>
      <c r="P200">
        <f t="shared" ca="1" si="68"/>
        <v>0</v>
      </c>
      <c r="Q200">
        <f t="shared" ca="1" si="51"/>
        <v>1.433880749905313</v>
      </c>
      <c r="R200">
        <f t="shared" ca="1" si="52"/>
        <v>0.38966252356531006</v>
      </c>
      <c r="S200">
        <f t="shared" ca="1" si="49"/>
        <v>3.6798015287322978</v>
      </c>
      <c r="T200">
        <f t="shared" ca="1" si="50"/>
        <v>78.631572431857208</v>
      </c>
      <c r="U200">
        <f>70</f>
        <v>70</v>
      </c>
      <c r="V200">
        <f>30</f>
        <v>30</v>
      </c>
      <c r="W200">
        <f t="shared" ca="1" si="48"/>
        <v>305.09853804917321</v>
      </c>
      <c r="X200">
        <f t="shared" ca="1" si="58"/>
        <v>300.12405291248996</v>
      </c>
      <c r="Y200">
        <f t="shared" ca="1" si="57"/>
        <v>5.2299390428638617</v>
      </c>
      <c r="Z200">
        <f t="shared" ca="1" si="59"/>
        <v>4.882234028608627</v>
      </c>
      <c r="AA200">
        <f t="shared" ca="1" si="60"/>
        <v>0.3477050142552347</v>
      </c>
      <c r="AB200">
        <f t="shared" ca="1" si="61"/>
        <v>273.97750000000002</v>
      </c>
    </row>
    <row r="201" spans="1:28" x14ac:dyDescent="0.25">
      <c r="A201" s="21">
        <f t="shared" ca="1" si="62"/>
        <v>45579</v>
      </c>
      <c r="B201" vm="596">
        <f ca="1"/>
        <v>45581</v>
      </c>
      <c r="C201" vm="597">
        <f ca="1"/>
        <v>312.92</v>
      </c>
      <c r="D201" vm="598">
        <f ca="1"/>
        <v>1821486</v>
      </c>
      <c r="E201">
        <f t="shared" ca="1" si="63"/>
        <v>569979399.12</v>
      </c>
      <c r="F201">
        <f ca="1">SUM($E$2:E201)/SUM($D$2:D201)</f>
        <v>276.39658625943628</v>
      </c>
      <c r="G201">
        <f ca="1">_xlfn.STDEV.P($C$2:C201)</f>
        <v>16.774734029486137</v>
      </c>
      <c r="H201">
        <f t="shared" ca="1" si="64"/>
        <v>293.1713202889224</v>
      </c>
      <c r="I201">
        <f t="shared" ca="1" si="65"/>
        <v>259.62185222995015</v>
      </c>
      <c r="J201">
        <f t="shared" ca="1" si="53"/>
        <v>303.40199999999999</v>
      </c>
      <c r="K201">
        <f t="shared" ca="1" si="54"/>
        <v>4.6811251459001717</v>
      </c>
      <c r="L201">
        <f t="shared" ca="1" si="55"/>
        <v>312.76425029180035</v>
      </c>
      <c r="M201">
        <f t="shared" ca="1" si="56"/>
        <v>294.03974970819962</v>
      </c>
      <c r="N201">
        <f t="shared" ca="1" si="66"/>
        <v>-0.41999999999995907</v>
      </c>
      <c r="O201">
        <f t="shared" ca="1" si="67"/>
        <v>0</v>
      </c>
      <c r="P201">
        <f t="shared" ca="1" si="68"/>
        <v>0.41999999999995907</v>
      </c>
      <c r="Q201">
        <f t="shared" ca="1" si="51"/>
        <v>1.3314606963406477</v>
      </c>
      <c r="R201">
        <f t="shared" ca="1" si="52"/>
        <v>0.39182948616778501</v>
      </c>
      <c r="S201">
        <f t="shared" ca="1" si="49"/>
        <v>3.3980615123245315</v>
      </c>
      <c r="T201">
        <f t="shared" ca="1" si="50"/>
        <v>77.262710009904694</v>
      </c>
      <c r="U201">
        <f>70</f>
        <v>70</v>
      </c>
      <c r="V201">
        <f>30</f>
        <v>30</v>
      </c>
      <c r="W201">
        <f t="shared" ca="1" si="48"/>
        <v>306.30183988776196</v>
      </c>
      <c r="X201">
        <f t="shared" ca="1" si="58"/>
        <v>301.0719008448981</v>
      </c>
      <c r="Y201">
        <f t="shared" ca="1" si="57"/>
        <v>5.5124748492119693</v>
      </c>
      <c r="Z201">
        <f t="shared" ca="1" si="59"/>
        <v>5.008282192729296</v>
      </c>
      <c r="AA201">
        <f t="shared" ca="1" si="60"/>
        <v>0.50419265648267331</v>
      </c>
      <c r="AB201">
        <f t="shared" ca="1" si="61"/>
        <v>274.52739999999994</v>
      </c>
    </row>
    <row r="202" spans="1:28" x14ac:dyDescent="0.25">
      <c r="A202" s="21">
        <f t="shared" ca="1" si="62"/>
        <v>45579</v>
      </c>
      <c r="B202" vm="599">
        <f ca="1"/>
        <v>45582</v>
      </c>
      <c r="C202" vm="600">
        <f ca="1"/>
        <v>314.7</v>
      </c>
      <c r="D202" vm="601">
        <f ca="1"/>
        <v>3095192</v>
      </c>
      <c r="E202">
        <f t="shared" ca="1" si="63"/>
        <v>974056922.39999998</v>
      </c>
      <c r="F202">
        <f ca="1">SUM($E$2:E202)/SUM($D$2:D202)</f>
        <v>276.57208233415469</v>
      </c>
      <c r="G202">
        <f ca="1">_xlfn.STDEV.P($C$2:C202)</f>
        <v>16.922543320928501</v>
      </c>
      <c r="H202">
        <f t="shared" ca="1" si="64"/>
        <v>293.49462565508321</v>
      </c>
      <c r="I202">
        <f t="shared" ca="1" si="65"/>
        <v>259.64953901322616</v>
      </c>
      <c r="J202">
        <f t="shared" ca="1" si="53"/>
        <v>304.44450000000001</v>
      </c>
      <c r="K202">
        <f t="shared" ca="1" si="54"/>
        <v>4.7628700712689449</v>
      </c>
      <c r="L202">
        <f t="shared" ca="1" si="55"/>
        <v>313.97024014253788</v>
      </c>
      <c r="M202">
        <f t="shared" ca="1" si="56"/>
        <v>294.91875985746213</v>
      </c>
      <c r="N202">
        <f t="shared" ca="1" si="66"/>
        <v>1.7799999999999727</v>
      </c>
      <c r="O202">
        <f t="shared" ca="1" si="67"/>
        <v>1.7799999999999727</v>
      </c>
      <c r="P202">
        <f t="shared" ca="1" si="68"/>
        <v>0</v>
      </c>
      <c r="Q202">
        <f t="shared" ca="1" si="51"/>
        <v>1.3634992180305994</v>
      </c>
      <c r="R202">
        <f t="shared" ca="1" si="52"/>
        <v>0.36384166572722892</v>
      </c>
      <c r="S202">
        <f t="shared" ca="1" si="49"/>
        <v>3.7475070792271792</v>
      </c>
      <c r="T202">
        <f t="shared" ca="1" si="50"/>
        <v>78.936313662900645</v>
      </c>
      <c r="U202">
        <f>70</f>
        <v>70</v>
      </c>
      <c r="V202">
        <f>30</f>
        <v>30</v>
      </c>
      <c r="W202">
        <f t="shared" ca="1" si="48"/>
        <v>307.59386452041394</v>
      </c>
      <c r="X202">
        <f t="shared" ca="1" si="58"/>
        <v>302.08138967120198</v>
      </c>
      <c r="Y202">
        <f t="shared" ca="1" si="57"/>
        <v>5.8193906536247368</v>
      </c>
      <c r="Z202">
        <f t="shared" ca="1" si="59"/>
        <v>5.1705038849083849</v>
      </c>
      <c r="AA202">
        <f t="shared" ca="1" si="60"/>
        <v>0.64888676871635198</v>
      </c>
      <c r="AB202">
        <f t="shared" ca="1" si="61"/>
        <v>275.09329999999994</v>
      </c>
    </row>
    <row r="203" spans="1:28" x14ac:dyDescent="0.25">
      <c r="A203" s="21">
        <f t="shared" ca="1" si="62"/>
        <v>45579</v>
      </c>
      <c r="B203" vm="602">
        <f ca="1"/>
        <v>45583</v>
      </c>
      <c r="C203" vm="603">
        <f ca="1"/>
        <v>316.56</v>
      </c>
      <c r="D203" vm="604">
        <f ca="1"/>
        <v>2531197</v>
      </c>
      <c r="E203">
        <f t="shared" ca="1" si="63"/>
        <v>801275722.32000005</v>
      </c>
      <c r="F203">
        <f ca="1">SUM($E$2:E203)/SUM($D$2:D203)</f>
        <v>276.72135244829923</v>
      </c>
      <c r="G203">
        <f ca="1">_xlfn.STDEV.P($C$2:C203)</f>
        <v>17.085453562574173</v>
      </c>
      <c r="H203">
        <f t="shared" ca="1" si="64"/>
        <v>293.8068060108734</v>
      </c>
      <c r="I203">
        <f t="shared" ca="1" si="65"/>
        <v>259.63589888572506</v>
      </c>
      <c r="J203">
        <f t="shared" ca="1" si="53"/>
        <v>305.43100000000004</v>
      </c>
      <c r="K203">
        <f t="shared" ca="1" si="54"/>
        <v>5.1317114206922358</v>
      </c>
      <c r="L203">
        <f t="shared" ca="1" si="55"/>
        <v>315.69442284138449</v>
      </c>
      <c r="M203">
        <f t="shared" ca="1" si="56"/>
        <v>295.16757715861559</v>
      </c>
      <c r="N203">
        <f t="shared" ca="1" si="66"/>
        <v>1.8600000000000136</v>
      </c>
      <c r="O203">
        <f t="shared" ca="1" si="67"/>
        <v>1.8600000000000136</v>
      </c>
      <c r="P203">
        <f t="shared" ca="1" si="68"/>
        <v>0</v>
      </c>
      <c r="Q203">
        <f t="shared" ca="1" si="51"/>
        <v>1.3989635595998433</v>
      </c>
      <c r="R203">
        <f t="shared" ca="1" si="52"/>
        <v>0.33785297531814112</v>
      </c>
      <c r="S203">
        <f t="shared" ca="1" si="49"/>
        <v>4.1407466022239454</v>
      </c>
      <c r="T203">
        <f t="shared" ca="1" si="50"/>
        <v>80.547572611974516</v>
      </c>
      <c r="U203">
        <f>70</f>
        <v>70</v>
      </c>
      <c r="V203">
        <f>30</f>
        <v>30</v>
      </c>
      <c r="W203">
        <f t="shared" ca="1" si="48"/>
        <v>308.9732699788118</v>
      </c>
      <c r="X203">
        <f t="shared" ca="1" si="58"/>
        <v>303.15387932518706</v>
      </c>
      <c r="Y203">
        <f t="shared" ca="1" si="57"/>
        <v>5.8603145385222319</v>
      </c>
      <c r="Z203">
        <f t="shared" ca="1" si="59"/>
        <v>5.3084660156311543</v>
      </c>
      <c r="AA203">
        <f t="shared" ca="1" si="60"/>
        <v>0.55184852289107766</v>
      </c>
      <c r="AB203">
        <f t="shared" ca="1" si="61"/>
        <v>275.7235</v>
      </c>
    </row>
    <row r="204" spans="1:28" x14ac:dyDescent="0.25">
      <c r="A204" s="21">
        <f t="shared" ca="1" si="62"/>
        <v>45586</v>
      </c>
      <c r="B204" vm="605">
        <f ca="1"/>
        <v>45586</v>
      </c>
      <c r="C204" vm="606">
        <f ca="1"/>
        <v>314.89</v>
      </c>
      <c r="D204" vm="607">
        <f ca="1"/>
        <v>2404056</v>
      </c>
      <c r="E204">
        <f t="shared" ca="1" si="63"/>
        <v>757013193.83999991</v>
      </c>
      <c r="F204">
        <f ca="1">SUM($E$2:E204)/SUM($D$2:D204)</f>
        <v>276.85619670836257</v>
      </c>
      <c r="G204">
        <f ca="1">_xlfn.STDEV.P($C$2:C204)</f>
        <v>17.225898425011458</v>
      </c>
      <c r="H204">
        <f t="shared" ca="1" si="64"/>
        <v>294.08209513337403</v>
      </c>
      <c r="I204">
        <f t="shared" ca="1" si="65"/>
        <v>259.63029828335112</v>
      </c>
      <c r="J204">
        <f t="shared" ca="1" si="53"/>
        <v>306.22250000000003</v>
      </c>
      <c r="K204">
        <f t="shared" ca="1" si="54"/>
        <v>5.3148668102339389</v>
      </c>
      <c r="L204">
        <f t="shared" ca="1" si="55"/>
        <v>316.85223362046793</v>
      </c>
      <c r="M204">
        <f t="shared" ca="1" si="56"/>
        <v>295.59276637953212</v>
      </c>
      <c r="N204">
        <f t="shared" ca="1" si="66"/>
        <v>-1.6700000000000159</v>
      </c>
      <c r="O204">
        <f t="shared" ca="1" si="67"/>
        <v>0</v>
      </c>
      <c r="P204">
        <f t="shared" ca="1" si="68"/>
        <v>1.6700000000000159</v>
      </c>
      <c r="Q204">
        <f t="shared" ca="1" si="51"/>
        <v>1.2990375910569973</v>
      </c>
      <c r="R204">
        <f t="shared" ca="1" si="52"/>
        <v>0.43300633422398932</v>
      </c>
      <c r="S204">
        <f t="shared" ca="1" si="49"/>
        <v>3.0000429286676895</v>
      </c>
      <c r="T204">
        <f t="shared" ca="1" si="50"/>
        <v>75.000268301293602</v>
      </c>
      <c r="U204">
        <f>70</f>
        <v>70</v>
      </c>
      <c r="V204">
        <f>30</f>
        <v>30</v>
      </c>
      <c r="W204">
        <f t="shared" ca="1" si="48"/>
        <v>309.88353613591767</v>
      </c>
      <c r="X204">
        <f t="shared" ca="1" si="58"/>
        <v>304.02322159739543</v>
      </c>
      <c r="Y204">
        <f t="shared" ca="1" si="57"/>
        <v>5.8096387840855641</v>
      </c>
      <c r="Z204">
        <f t="shared" ca="1" si="59"/>
        <v>5.4087005693220362</v>
      </c>
      <c r="AA204">
        <f t="shared" ca="1" si="60"/>
        <v>0.40093821476352787</v>
      </c>
      <c r="AB204">
        <f t="shared" ca="1" si="61"/>
        <v>276.37869999999998</v>
      </c>
    </row>
    <row r="205" spans="1:28" x14ac:dyDescent="0.25">
      <c r="A205" s="21">
        <f t="shared" ca="1" si="62"/>
        <v>45586</v>
      </c>
      <c r="B205" vm="608">
        <f ca="1"/>
        <v>45587</v>
      </c>
      <c r="C205" vm="609">
        <f ca="1"/>
        <v>314.69</v>
      </c>
      <c r="D205" vm="610">
        <f ca="1"/>
        <v>5889115</v>
      </c>
      <c r="E205">
        <f t="shared" ca="1" si="63"/>
        <v>1853245599.3499999</v>
      </c>
      <c r="F205">
        <f ca="1">SUM($E$2:E205)/SUM($D$2:D205)</f>
        <v>277.18081187879505</v>
      </c>
      <c r="G205">
        <f ca="1">_xlfn.STDEV.P($C$2:C205)</f>
        <v>17.360097170791285</v>
      </c>
      <c r="H205">
        <f t="shared" ca="1" si="64"/>
        <v>294.54090904958633</v>
      </c>
      <c r="I205">
        <f t="shared" ca="1" si="65"/>
        <v>259.82071470800378</v>
      </c>
      <c r="J205">
        <f t="shared" ca="1" si="53"/>
        <v>306.94349999999997</v>
      </c>
      <c r="K205">
        <f t="shared" ca="1" si="54"/>
        <v>5.4414484091529927</v>
      </c>
      <c r="L205">
        <f t="shared" ca="1" si="55"/>
        <v>317.82639681830597</v>
      </c>
      <c r="M205">
        <f t="shared" ca="1" si="56"/>
        <v>296.06060318169398</v>
      </c>
      <c r="N205">
        <f t="shared" ca="1" si="66"/>
        <v>-0.19999999999998863</v>
      </c>
      <c r="O205">
        <f t="shared" ca="1" si="67"/>
        <v>0</v>
      </c>
      <c r="P205">
        <f t="shared" ca="1" si="68"/>
        <v>0.19999999999998863</v>
      </c>
      <c r="Q205">
        <f t="shared" ca="1" si="51"/>
        <v>1.2062491916957832</v>
      </c>
      <c r="R205">
        <f t="shared" ca="1" si="52"/>
        <v>0.41636302463656072</v>
      </c>
      <c r="S205">
        <f t="shared" ca="1" si="49"/>
        <v>2.8971093020296568</v>
      </c>
      <c r="T205">
        <f t="shared" ca="1" si="50"/>
        <v>74.339955015395915</v>
      </c>
      <c r="U205">
        <f>70</f>
        <v>70</v>
      </c>
      <c r="V205">
        <f>30</f>
        <v>30</v>
      </c>
      <c r="W205">
        <f t="shared" ca="1" si="48"/>
        <v>310.62299211500726</v>
      </c>
      <c r="X205">
        <f t="shared" ca="1" si="58"/>
        <v>304.8133533309217</v>
      </c>
      <c r="Y205">
        <f t="shared" ca="1" si="57"/>
        <v>4.4178029219589803</v>
      </c>
      <c r="Z205">
        <f t="shared" ca="1" si="59"/>
        <v>5.2105210398494259</v>
      </c>
      <c r="AA205">
        <f t="shared" ca="1" si="60"/>
        <v>-0.79271811789044566</v>
      </c>
      <c r="AB205">
        <f t="shared" ca="1" si="61"/>
        <v>277.00489999999991</v>
      </c>
    </row>
    <row r="206" spans="1:28" x14ac:dyDescent="0.25">
      <c r="A206" s="21">
        <f t="shared" ca="1" si="62"/>
        <v>45586</v>
      </c>
      <c r="B206" vm="611">
        <f ca="1"/>
        <v>45588</v>
      </c>
      <c r="C206" vm="612">
        <f ca="1"/>
        <v>298.57</v>
      </c>
      <c r="D206" vm="613">
        <f ca="1"/>
        <v>18791952</v>
      </c>
      <c r="E206">
        <f t="shared" ca="1" si="63"/>
        <v>5610713108.6400003</v>
      </c>
      <c r="F206">
        <f ca="1">SUM($E$2:E206)/SUM($D$2:D206)</f>
        <v>277.75081137259224</v>
      </c>
      <c r="G206">
        <f ca="1">_xlfn.STDEV.P($C$2:C206)</f>
        <v>17.368532847589943</v>
      </c>
      <c r="H206">
        <f t="shared" ca="1" si="64"/>
        <v>295.1193442201822</v>
      </c>
      <c r="I206">
        <f t="shared" ca="1" si="65"/>
        <v>260.38227852500228</v>
      </c>
      <c r="J206">
        <f t="shared" ca="1" si="53"/>
        <v>306.8485</v>
      </c>
      <c r="K206">
        <f t="shared" ca="1" si="54"/>
        <v>5.5753529744289425</v>
      </c>
      <c r="L206">
        <f t="shared" ca="1" si="55"/>
        <v>317.99920594885788</v>
      </c>
      <c r="M206">
        <f t="shared" ca="1" si="56"/>
        <v>295.69779405114213</v>
      </c>
      <c r="N206">
        <f t="shared" ca="1" si="66"/>
        <v>-16.120000000000005</v>
      </c>
      <c r="O206">
        <f t="shared" ca="1" si="67"/>
        <v>0</v>
      </c>
      <c r="P206">
        <f t="shared" ca="1" si="68"/>
        <v>16.120000000000005</v>
      </c>
      <c r="Q206">
        <f t="shared" ca="1" si="51"/>
        <v>1.1200885351460843</v>
      </c>
      <c r="R206">
        <f t="shared" ca="1" si="52"/>
        <v>1.5380513800196638</v>
      </c>
      <c r="S206">
        <f t="shared" ca="1" si="49"/>
        <v>0.7282517019241348</v>
      </c>
      <c r="T206">
        <f t="shared" ca="1" si="50"/>
        <v>42.138057848480159</v>
      </c>
      <c r="U206">
        <f>70</f>
        <v>70</v>
      </c>
      <c r="V206">
        <f>30</f>
        <v>30</v>
      </c>
      <c r="W206">
        <f t="shared" ca="1" si="48"/>
        <v>308.7686856357754</v>
      </c>
      <c r="X206">
        <f t="shared" ca="1" si="58"/>
        <v>304.35088271381642</v>
      </c>
      <c r="Y206">
        <f t="shared" ca="1" si="57"/>
        <v>3.5171018570796377</v>
      </c>
      <c r="Z206">
        <f t="shared" ca="1" si="59"/>
        <v>4.8718372032954687</v>
      </c>
      <c r="AA206">
        <f t="shared" ca="1" si="60"/>
        <v>-1.3547353462158309</v>
      </c>
      <c r="AB206">
        <f t="shared" ca="1" si="61"/>
        <v>277.40169999999995</v>
      </c>
    </row>
    <row r="207" spans="1:28" x14ac:dyDescent="0.25">
      <c r="A207" s="21">
        <f t="shared" ca="1" si="62"/>
        <v>45586</v>
      </c>
      <c r="B207" vm="614">
        <f ca="1"/>
        <v>45589</v>
      </c>
      <c r="C207" vm="615">
        <f ca="1"/>
        <v>301.58</v>
      </c>
      <c r="D207" vm="616">
        <f ca="1"/>
        <v>5522591</v>
      </c>
      <c r="E207">
        <f t="shared" ca="1" si="63"/>
        <v>1665502993.78</v>
      </c>
      <c r="F207">
        <f ca="1">SUM($E$2:E207)/SUM($D$2:D207)</f>
        <v>277.9359821435778</v>
      </c>
      <c r="G207">
        <f ca="1">_xlfn.STDEV.P($C$2:C207)</f>
        <v>17.393513386863908</v>
      </c>
      <c r="H207">
        <f t="shared" ca="1" si="64"/>
        <v>295.3294955304417</v>
      </c>
      <c r="I207">
        <f t="shared" ca="1" si="65"/>
        <v>260.5424687567139</v>
      </c>
      <c r="J207">
        <f t="shared" ca="1" si="53"/>
        <v>306.745</v>
      </c>
      <c r="K207">
        <f t="shared" ca="1" si="54"/>
        <v>5.6564778886921445</v>
      </c>
      <c r="L207">
        <f t="shared" ca="1" si="55"/>
        <v>318.05795577738428</v>
      </c>
      <c r="M207">
        <f t="shared" ca="1" si="56"/>
        <v>295.43204422261573</v>
      </c>
      <c r="N207">
        <f t="shared" ca="1" si="66"/>
        <v>3.0099999999999909</v>
      </c>
      <c r="O207">
        <f t="shared" ca="1" si="67"/>
        <v>3.0099999999999909</v>
      </c>
      <c r="P207">
        <f t="shared" ca="1" si="68"/>
        <v>0</v>
      </c>
      <c r="Q207">
        <f t="shared" ca="1" si="51"/>
        <v>1.2550822112070779</v>
      </c>
      <c r="R207">
        <f t="shared" ca="1" si="52"/>
        <v>1.4281905671611164</v>
      </c>
      <c r="S207">
        <f t="shared" ca="1" si="49"/>
        <v>0.87879183637367497</v>
      </c>
      <c r="T207">
        <f t="shared" ca="1" si="50"/>
        <v>46.774305666021164</v>
      </c>
      <c r="U207">
        <f>70</f>
        <v>70</v>
      </c>
      <c r="V207">
        <f>30</f>
        <v>30</v>
      </c>
      <c r="W207">
        <f t="shared" ref="W207:W270" ca="1" si="69">C207*(2/(12+1)) + W206*(1-(2/(12+1)))</f>
        <v>307.66273399950228</v>
      </c>
      <c r="X207">
        <f t="shared" ca="1" si="58"/>
        <v>304.14563214242264</v>
      </c>
      <c r="Y207">
        <f t="shared" ca="1" si="57"/>
        <v>2.0557878961960796</v>
      </c>
      <c r="Z207">
        <f t="shared" ca="1" si="59"/>
        <v>4.3086273418755905</v>
      </c>
      <c r="AA207">
        <f t="shared" ca="1" si="60"/>
        <v>-2.2528394456795109</v>
      </c>
      <c r="AB207">
        <f t="shared" ca="1" si="61"/>
        <v>277.81999999999994</v>
      </c>
    </row>
    <row r="208" spans="1:28" x14ac:dyDescent="0.25">
      <c r="A208" s="21">
        <f t="shared" ca="1" si="62"/>
        <v>45586</v>
      </c>
      <c r="B208" vm="617">
        <f ca="1"/>
        <v>45590</v>
      </c>
      <c r="C208" vm="618">
        <f ca="1"/>
        <v>292.61</v>
      </c>
      <c r="D208" vm="619">
        <f ca="1"/>
        <v>8863234</v>
      </c>
      <c r="E208">
        <f t="shared" ca="1" si="63"/>
        <v>2593470900.7400002</v>
      </c>
      <c r="F208">
        <f ca="1">SUM($E$2:E208)/SUM($D$2:D208)</f>
        <v>278.11673236020431</v>
      </c>
      <c r="G208">
        <f ca="1">_xlfn.STDEV.P($C$2:C208)</f>
        <v>17.374481177345732</v>
      </c>
      <c r="H208">
        <f t="shared" ca="1" si="64"/>
        <v>295.49121353755004</v>
      </c>
      <c r="I208">
        <f t="shared" ca="1" si="65"/>
        <v>260.74225118285858</v>
      </c>
      <c r="J208">
        <f t="shared" ca="1" si="53"/>
        <v>306.19099999999997</v>
      </c>
      <c r="K208">
        <f t="shared" ca="1" si="54"/>
        <v>6.4573335706083217</v>
      </c>
      <c r="L208">
        <f t="shared" ca="1" si="55"/>
        <v>319.1056671412166</v>
      </c>
      <c r="M208">
        <f t="shared" ca="1" si="56"/>
        <v>293.27633285878335</v>
      </c>
      <c r="N208">
        <f t="shared" ca="1" si="66"/>
        <v>-8.9699999999999704</v>
      </c>
      <c r="O208">
        <f t="shared" ca="1" si="67"/>
        <v>0</v>
      </c>
      <c r="P208">
        <f t="shared" ca="1" si="68"/>
        <v>8.9699999999999704</v>
      </c>
      <c r="Q208">
        <f t="shared" ca="1" si="51"/>
        <v>1.1654334818351437</v>
      </c>
      <c r="R208">
        <f t="shared" ca="1" si="52"/>
        <v>1.9668912409353203</v>
      </c>
      <c r="S208">
        <f t="shared" ref="S208:S271" ca="1" si="70">IF(R208=0,NA(),Q208/R208)</f>
        <v>0.59252563516472956</v>
      </c>
      <c r="T208">
        <f t="shared" ref="T208:T271" ca="1" si="71">100-(100/(1+S208))</f>
        <v>37.206662303017751</v>
      </c>
      <c r="U208">
        <f>70</f>
        <v>70</v>
      </c>
      <c r="V208">
        <f>30</f>
        <v>30</v>
      </c>
      <c r="W208">
        <f t="shared" ca="1" si="69"/>
        <v>305.34692876880962</v>
      </c>
      <c r="X208">
        <f t="shared" ca="1" si="58"/>
        <v>303.29114087261354</v>
      </c>
      <c r="Y208">
        <f t="shared" ca="1" si="57"/>
        <v>1.220903306943228</v>
      </c>
      <c r="Z208">
        <f t="shared" ca="1" si="59"/>
        <v>3.6910825348891181</v>
      </c>
      <c r="AA208">
        <f t="shared" ca="1" si="60"/>
        <v>-2.4701792279458901</v>
      </c>
      <c r="AB208">
        <f t="shared" ca="1" si="61"/>
        <v>278.11889999999994</v>
      </c>
    </row>
    <row r="209" spans="1:28" x14ac:dyDescent="0.25">
      <c r="A209" s="21">
        <f t="shared" ca="1" si="62"/>
        <v>45593</v>
      </c>
      <c r="B209" vm="620">
        <f ca="1"/>
        <v>45593</v>
      </c>
      <c r="C209" vm="621">
        <f ca="1"/>
        <v>296.79000000000002</v>
      </c>
      <c r="D209" vm="622">
        <f ca="1"/>
        <v>6655971</v>
      </c>
      <c r="E209">
        <f t="shared" ca="1" si="63"/>
        <v>1975425633.0900002</v>
      </c>
      <c r="F209">
        <f ca="1">SUM($E$2:E209)/SUM($D$2:D209)</f>
        <v>278.28787983128495</v>
      </c>
      <c r="G209">
        <f ca="1">_xlfn.STDEV.P($C$2:C209)</f>
        <v>17.372582292559212</v>
      </c>
      <c r="H209">
        <f t="shared" ca="1" si="64"/>
        <v>295.66046212384418</v>
      </c>
      <c r="I209">
        <f t="shared" ca="1" si="65"/>
        <v>260.91529753872572</v>
      </c>
      <c r="J209">
        <f t="shared" ca="1" si="53"/>
        <v>305.80499999999995</v>
      </c>
      <c r="K209">
        <f t="shared" ca="1" si="54"/>
        <v>6.7855073890104718</v>
      </c>
      <c r="L209">
        <f t="shared" ca="1" si="55"/>
        <v>319.37601477802087</v>
      </c>
      <c r="M209">
        <f t="shared" ca="1" si="56"/>
        <v>292.23398522197903</v>
      </c>
      <c r="N209">
        <f t="shared" ca="1" si="66"/>
        <v>4.1800000000000068</v>
      </c>
      <c r="O209">
        <f t="shared" ca="1" si="67"/>
        <v>4.1800000000000068</v>
      </c>
      <c r="P209">
        <f t="shared" ca="1" si="68"/>
        <v>0</v>
      </c>
      <c r="Q209">
        <f t="shared" ref="Q209:Q272" ca="1" si="72">(Q208*13+O209)/14</f>
        <v>1.3807596617040627</v>
      </c>
      <c r="R209">
        <f t="shared" ref="R209:R272" ca="1" si="73">(R208*13+P209)/14</f>
        <v>1.8263990094399403</v>
      </c>
      <c r="S209">
        <f t="shared" ca="1" si="70"/>
        <v>0.75600110083692418</v>
      </c>
      <c r="T209">
        <f t="shared" ca="1" si="71"/>
        <v>43.052427499994614</v>
      </c>
      <c r="U209">
        <f>70</f>
        <v>70</v>
      </c>
      <c r="V209">
        <f>30</f>
        <v>30</v>
      </c>
      <c r="W209">
        <f t="shared" ca="1" si="69"/>
        <v>304.03047818899279</v>
      </c>
      <c r="X209">
        <f t="shared" ca="1" si="58"/>
        <v>302.80957488204956</v>
      </c>
      <c r="Y209">
        <f t="shared" ca="1" si="57"/>
        <v>0.41008599847509686</v>
      </c>
      <c r="Z209">
        <f t="shared" ca="1" si="59"/>
        <v>3.034883227606314</v>
      </c>
      <c r="AA209">
        <f t="shared" ca="1" si="60"/>
        <v>-2.6247972291312172</v>
      </c>
      <c r="AB209">
        <f t="shared" ca="1" si="61"/>
        <v>278.48689999999993</v>
      </c>
    </row>
    <row r="210" spans="1:28" x14ac:dyDescent="0.25">
      <c r="A210" s="21">
        <f t="shared" ca="1" si="62"/>
        <v>45593</v>
      </c>
      <c r="B210" vm="623">
        <f ca="1"/>
        <v>45594</v>
      </c>
      <c r="C210" vm="624">
        <f ca="1"/>
        <v>295</v>
      </c>
      <c r="D210" vm="625">
        <f ca="1"/>
        <v>9048877</v>
      </c>
      <c r="E210">
        <f t="shared" ca="1" si="63"/>
        <v>2669418715</v>
      </c>
      <c r="F210">
        <f ca="1">SUM($E$2:E210)/SUM($D$2:D210)</f>
        <v>278.4935573926698</v>
      </c>
      <c r="G210">
        <f ca="1">_xlfn.STDEV.P($C$2:C210)</f>
        <v>17.362449451101565</v>
      </c>
      <c r="H210">
        <f t="shared" ca="1" si="64"/>
        <v>295.85600684377135</v>
      </c>
      <c r="I210">
        <f t="shared" ca="1" si="65"/>
        <v>261.13110794156825</v>
      </c>
      <c r="J210">
        <f t="shared" ca="1" si="53"/>
        <v>305.40599999999995</v>
      </c>
      <c r="K210">
        <f t="shared" ca="1" si="54"/>
        <v>7.1833230838043001</v>
      </c>
      <c r="L210">
        <f t="shared" ca="1" si="55"/>
        <v>319.77264616760857</v>
      </c>
      <c r="M210">
        <f t="shared" ca="1" si="56"/>
        <v>291.03935383239133</v>
      </c>
      <c r="N210">
        <f t="shared" ca="1" si="66"/>
        <v>-1.7900000000000205</v>
      </c>
      <c r="O210">
        <f t="shared" ca="1" si="67"/>
        <v>0</v>
      </c>
      <c r="P210">
        <f t="shared" ca="1" si="68"/>
        <v>1.7900000000000205</v>
      </c>
      <c r="Q210">
        <f t="shared" ca="1" si="72"/>
        <v>1.2821339715823439</v>
      </c>
      <c r="R210">
        <f t="shared" ca="1" si="73"/>
        <v>1.8237990801942316</v>
      </c>
      <c r="S210">
        <f t="shared" ca="1" si="70"/>
        <v>0.70300176456158681</v>
      </c>
      <c r="T210">
        <f t="shared" ca="1" si="71"/>
        <v>41.280154794353045</v>
      </c>
      <c r="U210">
        <f>70</f>
        <v>70</v>
      </c>
      <c r="V210">
        <f>30</f>
        <v>30</v>
      </c>
      <c r="W210">
        <f t="shared" ca="1" si="69"/>
        <v>302.64117385222471</v>
      </c>
      <c r="X210">
        <f t="shared" ca="1" si="58"/>
        <v>302.23108785374961</v>
      </c>
      <c r="Y210">
        <f t="shared" ca="1" si="57"/>
        <v>-0.50744990985151617</v>
      </c>
      <c r="Z210">
        <f t="shared" ca="1" si="59"/>
        <v>2.3264166001147482</v>
      </c>
      <c r="AA210">
        <f t="shared" ca="1" si="60"/>
        <v>-2.8338665099662643</v>
      </c>
      <c r="AB210">
        <f t="shared" ca="1" si="61"/>
        <v>278.8297</v>
      </c>
    </row>
    <row r="211" spans="1:28" x14ac:dyDescent="0.25">
      <c r="A211" s="21">
        <f t="shared" ca="1" si="62"/>
        <v>45593</v>
      </c>
      <c r="B211" vm="626">
        <f ca="1"/>
        <v>45595</v>
      </c>
      <c r="C211" vm="627">
        <f ca="1"/>
        <v>291.52</v>
      </c>
      <c r="D211" vm="628">
        <f ca="1"/>
        <v>4924013</v>
      </c>
      <c r="E211">
        <f t="shared" ca="1" si="63"/>
        <v>1435448269.76</v>
      </c>
      <c r="F211">
        <f ca="1">SUM($E$2:E211)/SUM($D$2:D211)</f>
        <v>278.58021504702464</v>
      </c>
      <c r="G211">
        <f ca="1">_xlfn.STDEV.P($C$2:C211)</f>
        <v>17.339433178716764</v>
      </c>
      <c r="H211">
        <f t="shared" ca="1" si="64"/>
        <v>295.91964822574141</v>
      </c>
      <c r="I211">
        <f t="shared" ca="1" si="65"/>
        <v>261.24078186830786</v>
      </c>
      <c r="J211">
        <f t="shared" ca="1" si="53"/>
        <v>304.79399999999998</v>
      </c>
      <c r="K211">
        <f t="shared" ca="1" si="54"/>
        <v>7.8237939376588468</v>
      </c>
      <c r="L211">
        <f t="shared" ca="1" si="55"/>
        <v>320.44158787531768</v>
      </c>
      <c r="M211">
        <f t="shared" ca="1" si="56"/>
        <v>289.14641212468229</v>
      </c>
      <c r="N211">
        <f t="shared" ca="1" si="66"/>
        <v>-3.4800000000000182</v>
      </c>
      <c r="O211">
        <f t="shared" ca="1" si="67"/>
        <v>0</v>
      </c>
      <c r="P211">
        <f t="shared" ca="1" si="68"/>
        <v>3.4800000000000182</v>
      </c>
      <c r="Q211">
        <f t="shared" ca="1" si="72"/>
        <v>1.1905529736121765</v>
      </c>
      <c r="R211">
        <f t="shared" ca="1" si="73"/>
        <v>1.9420991458946448</v>
      </c>
      <c r="S211">
        <f t="shared" ca="1" si="70"/>
        <v>0.61302378724014006</v>
      </c>
      <c r="T211">
        <f t="shared" ca="1" si="71"/>
        <v>38.004634035125711</v>
      </c>
      <c r="U211">
        <f>70</f>
        <v>70</v>
      </c>
      <c r="V211">
        <f>30</f>
        <v>30</v>
      </c>
      <c r="W211">
        <f t="shared" ca="1" si="69"/>
        <v>300.93022402880553</v>
      </c>
      <c r="X211">
        <f t="shared" ca="1" si="58"/>
        <v>301.43767393865704</v>
      </c>
      <c r="Y211">
        <f t="shared" ca="1" si="57"/>
        <v>-1.1734686424737788</v>
      </c>
      <c r="Z211">
        <f t="shared" ca="1" si="59"/>
        <v>1.6264395515970427</v>
      </c>
      <c r="AA211">
        <f t="shared" ca="1" si="60"/>
        <v>-2.7999081940708215</v>
      </c>
      <c r="AB211">
        <f t="shared" ca="1" si="61"/>
        <v>279.18279999999993</v>
      </c>
    </row>
    <row r="212" spans="1:28" x14ac:dyDescent="0.25">
      <c r="A212" s="21">
        <f t="shared" ca="1" si="62"/>
        <v>45593</v>
      </c>
      <c r="B212" vm="629">
        <f ca="1"/>
        <v>45596</v>
      </c>
      <c r="C212" vm="630">
        <f ca="1"/>
        <v>292.11</v>
      </c>
      <c r="D212" vm="631">
        <f ca="1"/>
        <v>4277428</v>
      </c>
      <c r="E212">
        <f t="shared" ca="1" si="63"/>
        <v>1249479493.0800002</v>
      </c>
      <c r="F212">
        <f ca="1">SUM($E$2:E212)/SUM($D$2:D212)</f>
        <v>278.65795298073346</v>
      </c>
      <c r="G212">
        <f ca="1">_xlfn.STDEV.P($C$2:C212)</f>
        <v>17.318332802136986</v>
      </c>
      <c r="H212">
        <f t="shared" ca="1" si="64"/>
        <v>295.97628578287043</v>
      </c>
      <c r="I212">
        <f t="shared" ca="1" si="65"/>
        <v>261.33962017859648</v>
      </c>
      <c r="J212">
        <f t="shared" ca="1" si="53"/>
        <v>304.22699999999992</v>
      </c>
      <c r="K212">
        <f t="shared" ca="1" si="54"/>
        <v>8.3214087243623993</v>
      </c>
      <c r="L212">
        <f t="shared" ca="1" si="55"/>
        <v>320.86981744872469</v>
      </c>
      <c r="M212">
        <f t="shared" ca="1" si="56"/>
        <v>287.58418255127515</v>
      </c>
      <c r="N212">
        <f t="shared" ca="1" si="66"/>
        <v>0.59000000000003183</v>
      </c>
      <c r="O212">
        <f t="shared" ca="1" si="67"/>
        <v>0.59000000000003183</v>
      </c>
      <c r="P212">
        <f t="shared" ca="1" si="68"/>
        <v>0</v>
      </c>
      <c r="Q212">
        <f t="shared" ca="1" si="72"/>
        <v>1.1476563326398803</v>
      </c>
      <c r="R212">
        <f t="shared" ca="1" si="73"/>
        <v>1.8033777783307416</v>
      </c>
      <c r="S212">
        <f t="shared" ca="1" si="70"/>
        <v>0.63639263299683335</v>
      </c>
      <c r="T212">
        <f t="shared" ca="1" si="71"/>
        <v>38.889971768655897</v>
      </c>
      <c r="U212">
        <f>70</f>
        <v>70</v>
      </c>
      <c r="V212">
        <f>30</f>
        <v>30</v>
      </c>
      <c r="W212">
        <f t="shared" ca="1" si="69"/>
        <v>299.57326648591237</v>
      </c>
      <c r="X212">
        <f t="shared" ca="1" si="58"/>
        <v>300.74673512838615</v>
      </c>
      <c r="Y212">
        <f t="shared" ca="1" si="57"/>
        <v>-1.4346118815086584</v>
      </c>
      <c r="Z212">
        <f t="shared" ca="1" si="59"/>
        <v>1.0142292649759026</v>
      </c>
      <c r="AA212">
        <f t="shared" ca="1" si="60"/>
        <v>-2.4488411464845612</v>
      </c>
      <c r="AB212">
        <f t="shared" ca="1" si="61"/>
        <v>279.56579999999997</v>
      </c>
    </row>
    <row r="213" spans="1:28" x14ac:dyDescent="0.25">
      <c r="A213" s="21">
        <f t="shared" ca="1" si="62"/>
        <v>45593</v>
      </c>
      <c r="B213" vm="632">
        <f ca="1"/>
        <v>45597</v>
      </c>
      <c r="C213" vm="633">
        <f ca="1"/>
        <v>295.20999999999998</v>
      </c>
      <c r="D213" vm="634">
        <f ca="1"/>
        <v>4131804</v>
      </c>
      <c r="E213">
        <f t="shared" ca="1" si="63"/>
        <v>1219749858.8399999</v>
      </c>
      <c r="F213">
        <f ca="1">SUM($E$2:E213)/SUM($D$2:D213)</f>
        <v>278.74931109148736</v>
      </c>
      <c r="G213">
        <f ca="1">_xlfn.STDEV.P($C$2:C213)</f>
        <v>17.30867288236297</v>
      </c>
      <c r="H213">
        <f t="shared" ca="1" si="64"/>
        <v>296.05798397385036</v>
      </c>
      <c r="I213">
        <f t="shared" ca="1" si="65"/>
        <v>261.44063820912436</v>
      </c>
      <c r="J213">
        <f t="shared" ca="1" si="53"/>
        <v>303.79949999999997</v>
      </c>
      <c r="K213">
        <f t="shared" ca="1" si="54"/>
        <v>8.562783902323746</v>
      </c>
      <c r="L213">
        <f t="shared" ca="1" si="55"/>
        <v>320.92506780464748</v>
      </c>
      <c r="M213">
        <f t="shared" ca="1" si="56"/>
        <v>286.67393219535245</v>
      </c>
      <c r="N213">
        <f t="shared" ca="1" si="66"/>
        <v>3.0999999999999659</v>
      </c>
      <c r="O213">
        <f t="shared" ca="1" si="67"/>
        <v>3.0999999999999659</v>
      </c>
      <c r="P213">
        <f t="shared" ca="1" si="68"/>
        <v>0</v>
      </c>
      <c r="Q213">
        <f t="shared" ca="1" si="72"/>
        <v>1.2871094517370294</v>
      </c>
      <c r="R213">
        <f t="shared" ca="1" si="73"/>
        <v>1.6745650798785459</v>
      </c>
      <c r="S213">
        <f t="shared" ca="1" si="70"/>
        <v>0.76862312919506348</v>
      </c>
      <c r="T213">
        <f t="shared" ca="1" si="71"/>
        <v>43.458841881417641</v>
      </c>
      <c r="U213">
        <f>70</f>
        <v>70</v>
      </c>
      <c r="V213">
        <f>30</f>
        <v>30</v>
      </c>
      <c r="W213">
        <f t="shared" ca="1" si="69"/>
        <v>298.90199471884893</v>
      </c>
      <c r="X213">
        <f t="shared" ca="1" si="58"/>
        <v>300.33660660035758</v>
      </c>
      <c r="Y213">
        <f t="shared" ca="1" si="57"/>
        <v>-1.8111245402224085</v>
      </c>
      <c r="Z213">
        <f t="shared" ca="1" si="59"/>
        <v>0.44915850393624046</v>
      </c>
      <c r="AA213">
        <f t="shared" ca="1" si="60"/>
        <v>-2.260283044158649</v>
      </c>
      <c r="AB213">
        <f t="shared" ca="1" si="61"/>
        <v>279.97509999999994</v>
      </c>
    </row>
    <row r="214" spans="1:28" x14ac:dyDescent="0.25">
      <c r="A214" s="21">
        <f t="shared" ca="1" si="62"/>
        <v>45600</v>
      </c>
      <c r="B214" vm="635">
        <f ca="1"/>
        <v>45600</v>
      </c>
      <c r="C214" vm="636">
        <f ca="1"/>
        <v>292.85000000000002</v>
      </c>
      <c r="D214" vm="637">
        <f ca="1"/>
        <v>2583053</v>
      </c>
      <c r="E214">
        <f t="shared" ca="1" si="63"/>
        <v>756447071.05000007</v>
      </c>
      <c r="F214">
        <f ca="1">SUM($E$2:E214)/SUM($D$2:D214)</f>
        <v>278.79779898951875</v>
      </c>
      <c r="G214">
        <f ca="1">_xlfn.STDEV.P($C$2:C214)</f>
        <v>17.289932086159443</v>
      </c>
      <c r="H214">
        <f t="shared" ca="1" si="64"/>
        <v>296.08773107567822</v>
      </c>
      <c r="I214">
        <f t="shared" ca="1" si="65"/>
        <v>261.50786690335929</v>
      </c>
      <c r="J214">
        <f t="shared" ref="J214:J277" ca="1" si="74">AVERAGE(C195:C214)</f>
        <v>303.39949999999999</v>
      </c>
      <c r="K214">
        <f t="shared" ref="K214:K277" ca="1" si="75">_xlfn.STDEV.S(C195:C214)</f>
        <v>8.8884789267668776</v>
      </c>
      <c r="L214">
        <f t="shared" ref="L214:L277" ca="1" si="76">J214 + 2*K214</f>
        <v>321.17645785353375</v>
      </c>
      <c r="M214">
        <f t="shared" ref="M214:M277" ca="1" si="77">J214-2*K214</f>
        <v>285.62254214646623</v>
      </c>
      <c r="N214">
        <f t="shared" ca="1" si="66"/>
        <v>-2.3599999999999568</v>
      </c>
      <c r="O214">
        <f t="shared" ca="1" si="67"/>
        <v>0</v>
      </c>
      <c r="P214">
        <f t="shared" ca="1" si="68"/>
        <v>2.3599999999999568</v>
      </c>
      <c r="Q214">
        <f t="shared" ca="1" si="72"/>
        <v>1.1951730623272414</v>
      </c>
      <c r="R214">
        <f t="shared" ca="1" si="73"/>
        <v>1.7235247170300754</v>
      </c>
      <c r="S214">
        <f t="shared" ca="1" si="70"/>
        <v>0.6934470103722834</v>
      </c>
      <c r="T214">
        <f t="shared" ca="1" si="71"/>
        <v>40.94884611829913</v>
      </c>
      <c r="U214">
        <f>70</f>
        <v>70</v>
      </c>
      <c r="V214">
        <f>30</f>
        <v>30</v>
      </c>
      <c r="W214">
        <f t="shared" ca="1" si="69"/>
        <v>297.9709186082568</v>
      </c>
      <c r="X214">
        <f t="shared" ca="1" si="58"/>
        <v>299.7820431484792</v>
      </c>
      <c r="Y214">
        <f t="shared" ca="1" si="57"/>
        <v>-1.7288922980155803</v>
      </c>
      <c r="Z214">
        <f t="shared" ca="1" si="59"/>
        <v>1.3548343545876307E-2</v>
      </c>
      <c r="AA214">
        <f t="shared" ca="1" si="60"/>
        <v>-1.7424406415614566</v>
      </c>
      <c r="AB214">
        <f t="shared" ca="1" si="61"/>
        <v>280.35879999999997</v>
      </c>
    </row>
    <row r="215" spans="1:28" x14ac:dyDescent="0.25">
      <c r="A215" s="21">
        <f t="shared" ca="1" si="62"/>
        <v>45600</v>
      </c>
      <c r="B215" vm="638">
        <f ca="1"/>
        <v>45601</v>
      </c>
      <c r="C215" vm="639">
        <f ca="1"/>
        <v>297.32</v>
      </c>
      <c r="D215" vm="640">
        <f ca="1"/>
        <v>3032122</v>
      </c>
      <c r="E215">
        <f t="shared" ca="1" si="63"/>
        <v>901510513.03999996</v>
      </c>
      <c r="F215">
        <f ca="1">SUM($E$2:E215)/SUM($D$2:D215)</f>
        <v>278.87226352195404</v>
      </c>
      <c r="G215">
        <f ca="1">_xlfn.STDEV.P($C$2:C215)</f>
        <v>17.28908404969712</v>
      </c>
      <c r="H215">
        <f t="shared" ca="1" si="64"/>
        <v>296.16134757165116</v>
      </c>
      <c r="I215">
        <f t="shared" ca="1" si="65"/>
        <v>261.58317947225692</v>
      </c>
      <c r="J215">
        <f t="shared" ca="1" si="74"/>
        <v>303.1705</v>
      </c>
      <c r="K215">
        <f t="shared" ca="1" si="75"/>
        <v>8.9875911385467546</v>
      </c>
      <c r="L215">
        <f t="shared" ca="1" si="76"/>
        <v>321.1456822770935</v>
      </c>
      <c r="M215">
        <f t="shared" ca="1" si="77"/>
        <v>285.19531772290651</v>
      </c>
      <c r="N215">
        <f t="shared" ca="1" si="66"/>
        <v>4.4699999999999704</v>
      </c>
      <c r="O215">
        <f t="shared" ca="1" si="67"/>
        <v>4.4699999999999704</v>
      </c>
      <c r="P215">
        <f t="shared" ca="1" si="68"/>
        <v>0</v>
      </c>
      <c r="Q215">
        <f t="shared" ca="1" si="72"/>
        <v>1.4290892721610078</v>
      </c>
      <c r="R215">
        <f t="shared" ca="1" si="73"/>
        <v>1.6004158086707843</v>
      </c>
      <c r="S215">
        <f t="shared" ca="1" si="70"/>
        <v>0.89294873520896378</v>
      </c>
      <c r="T215">
        <f t="shared" ca="1" si="71"/>
        <v>47.172367566012852</v>
      </c>
      <c r="U215">
        <f>70</f>
        <v>70</v>
      </c>
      <c r="V215">
        <f>30</f>
        <v>30</v>
      </c>
      <c r="W215">
        <f t="shared" ca="1" si="69"/>
        <v>297.8707772839096</v>
      </c>
      <c r="X215">
        <f t="shared" ca="1" si="58"/>
        <v>299.59966958192518</v>
      </c>
      <c r="Y215">
        <f t="shared" ca="1" si="57"/>
        <v>-1.9096061561382385</v>
      </c>
      <c r="Z215">
        <f t="shared" ca="1" si="59"/>
        <v>-0.37108255639094667</v>
      </c>
      <c r="AA215">
        <f t="shared" ca="1" si="60"/>
        <v>-1.5385235997472919</v>
      </c>
      <c r="AB215">
        <f t="shared" ca="1" si="61"/>
        <v>280.79499999999996</v>
      </c>
    </row>
    <row r="216" spans="1:28" x14ac:dyDescent="0.25">
      <c r="A216" s="21">
        <f t="shared" ca="1" si="62"/>
        <v>45600</v>
      </c>
      <c r="B216" vm="641">
        <f ca="1"/>
        <v>45602</v>
      </c>
      <c r="C216" vm="642">
        <f ca="1"/>
        <v>294</v>
      </c>
      <c r="D216" vm="643">
        <f ca="1"/>
        <v>4646422</v>
      </c>
      <c r="E216">
        <f t="shared" ca="1" si="63"/>
        <v>1366048068</v>
      </c>
      <c r="F216">
        <f ca="1">SUM($E$2:E216)/SUM($D$2:D216)</f>
        <v>278.96489006615388</v>
      </c>
      <c r="G216">
        <f ca="1">_xlfn.STDEV.P($C$2:C216)</f>
        <v>17.274173963152279</v>
      </c>
      <c r="H216">
        <f t="shared" ca="1" si="64"/>
        <v>296.23906402930618</v>
      </c>
      <c r="I216">
        <f t="shared" ca="1" si="65"/>
        <v>261.69071610300159</v>
      </c>
      <c r="J216">
        <f t="shared" ca="1" si="74"/>
        <v>302.67899999999997</v>
      </c>
      <c r="K216">
        <f t="shared" ca="1" si="75"/>
        <v>9.2155211749697443</v>
      </c>
      <c r="L216">
        <f t="shared" ca="1" si="76"/>
        <v>321.11004234993948</v>
      </c>
      <c r="M216">
        <f t="shared" ca="1" si="77"/>
        <v>284.24795765006047</v>
      </c>
      <c r="N216">
        <f t="shared" ca="1" si="66"/>
        <v>-3.3199999999999932</v>
      </c>
      <c r="O216">
        <f t="shared" ca="1" si="67"/>
        <v>0</v>
      </c>
      <c r="P216">
        <f t="shared" ca="1" si="68"/>
        <v>3.3199999999999932</v>
      </c>
      <c r="Q216">
        <f t="shared" ca="1" si="72"/>
        <v>1.3270114670066502</v>
      </c>
      <c r="R216">
        <f t="shared" ca="1" si="73"/>
        <v>1.7232432509085849</v>
      </c>
      <c r="S216">
        <f t="shared" ca="1" si="70"/>
        <v>0.77006624938584822</v>
      </c>
      <c r="T216">
        <f t="shared" ca="1" si="71"/>
        <v>43.504939414162301</v>
      </c>
      <c r="U216">
        <f>70</f>
        <v>70</v>
      </c>
      <c r="V216">
        <f>30</f>
        <v>30</v>
      </c>
      <c r="W216">
        <f t="shared" ca="1" si="69"/>
        <v>297.27527308638508</v>
      </c>
      <c r="X216">
        <f t="shared" ca="1" si="58"/>
        <v>299.18487924252332</v>
      </c>
      <c r="Y216">
        <f t="shared" ca="1" si="57"/>
        <v>-1.9767796215490421</v>
      </c>
      <c r="Z216">
        <f t="shared" ca="1" si="59"/>
        <v>-0.69222196942256575</v>
      </c>
      <c r="AA216">
        <f t="shared" ca="1" si="60"/>
        <v>-1.2845576521264763</v>
      </c>
      <c r="AB216">
        <f t="shared" ca="1" si="61"/>
        <v>281.19919999999996</v>
      </c>
    </row>
    <row r="217" spans="1:28" x14ac:dyDescent="0.25">
      <c r="A217" s="21">
        <f t="shared" ca="1" si="62"/>
        <v>45600</v>
      </c>
      <c r="B217" vm="644">
        <f ca="1"/>
        <v>45603</v>
      </c>
      <c r="C217" vm="645">
        <f ca="1"/>
        <v>294.66000000000003</v>
      </c>
      <c r="D217" vm="646">
        <f ca="1"/>
        <v>3357377</v>
      </c>
      <c r="E217">
        <f t="shared" ca="1" si="63"/>
        <v>989284706.82000005</v>
      </c>
      <c r="F217">
        <f ca="1">SUM($E$2:E217)/SUM($D$2:D217)</f>
        <v>279.03402381834991</v>
      </c>
      <c r="G217">
        <f ca="1">_xlfn.STDEV.P($C$2:C217)</f>
        <v>17.261624910151188</v>
      </c>
      <c r="H217">
        <f t="shared" ca="1" si="64"/>
        <v>296.29564872850108</v>
      </c>
      <c r="I217">
        <f t="shared" ca="1" si="65"/>
        <v>261.77239890819874</v>
      </c>
      <c r="J217">
        <f t="shared" ca="1" si="74"/>
        <v>302.20999999999998</v>
      </c>
      <c r="K217">
        <f t="shared" ca="1" si="75"/>
        <v>9.3798316672135993</v>
      </c>
      <c r="L217">
        <f t="shared" ca="1" si="76"/>
        <v>320.9696633344272</v>
      </c>
      <c r="M217">
        <f t="shared" ca="1" si="77"/>
        <v>283.45033666557276</v>
      </c>
      <c r="N217">
        <f t="shared" ca="1" si="66"/>
        <v>0.66000000000002501</v>
      </c>
      <c r="O217">
        <f t="shared" ca="1" si="67"/>
        <v>0.66000000000002501</v>
      </c>
      <c r="P217">
        <f t="shared" ca="1" si="68"/>
        <v>0</v>
      </c>
      <c r="Q217">
        <f t="shared" ca="1" si="72"/>
        <v>1.2793677907918912</v>
      </c>
      <c r="R217">
        <f t="shared" ca="1" si="73"/>
        <v>1.6001544472722575</v>
      </c>
      <c r="S217">
        <f t="shared" ca="1" si="70"/>
        <v>0.79952769120055689</v>
      </c>
      <c r="T217">
        <f t="shared" ca="1" si="71"/>
        <v>44.429863186331474</v>
      </c>
      <c r="U217">
        <f>70</f>
        <v>70</v>
      </c>
      <c r="V217">
        <f>30</f>
        <v>30</v>
      </c>
      <c r="W217">
        <f t="shared" ca="1" si="69"/>
        <v>296.87292338078737</v>
      </c>
      <c r="X217">
        <f t="shared" ca="1" si="58"/>
        <v>298.84970300233641</v>
      </c>
      <c r="Y217">
        <f t="shared" ca="1" si="57"/>
        <v>-1.6630633380783024</v>
      </c>
      <c r="Z217">
        <f t="shared" ca="1" si="59"/>
        <v>-0.88639024315371318</v>
      </c>
      <c r="AA217">
        <f t="shared" ca="1" si="60"/>
        <v>-0.77667309492458925</v>
      </c>
      <c r="AB217">
        <f t="shared" ca="1" si="61"/>
        <v>281.61070000000001</v>
      </c>
    </row>
    <row r="218" spans="1:28" x14ac:dyDescent="0.25">
      <c r="A218" s="21">
        <f t="shared" ca="1" si="62"/>
        <v>45600</v>
      </c>
      <c r="B218" vm="647">
        <f ca="1"/>
        <v>45604</v>
      </c>
      <c r="C218" vm="648">
        <f ca="1"/>
        <v>298.97000000000003</v>
      </c>
      <c r="D218" vm="649">
        <f ca="1"/>
        <v>3279284</v>
      </c>
      <c r="E218">
        <f t="shared" ca="1" si="63"/>
        <v>980407537.48000014</v>
      </c>
      <c r="F218">
        <f ca="1">SUM($E$2:E218)/SUM($D$2:D218)</f>
        <v>279.11942772112104</v>
      </c>
      <c r="G218">
        <f ca="1">_xlfn.STDEV.P($C$2:C218)</f>
        <v>17.267754147811615</v>
      </c>
      <c r="H218">
        <f t="shared" ca="1" si="64"/>
        <v>296.38718186893266</v>
      </c>
      <c r="I218">
        <f t="shared" ca="1" si="65"/>
        <v>261.85167357330943</v>
      </c>
      <c r="J218">
        <f t="shared" ca="1" si="74"/>
        <v>301.90649999999999</v>
      </c>
      <c r="K218">
        <f t="shared" ca="1" si="75"/>
        <v>9.3816451677001425</v>
      </c>
      <c r="L218">
        <f t="shared" ca="1" si="76"/>
        <v>320.66979033540031</v>
      </c>
      <c r="M218">
        <f t="shared" ca="1" si="77"/>
        <v>283.14320966459968</v>
      </c>
      <c r="N218">
        <f t="shared" ca="1" si="66"/>
        <v>4.3100000000000023</v>
      </c>
      <c r="O218">
        <f t="shared" ca="1" si="67"/>
        <v>4.3100000000000023</v>
      </c>
      <c r="P218">
        <f t="shared" ca="1" si="68"/>
        <v>0</v>
      </c>
      <c r="Q218">
        <f t="shared" ca="1" si="72"/>
        <v>1.495841520021042</v>
      </c>
      <c r="R218">
        <f t="shared" ca="1" si="73"/>
        <v>1.4858577010385248</v>
      </c>
      <c r="S218">
        <f t="shared" ca="1" si="70"/>
        <v>1.0067192295571368</v>
      </c>
      <c r="T218">
        <f t="shared" ca="1" si="71"/>
        <v>50.167418278007425</v>
      </c>
      <c r="U218">
        <f>70</f>
        <v>70</v>
      </c>
      <c r="V218">
        <f>30</f>
        <v>30</v>
      </c>
      <c r="W218">
        <f t="shared" ca="1" si="69"/>
        <v>297.19555055297394</v>
      </c>
      <c r="X218">
        <f t="shared" ca="1" si="58"/>
        <v>298.85861389105224</v>
      </c>
      <c r="Y218">
        <f t="shared" ca="1" si="57"/>
        <v>-1.1941054141274208</v>
      </c>
      <c r="Z218">
        <f t="shared" ca="1" si="59"/>
        <v>-0.94793327734845478</v>
      </c>
      <c r="AA218">
        <f t="shared" ca="1" si="60"/>
        <v>-0.24617213677896599</v>
      </c>
      <c r="AB218">
        <f t="shared" ca="1" si="61"/>
        <v>282.09249999999997</v>
      </c>
    </row>
    <row r="219" spans="1:28" x14ac:dyDescent="0.25">
      <c r="A219" s="21">
        <f t="shared" ca="1" si="62"/>
        <v>45607</v>
      </c>
      <c r="B219" vm="650">
        <f ca="1"/>
        <v>45607</v>
      </c>
      <c r="C219" vm="651">
        <f ca="1"/>
        <v>301.52999999999997</v>
      </c>
      <c r="D219" vm="652">
        <f ca="1"/>
        <v>2872440</v>
      </c>
      <c r="E219">
        <f t="shared" ca="1" si="63"/>
        <v>866126833.19999993</v>
      </c>
      <c r="F219">
        <f ca="1">SUM($E$2:E219)/SUM($D$2:D219)</f>
        <v>279.20320736037536</v>
      </c>
      <c r="G219">
        <f ca="1">_xlfn.STDEV.P($C$2:C219)</f>
        <v>17.286787424980822</v>
      </c>
      <c r="H219">
        <f t="shared" ca="1" si="64"/>
        <v>296.4899947853562</v>
      </c>
      <c r="I219">
        <f t="shared" ca="1" si="65"/>
        <v>261.91641993539452</v>
      </c>
      <c r="J219">
        <f t="shared" ca="1" si="74"/>
        <v>301.49099999999999</v>
      </c>
      <c r="K219">
        <f t="shared" ca="1" si="75"/>
        <v>9.1939298624575851</v>
      </c>
      <c r="L219">
        <f t="shared" ca="1" si="76"/>
        <v>319.87885972491517</v>
      </c>
      <c r="M219">
        <f t="shared" ca="1" si="77"/>
        <v>283.1031402750848</v>
      </c>
      <c r="N219">
        <f t="shared" ca="1" si="66"/>
        <v>2.5599999999999454</v>
      </c>
      <c r="O219">
        <f t="shared" ca="1" si="67"/>
        <v>2.5599999999999454</v>
      </c>
      <c r="P219">
        <f t="shared" ca="1" si="68"/>
        <v>0</v>
      </c>
      <c r="Q219">
        <f t="shared" ca="1" si="72"/>
        <v>1.5718528400195351</v>
      </c>
      <c r="R219">
        <f t="shared" ca="1" si="73"/>
        <v>1.3797250081072014</v>
      </c>
      <c r="S219">
        <f t="shared" ca="1" si="70"/>
        <v>1.1392508150416925</v>
      </c>
      <c r="T219">
        <f t="shared" ca="1" si="71"/>
        <v>53.254663129320313</v>
      </c>
      <c r="U219">
        <f>70</f>
        <v>70</v>
      </c>
      <c r="V219">
        <f>30</f>
        <v>30</v>
      </c>
      <c r="W219">
        <f t="shared" ca="1" si="69"/>
        <v>297.86238892943948</v>
      </c>
      <c r="X219">
        <f t="shared" ca="1" si="58"/>
        <v>299.0564943435669</v>
      </c>
      <c r="Y219">
        <f t="shared" ca="1" si="57"/>
        <v>-1.0428237880789766</v>
      </c>
      <c r="Z219">
        <f t="shared" ca="1" si="59"/>
        <v>-0.96691137949455919</v>
      </c>
      <c r="AA219">
        <f t="shared" ca="1" si="60"/>
        <v>-7.591240858441739E-2</v>
      </c>
      <c r="AB219">
        <f t="shared" ca="1" si="61"/>
        <v>282.56979999999999</v>
      </c>
    </row>
    <row r="220" spans="1:28" x14ac:dyDescent="0.25">
      <c r="A220" s="21">
        <f t="shared" ca="1" si="62"/>
        <v>45607</v>
      </c>
      <c r="B220" vm="653">
        <f ca="1"/>
        <v>45608</v>
      </c>
      <c r="C220" vm="654">
        <f ca="1"/>
        <v>298.64999999999998</v>
      </c>
      <c r="D220" vm="655">
        <f ca="1"/>
        <v>2453194</v>
      </c>
      <c r="E220">
        <f t="shared" ca="1" si="63"/>
        <v>732646388.0999999</v>
      </c>
      <c r="F220">
        <f ca="1">SUM($E$2:E220)/SUM($D$2:D220)</f>
        <v>279.26509872531642</v>
      </c>
      <c r="G220">
        <f ca="1">_xlfn.STDEV.P($C$2:C220)</f>
        <v>17.290318120945734</v>
      </c>
      <c r="H220">
        <f t="shared" ca="1" si="64"/>
        <v>296.55541684626218</v>
      </c>
      <c r="I220">
        <f t="shared" ca="1" si="65"/>
        <v>261.97478060437066</v>
      </c>
      <c r="J220">
        <f t="shared" ca="1" si="74"/>
        <v>300.75650000000002</v>
      </c>
      <c r="K220">
        <f t="shared" ca="1" si="75"/>
        <v>8.7747282309092469</v>
      </c>
      <c r="L220">
        <f t="shared" ca="1" si="76"/>
        <v>318.30595646181848</v>
      </c>
      <c r="M220">
        <f t="shared" ca="1" si="77"/>
        <v>283.20704353818155</v>
      </c>
      <c r="N220">
        <f t="shared" ca="1" si="66"/>
        <v>-2.8799999999999955</v>
      </c>
      <c r="O220">
        <f t="shared" ca="1" si="67"/>
        <v>0</v>
      </c>
      <c r="P220">
        <f t="shared" ca="1" si="68"/>
        <v>2.8799999999999955</v>
      </c>
      <c r="Q220">
        <f t="shared" ca="1" si="72"/>
        <v>1.459577637160997</v>
      </c>
      <c r="R220">
        <f t="shared" ca="1" si="73"/>
        <v>1.4868875075281152</v>
      </c>
      <c r="S220">
        <f t="shared" ca="1" si="70"/>
        <v>0.9816328604357436</v>
      </c>
      <c r="T220">
        <f t="shared" ca="1" si="71"/>
        <v>49.536565528081283</v>
      </c>
      <c r="U220">
        <f>70</f>
        <v>70</v>
      </c>
      <c r="V220">
        <f>30</f>
        <v>30</v>
      </c>
      <c r="W220">
        <f t="shared" ca="1" si="69"/>
        <v>297.98355986337185</v>
      </c>
      <c r="X220">
        <f t="shared" ca="1" si="58"/>
        <v>299.02638365145083</v>
      </c>
      <c r="Y220">
        <f t="shared" ref="Y220:Y283" ca="1" si="78">W221-X221</f>
        <v>-1.0161179695159035</v>
      </c>
      <c r="Z220">
        <f t="shared" ca="1" si="59"/>
        <v>-0.97675269749882809</v>
      </c>
      <c r="AA220">
        <f t="shared" ca="1" si="60"/>
        <v>-3.9365272017075403E-2</v>
      </c>
      <c r="AB220">
        <f t="shared" ca="1" si="61"/>
        <v>282.9624</v>
      </c>
    </row>
    <row r="221" spans="1:28" x14ac:dyDescent="0.25">
      <c r="A221" s="21">
        <f t="shared" ca="1" si="62"/>
        <v>45607</v>
      </c>
      <c r="B221" vm="656">
        <f ca="1"/>
        <v>45609</v>
      </c>
      <c r="C221" vm="657">
        <f ca="1"/>
        <v>297.35000000000002</v>
      </c>
      <c r="D221" vm="658">
        <f ca="1"/>
        <v>2327101</v>
      </c>
      <c r="E221">
        <f t="shared" ca="1" si="63"/>
        <v>691963482.35000002</v>
      </c>
      <c r="F221">
        <f ca="1">SUM($E$2:E221)/SUM($D$2:D221)</f>
        <v>279.31953299389335</v>
      </c>
      <c r="G221">
        <f ca="1">_xlfn.STDEV.P($C$2:C221)</f>
        <v>17.287523784366609</v>
      </c>
      <c r="H221">
        <f t="shared" ca="1" si="64"/>
        <v>296.60705677825996</v>
      </c>
      <c r="I221">
        <f t="shared" ca="1" si="65"/>
        <v>262.03200920952673</v>
      </c>
      <c r="J221">
        <f t="shared" ca="1" si="74"/>
        <v>299.97799999999995</v>
      </c>
      <c r="K221">
        <f t="shared" ca="1" si="75"/>
        <v>8.3175575868476095</v>
      </c>
      <c r="L221">
        <f t="shared" ca="1" si="76"/>
        <v>316.61311517369518</v>
      </c>
      <c r="M221">
        <f t="shared" ca="1" si="77"/>
        <v>283.34288482630473</v>
      </c>
      <c r="N221">
        <f t="shared" ca="1" si="66"/>
        <v>-1.2999999999999545</v>
      </c>
      <c r="O221">
        <f t="shared" ca="1" si="67"/>
        <v>0</v>
      </c>
      <c r="P221">
        <f t="shared" ca="1" si="68"/>
        <v>1.2999999999999545</v>
      </c>
      <c r="Q221">
        <f t="shared" ca="1" si="72"/>
        <v>1.3553220916494972</v>
      </c>
      <c r="R221">
        <f t="shared" ca="1" si="73"/>
        <v>1.4735383998475322</v>
      </c>
      <c r="S221">
        <f t="shared" ca="1" si="70"/>
        <v>0.91977385305312243</v>
      </c>
      <c r="T221">
        <f t="shared" ca="1" si="71"/>
        <v>47.910531315464858</v>
      </c>
      <c r="U221">
        <f>70</f>
        <v>70</v>
      </c>
      <c r="V221">
        <f>30</f>
        <v>30</v>
      </c>
      <c r="W221">
        <f t="shared" ca="1" si="69"/>
        <v>297.88608911516081</v>
      </c>
      <c r="X221">
        <f t="shared" ref="X221:X284" ca="1" si="79">C221*(2/(26+1)) + X220*(1-(2/(26+1)))</f>
        <v>298.90220708467672</v>
      </c>
      <c r="Y221">
        <f t="shared" ca="1" si="78"/>
        <v>-0.88709069890933279</v>
      </c>
      <c r="Z221">
        <f t="shared" ca="1" si="59"/>
        <v>-0.95882029778092914</v>
      </c>
      <c r="AA221">
        <f t="shared" ca="1" si="60"/>
        <v>7.1729598871596356E-2</v>
      </c>
      <c r="AB221">
        <f t="shared" ca="1" si="61"/>
        <v>283.33210000000003</v>
      </c>
    </row>
    <row r="222" spans="1:28" x14ac:dyDescent="0.25">
      <c r="A222" s="21">
        <f t="shared" ca="1" si="62"/>
        <v>45607</v>
      </c>
      <c r="B222" vm="659">
        <f ca="1"/>
        <v>45610</v>
      </c>
      <c r="C222" vm="660">
        <f ca="1"/>
        <v>298.56</v>
      </c>
      <c r="D222" vm="661">
        <f ca="1"/>
        <v>1932557</v>
      </c>
      <c r="E222">
        <f t="shared" ca="1" si="63"/>
        <v>576984217.91999996</v>
      </c>
      <c r="F222">
        <f ca="1">SUM($E$2:E222)/SUM($D$2:D222)</f>
        <v>279.36750686045747</v>
      </c>
      <c r="G222">
        <f ca="1">_xlfn.STDEV.P($C$2:C222)</f>
        <v>17.289858093556269</v>
      </c>
      <c r="H222">
        <f t="shared" ca="1" si="64"/>
        <v>296.65736495401376</v>
      </c>
      <c r="I222">
        <f t="shared" ca="1" si="65"/>
        <v>262.07764876690118</v>
      </c>
      <c r="J222">
        <f t="shared" ca="1" si="74"/>
        <v>299.17100000000005</v>
      </c>
      <c r="K222">
        <f t="shared" ca="1" si="75"/>
        <v>7.5627270909792523</v>
      </c>
      <c r="L222">
        <f t="shared" ca="1" si="76"/>
        <v>314.29645418195855</v>
      </c>
      <c r="M222">
        <f t="shared" ca="1" si="77"/>
        <v>284.04554581804155</v>
      </c>
      <c r="N222">
        <f t="shared" ca="1" si="66"/>
        <v>1.2099999999999795</v>
      </c>
      <c r="O222">
        <f t="shared" ca="1" si="67"/>
        <v>1.2099999999999795</v>
      </c>
      <c r="P222">
        <f t="shared" ca="1" si="68"/>
        <v>0</v>
      </c>
      <c r="Q222">
        <f t="shared" ca="1" si="72"/>
        <v>1.3449419422459603</v>
      </c>
      <c r="R222">
        <f t="shared" ca="1" si="73"/>
        <v>1.36828565700128</v>
      </c>
      <c r="S222">
        <f t="shared" ca="1" si="70"/>
        <v>0.98293944350298934</v>
      </c>
      <c r="T222">
        <f t="shared" ca="1" si="71"/>
        <v>49.569816502644379</v>
      </c>
      <c r="U222">
        <f>70</f>
        <v>70</v>
      </c>
      <c r="V222">
        <f>30</f>
        <v>30</v>
      </c>
      <c r="W222">
        <f t="shared" ca="1" si="69"/>
        <v>297.98976771282838</v>
      </c>
      <c r="X222">
        <f t="shared" ca="1" si="79"/>
        <v>298.87685841173771</v>
      </c>
      <c r="Y222">
        <f t="shared" ca="1" si="78"/>
        <v>-1.2489400943154578</v>
      </c>
      <c r="Z222">
        <f t="shared" ca="1" si="59"/>
        <v>-1.0168442570878349</v>
      </c>
      <c r="AA222">
        <f t="shared" ca="1" si="60"/>
        <v>-0.23209583722762295</v>
      </c>
      <c r="AB222">
        <f t="shared" ca="1" si="61"/>
        <v>283.74390000000005</v>
      </c>
    </row>
    <row r="223" spans="1:28" x14ac:dyDescent="0.25">
      <c r="A223" s="21">
        <f t="shared" ca="1" si="62"/>
        <v>45607</v>
      </c>
      <c r="B223" vm="662">
        <f ca="1"/>
        <v>45611</v>
      </c>
      <c r="C223" vm="663">
        <f ca="1"/>
        <v>292.63</v>
      </c>
      <c r="D223" vm="664">
        <f ca="1"/>
        <v>4039432</v>
      </c>
      <c r="E223">
        <f t="shared" ca="1" si="63"/>
        <v>1182058986.1600001</v>
      </c>
      <c r="F223">
        <f ca="1">SUM($E$2:E223)/SUM($D$2:D223)</f>
        <v>279.43626826713194</v>
      </c>
      <c r="G223">
        <f ca="1">_xlfn.STDEV.P($C$2:C223)</f>
        <v>17.269039347226496</v>
      </c>
      <c r="H223">
        <f t="shared" ca="1" si="64"/>
        <v>296.70530761435845</v>
      </c>
      <c r="I223">
        <f t="shared" ca="1" si="65"/>
        <v>262.16722891990543</v>
      </c>
      <c r="J223">
        <f t="shared" ca="1" si="74"/>
        <v>297.97450000000003</v>
      </c>
      <c r="K223">
        <f t="shared" ca="1" si="75"/>
        <v>6.4826777077962037</v>
      </c>
      <c r="L223">
        <f t="shared" ca="1" si="76"/>
        <v>310.93985541559243</v>
      </c>
      <c r="M223">
        <f t="shared" ca="1" si="77"/>
        <v>285.00914458440764</v>
      </c>
      <c r="N223">
        <f t="shared" ca="1" si="66"/>
        <v>-5.9300000000000068</v>
      </c>
      <c r="O223">
        <f t="shared" ca="1" si="67"/>
        <v>0</v>
      </c>
      <c r="P223">
        <f t="shared" ca="1" si="68"/>
        <v>5.9300000000000068</v>
      </c>
      <c r="Q223">
        <f t="shared" ca="1" si="72"/>
        <v>1.2488746606569632</v>
      </c>
      <c r="R223">
        <f t="shared" ca="1" si="73"/>
        <v>1.6941223957869034</v>
      </c>
      <c r="S223">
        <f t="shared" ca="1" si="70"/>
        <v>0.73718089304691181</v>
      </c>
      <c r="T223">
        <f t="shared" ca="1" si="71"/>
        <v>42.435470940158716</v>
      </c>
      <c r="U223">
        <f>70</f>
        <v>70</v>
      </c>
      <c r="V223">
        <f>30</f>
        <v>30</v>
      </c>
      <c r="W223">
        <f t="shared" ca="1" si="69"/>
        <v>297.16518806470094</v>
      </c>
      <c r="X223">
        <f t="shared" ca="1" si="79"/>
        <v>298.4141281590164</v>
      </c>
      <c r="Y223">
        <f t="shared" ca="1" si="78"/>
        <v>-1.640258679385056</v>
      </c>
      <c r="Z223">
        <f t="shared" ca="1" si="59"/>
        <v>-1.1415271415472792</v>
      </c>
      <c r="AA223">
        <f t="shared" ca="1" si="60"/>
        <v>-0.49873153783777679</v>
      </c>
      <c r="AB223">
        <f t="shared" ca="1" si="61"/>
        <v>284.09190000000001</v>
      </c>
    </row>
    <row r="224" spans="1:28" x14ac:dyDescent="0.25">
      <c r="A224" s="21">
        <f t="shared" ca="1" si="62"/>
        <v>45614</v>
      </c>
      <c r="B224" vm="665">
        <f ca="1"/>
        <v>45614</v>
      </c>
      <c r="C224" vm="666">
        <f ca="1"/>
        <v>291.10000000000002</v>
      </c>
      <c r="D224" vm="667">
        <f ca="1"/>
        <v>2866132</v>
      </c>
      <c r="E224">
        <f t="shared" ca="1" si="63"/>
        <v>834331025.20000005</v>
      </c>
      <c r="F224">
        <f ca="1">SUM($E$2:E224)/SUM($D$2:D224)</f>
        <v>279.47901847958281</v>
      </c>
      <c r="G224">
        <f ca="1">_xlfn.STDEV.P($C$2:C224)</f>
        <v>17.243860791122479</v>
      </c>
      <c r="H224">
        <f t="shared" ca="1" si="64"/>
        <v>296.72287927070528</v>
      </c>
      <c r="I224">
        <f t="shared" ca="1" si="65"/>
        <v>262.23515768846033</v>
      </c>
      <c r="J224">
        <f t="shared" ca="1" si="74"/>
        <v>296.78500000000003</v>
      </c>
      <c r="K224">
        <f t="shared" ca="1" si="75"/>
        <v>5.2880376421942294</v>
      </c>
      <c r="L224">
        <f t="shared" ca="1" si="76"/>
        <v>307.36107528438851</v>
      </c>
      <c r="M224">
        <f t="shared" ca="1" si="77"/>
        <v>286.20892471561154</v>
      </c>
      <c r="N224">
        <f t="shared" ca="1" si="66"/>
        <v>-1.5299999999999727</v>
      </c>
      <c r="O224">
        <f t="shared" ca="1" si="67"/>
        <v>0</v>
      </c>
      <c r="P224">
        <f t="shared" ca="1" si="68"/>
        <v>1.5299999999999727</v>
      </c>
      <c r="Q224">
        <f t="shared" ca="1" si="72"/>
        <v>1.1596693277528944</v>
      </c>
      <c r="R224">
        <f t="shared" ca="1" si="73"/>
        <v>1.6823993675164084</v>
      </c>
      <c r="S224">
        <f t="shared" ca="1" si="70"/>
        <v>0.68929491424192668</v>
      </c>
      <c r="T224">
        <f t="shared" ca="1" si="71"/>
        <v>40.803705050591994</v>
      </c>
      <c r="U224">
        <f>70</f>
        <v>70</v>
      </c>
      <c r="V224">
        <f>30</f>
        <v>30</v>
      </c>
      <c r="W224">
        <f t="shared" ca="1" si="69"/>
        <v>296.23208220859311</v>
      </c>
      <c r="X224">
        <f t="shared" ca="1" si="79"/>
        <v>297.87234088797817</v>
      </c>
      <c r="Y224">
        <f t="shared" ca="1" si="78"/>
        <v>-1.9576705773240519</v>
      </c>
      <c r="Z224">
        <f t="shared" ca="1" si="59"/>
        <v>-1.3047558287026337</v>
      </c>
      <c r="AA224">
        <f t="shared" ca="1" si="60"/>
        <v>-0.65291474862141818</v>
      </c>
      <c r="AB224">
        <f t="shared" ca="1" si="61"/>
        <v>284.4212</v>
      </c>
    </row>
    <row r="225" spans="1:28" x14ac:dyDescent="0.25">
      <c r="A225" s="21">
        <f t="shared" ca="1" si="62"/>
        <v>45614</v>
      </c>
      <c r="B225" vm="668">
        <f ca="1"/>
        <v>45615</v>
      </c>
      <c r="C225" vm="125">
        <f ca="1"/>
        <v>290.73</v>
      </c>
      <c r="D225" vm="669">
        <f ca="1"/>
        <v>2353251</v>
      </c>
      <c r="E225">
        <f t="shared" ca="1" si="63"/>
        <v>684160663.23000002</v>
      </c>
      <c r="F225">
        <f ca="1">SUM($E$2:E225)/SUM($D$2:D225)</f>
        <v>279.51277504467669</v>
      </c>
      <c r="G225">
        <f ca="1">_xlfn.STDEV.P($C$2:C225)</f>
        <v>17.217793705388434</v>
      </c>
      <c r="H225">
        <f t="shared" ca="1" si="64"/>
        <v>296.73056875006512</v>
      </c>
      <c r="I225">
        <f t="shared" ca="1" si="65"/>
        <v>262.29498133928826</v>
      </c>
      <c r="J225">
        <f t="shared" ca="1" si="74"/>
        <v>295.58699999999999</v>
      </c>
      <c r="K225">
        <f t="shared" ca="1" si="75"/>
        <v>3.3925104816965566</v>
      </c>
      <c r="L225">
        <f t="shared" ca="1" si="76"/>
        <v>302.37202096339308</v>
      </c>
      <c r="M225">
        <f t="shared" ca="1" si="77"/>
        <v>288.80197903660689</v>
      </c>
      <c r="N225">
        <f t="shared" ca="1" si="66"/>
        <v>-0.37000000000000455</v>
      </c>
      <c r="O225">
        <f t="shared" ca="1" si="67"/>
        <v>0</v>
      </c>
      <c r="P225">
        <f t="shared" ca="1" si="68"/>
        <v>0.37000000000000455</v>
      </c>
      <c r="Q225">
        <f t="shared" ca="1" si="72"/>
        <v>1.0768358043419735</v>
      </c>
      <c r="R225">
        <f t="shared" ca="1" si="73"/>
        <v>1.5886565555509511</v>
      </c>
      <c r="S225">
        <f t="shared" ca="1" si="70"/>
        <v>0.67782794247087808</v>
      </c>
      <c r="T225">
        <f t="shared" ca="1" si="71"/>
        <v>40.399133028662327</v>
      </c>
      <c r="U225">
        <f>70</f>
        <v>70</v>
      </c>
      <c r="V225">
        <f>30</f>
        <v>30</v>
      </c>
      <c r="W225">
        <f t="shared" ca="1" si="69"/>
        <v>295.38560802265573</v>
      </c>
      <c r="X225">
        <f t="shared" ca="1" si="79"/>
        <v>297.34327859997978</v>
      </c>
      <c r="Y225">
        <f t="shared" ca="1" si="78"/>
        <v>-2.1696865021785925</v>
      </c>
      <c r="Z225">
        <f t="shared" ca="1" si="59"/>
        <v>-1.4777419633978255</v>
      </c>
      <c r="AA225">
        <f t="shared" ca="1" si="60"/>
        <v>-0.691944538780767</v>
      </c>
      <c r="AB225">
        <f t="shared" ca="1" si="61"/>
        <v>284.7801</v>
      </c>
    </row>
    <row r="226" spans="1:28" x14ac:dyDescent="0.25">
      <c r="A226" s="21">
        <f t="shared" ca="1" si="62"/>
        <v>45614</v>
      </c>
      <c r="B226" vm="670">
        <f ca="1"/>
        <v>45616</v>
      </c>
      <c r="C226" vm="671">
        <f ca="1"/>
        <v>290.91000000000003</v>
      </c>
      <c r="D226" vm="672">
        <f ca="1"/>
        <v>2525012</v>
      </c>
      <c r="E226">
        <f t="shared" ca="1" si="63"/>
        <v>734551240.92000008</v>
      </c>
      <c r="F226">
        <f ca="1">SUM($E$2:E226)/SUM($D$2:D226)</f>
        <v>279.54934852320486</v>
      </c>
      <c r="G226">
        <f ca="1">_xlfn.STDEV.P($C$2:C226)</f>
        <v>17.19226624040553</v>
      </c>
      <c r="H226">
        <f t="shared" ca="1" si="64"/>
        <v>296.74161476361041</v>
      </c>
      <c r="I226">
        <f t="shared" ca="1" si="65"/>
        <v>262.3570822827993</v>
      </c>
      <c r="J226">
        <f t="shared" ca="1" si="74"/>
        <v>295.20400000000001</v>
      </c>
      <c r="K226">
        <f t="shared" ca="1" si="75"/>
        <v>3.4695341716750678</v>
      </c>
      <c r="L226">
        <f t="shared" ca="1" si="76"/>
        <v>302.14306834335014</v>
      </c>
      <c r="M226">
        <f t="shared" ca="1" si="77"/>
        <v>288.26493165664988</v>
      </c>
      <c r="N226">
        <f t="shared" ca="1" si="66"/>
        <v>0.18000000000000682</v>
      </c>
      <c r="O226">
        <f t="shared" ca="1" si="67"/>
        <v>0.18000000000000682</v>
      </c>
      <c r="P226">
        <f t="shared" ca="1" si="68"/>
        <v>0</v>
      </c>
      <c r="Q226">
        <f t="shared" ca="1" si="72"/>
        <v>1.012776104031833</v>
      </c>
      <c r="R226">
        <f t="shared" ca="1" si="73"/>
        <v>1.4751810872973117</v>
      </c>
      <c r="S226">
        <f t="shared" ca="1" si="70"/>
        <v>0.68654357946477362</v>
      </c>
      <c r="T226">
        <f t="shared" ca="1" si="71"/>
        <v>40.707135458820993</v>
      </c>
      <c r="U226">
        <f>70</f>
        <v>70</v>
      </c>
      <c r="V226">
        <f>30</f>
        <v>30</v>
      </c>
      <c r="W226">
        <f t="shared" ca="1" si="69"/>
        <v>294.69705294224713</v>
      </c>
      <c r="X226">
        <f t="shared" ca="1" si="79"/>
        <v>296.86673944442572</v>
      </c>
      <c r="Y226">
        <f t="shared" ca="1" si="78"/>
        <v>-2.5057139475525219</v>
      </c>
      <c r="Z226">
        <f t="shared" ca="1" si="59"/>
        <v>-1.6833363602287648</v>
      </c>
      <c r="AA226">
        <f t="shared" ca="1" si="60"/>
        <v>-0.8223775873237571</v>
      </c>
      <c r="AB226">
        <f t="shared" ca="1" si="61"/>
        <v>285.1893</v>
      </c>
    </row>
    <row r="227" spans="1:28" x14ac:dyDescent="0.25">
      <c r="A227" s="21">
        <f t="shared" ca="1" si="62"/>
        <v>45614</v>
      </c>
      <c r="B227" vm="673">
        <f ca="1"/>
        <v>45617</v>
      </c>
      <c r="C227" vm="674">
        <f ca="1"/>
        <v>288.47000000000003</v>
      </c>
      <c r="D227" vm="675">
        <f ca="1"/>
        <v>4475662</v>
      </c>
      <c r="E227">
        <f t="shared" ca="1" si="63"/>
        <v>1291094217.1400001</v>
      </c>
      <c r="F227">
        <f ca="1">SUM($E$2:E227)/SUM($D$2:D227)</f>
        <v>279.59980236941618</v>
      </c>
      <c r="G227">
        <f ca="1">_xlfn.STDEV.P($C$2:C227)</f>
        <v>17.161367377362094</v>
      </c>
      <c r="H227">
        <f t="shared" ca="1" si="64"/>
        <v>296.76116974677825</v>
      </c>
      <c r="I227">
        <f t="shared" ca="1" si="65"/>
        <v>262.43843499205411</v>
      </c>
      <c r="J227">
        <f t="shared" ca="1" si="74"/>
        <v>294.54849999999999</v>
      </c>
      <c r="K227">
        <f t="shared" ca="1" si="75"/>
        <v>3.4398244676757854</v>
      </c>
      <c r="L227">
        <f t="shared" ca="1" si="76"/>
        <v>301.42814893535154</v>
      </c>
      <c r="M227">
        <f t="shared" ca="1" si="77"/>
        <v>287.66885106464844</v>
      </c>
      <c r="N227">
        <f t="shared" ca="1" si="66"/>
        <v>-2.4399999999999977</v>
      </c>
      <c r="O227">
        <f t="shared" ca="1" si="67"/>
        <v>0</v>
      </c>
      <c r="P227">
        <f t="shared" ca="1" si="68"/>
        <v>2.4399999999999977</v>
      </c>
      <c r="Q227">
        <f t="shared" ca="1" si="72"/>
        <v>0.94043495374384489</v>
      </c>
      <c r="R227">
        <f t="shared" ca="1" si="73"/>
        <v>1.544096723918932</v>
      </c>
      <c r="S227">
        <f t="shared" ca="1" si="70"/>
        <v>0.6090518418800942</v>
      </c>
      <c r="T227">
        <f t="shared" ca="1" si="71"/>
        <v>37.851598440013497</v>
      </c>
      <c r="U227">
        <f>70</f>
        <v>70</v>
      </c>
      <c r="V227">
        <f>30</f>
        <v>30</v>
      </c>
      <c r="W227">
        <f t="shared" ca="1" si="69"/>
        <v>293.73904479728606</v>
      </c>
      <c r="X227">
        <f t="shared" ca="1" si="79"/>
        <v>296.24475874483858</v>
      </c>
      <c r="Y227">
        <f t="shared" ca="1" si="78"/>
        <v>-2.5960407044973408</v>
      </c>
      <c r="Z227">
        <f t="shared" ca="1" si="59"/>
        <v>-1.8658772290824801</v>
      </c>
      <c r="AA227">
        <f t="shared" ca="1" si="60"/>
        <v>-0.73016347541486071</v>
      </c>
      <c r="AB227">
        <f t="shared" ca="1" si="61"/>
        <v>285.59609999999998</v>
      </c>
    </row>
    <row r="228" spans="1:28" x14ac:dyDescent="0.25">
      <c r="A228" s="21">
        <f t="shared" ca="1" si="62"/>
        <v>45614</v>
      </c>
      <c r="B228" vm="676">
        <f ca="1"/>
        <v>45618</v>
      </c>
      <c r="C228" vm="677">
        <f ca="1"/>
        <v>290.27999999999997</v>
      </c>
      <c r="D228" vm="678">
        <f ca="1"/>
        <v>2879063</v>
      </c>
      <c r="E228">
        <f t="shared" ca="1" si="63"/>
        <v>835734407.63999987</v>
      </c>
      <c r="F228">
        <f ca="1">SUM($E$2:E228)/SUM($D$2:D228)</f>
        <v>279.63851865475004</v>
      </c>
      <c r="G228">
        <f ca="1">_xlfn.STDEV.P($C$2:C228)</f>
        <v>17.134491788137218</v>
      </c>
      <c r="H228">
        <f t="shared" ca="1" si="64"/>
        <v>296.77301044288726</v>
      </c>
      <c r="I228">
        <f t="shared" ca="1" si="65"/>
        <v>262.50402686661283</v>
      </c>
      <c r="J228">
        <f t="shared" ca="1" si="74"/>
        <v>294.43200000000007</v>
      </c>
      <c r="K228">
        <f t="shared" ca="1" si="75"/>
        <v>3.5467280696439025</v>
      </c>
      <c r="L228">
        <f t="shared" ca="1" si="76"/>
        <v>301.52545613928788</v>
      </c>
      <c r="M228">
        <f t="shared" ca="1" si="77"/>
        <v>287.33854386071226</v>
      </c>
      <c r="N228">
        <f t="shared" ca="1" si="66"/>
        <v>1.8099999999999454</v>
      </c>
      <c r="O228">
        <f t="shared" ca="1" si="67"/>
        <v>1.8099999999999454</v>
      </c>
      <c r="P228">
        <f t="shared" ca="1" si="68"/>
        <v>0</v>
      </c>
      <c r="Q228">
        <f t="shared" ca="1" si="72"/>
        <v>1.0025467427621377</v>
      </c>
      <c r="R228">
        <f t="shared" ca="1" si="73"/>
        <v>1.4338041007818654</v>
      </c>
      <c r="S228">
        <f t="shared" ca="1" si="70"/>
        <v>0.69922156186848716</v>
      </c>
      <c r="T228">
        <f t="shared" ca="1" si="71"/>
        <v>41.149522673171212</v>
      </c>
      <c r="U228">
        <f>70</f>
        <v>70</v>
      </c>
      <c r="V228">
        <f>30</f>
        <v>30</v>
      </c>
      <c r="W228">
        <f t="shared" ca="1" si="69"/>
        <v>293.20688405924204</v>
      </c>
      <c r="X228">
        <f t="shared" ca="1" si="79"/>
        <v>295.80292476373938</v>
      </c>
      <c r="Y228">
        <f t="shared" ca="1" si="78"/>
        <v>-2.1657720302575285</v>
      </c>
      <c r="Z228">
        <f t="shared" ca="1" si="59"/>
        <v>-1.9258561893174899</v>
      </c>
      <c r="AA228">
        <f t="shared" ca="1" si="60"/>
        <v>-0.23991584094003859</v>
      </c>
      <c r="AB228">
        <f t="shared" ca="1" si="61"/>
        <v>285.99889999999994</v>
      </c>
    </row>
    <row r="229" spans="1:28" x14ac:dyDescent="0.25">
      <c r="A229" s="21">
        <f t="shared" ca="1" si="62"/>
        <v>45621</v>
      </c>
      <c r="B229" vm="679">
        <f ca="1"/>
        <v>45621</v>
      </c>
      <c r="C229" vm="680">
        <f ca="1"/>
        <v>296.19</v>
      </c>
      <c r="D229" vm="681">
        <f ca="1"/>
        <v>5021843</v>
      </c>
      <c r="E229">
        <f t="shared" ca="1" si="63"/>
        <v>1487419678.1700001</v>
      </c>
      <c r="F229">
        <f ca="1">SUM($E$2:E229)/SUM($D$2:D229)</f>
        <v>279.74251685070027</v>
      </c>
      <c r="G229">
        <f ca="1">_xlfn.STDEV.P($C$2:C229)</f>
        <v>17.126062432024259</v>
      </c>
      <c r="H229">
        <f t="shared" ca="1" si="64"/>
        <v>296.86857928272451</v>
      </c>
      <c r="I229">
        <f t="shared" ca="1" si="65"/>
        <v>262.61645441867603</v>
      </c>
      <c r="J229">
        <f t="shared" ca="1" si="74"/>
        <v>294.40199999999999</v>
      </c>
      <c r="K229">
        <f t="shared" ca="1" si="75"/>
        <v>3.5282224539008991</v>
      </c>
      <c r="L229">
        <f t="shared" ca="1" si="76"/>
        <v>301.45844490780178</v>
      </c>
      <c r="M229">
        <f t="shared" ca="1" si="77"/>
        <v>287.3455550921982</v>
      </c>
      <c r="N229">
        <f t="shared" ca="1" si="66"/>
        <v>5.910000000000025</v>
      </c>
      <c r="O229">
        <f t="shared" ca="1" si="67"/>
        <v>5.910000000000025</v>
      </c>
      <c r="P229">
        <f t="shared" ca="1" si="68"/>
        <v>0</v>
      </c>
      <c r="Q229">
        <f t="shared" ca="1" si="72"/>
        <v>1.3530791182791297</v>
      </c>
      <c r="R229">
        <f t="shared" ca="1" si="73"/>
        <v>1.3313895221545893</v>
      </c>
      <c r="S229">
        <f t="shared" ca="1" si="70"/>
        <v>1.0162909469870547</v>
      </c>
      <c r="T229">
        <f t="shared" ca="1" si="71"/>
        <v>50.40398304151983</v>
      </c>
      <c r="U229">
        <f>70</f>
        <v>70</v>
      </c>
      <c r="V229">
        <f>30</f>
        <v>30</v>
      </c>
      <c r="W229">
        <f t="shared" ca="1" si="69"/>
        <v>293.66582497320485</v>
      </c>
      <c r="X229">
        <f t="shared" ca="1" si="79"/>
        <v>295.83159700346238</v>
      </c>
      <c r="Y229">
        <f t="shared" ca="1" si="78"/>
        <v>-1.7928176896964487</v>
      </c>
      <c r="Z229">
        <f t="shared" ca="1" si="59"/>
        <v>-1.8992484893932817</v>
      </c>
      <c r="AA229">
        <f t="shared" ca="1" si="60"/>
        <v>0.106430799696833</v>
      </c>
      <c r="AB229">
        <f t="shared" ca="1" si="61"/>
        <v>286.44989999999996</v>
      </c>
    </row>
    <row r="230" spans="1:28" x14ac:dyDescent="0.25">
      <c r="A230" s="21">
        <f t="shared" ca="1" si="62"/>
        <v>45621</v>
      </c>
      <c r="B230" vm="682">
        <f ca="1"/>
        <v>45622</v>
      </c>
      <c r="C230" vm="683">
        <f ca="1"/>
        <v>296.33</v>
      </c>
      <c r="D230" vm="684">
        <f ca="1"/>
        <v>2254326</v>
      </c>
      <c r="E230">
        <f t="shared" ca="1" si="63"/>
        <v>668024423.57999992</v>
      </c>
      <c r="F230">
        <f ca="1">SUM($E$2:E230)/SUM($D$2:D230)</f>
        <v>279.78917202011883</v>
      </c>
      <c r="G230">
        <f ca="1">_xlfn.STDEV.P($C$2:C230)</f>
        <v>17.117986824725769</v>
      </c>
      <c r="H230">
        <f t="shared" ca="1" si="64"/>
        <v>296.90715884484462</v>
      </c>
      <c r="I230">
        <f t="shared" ca="1" si="65"/>
        <v>262.67118519539304</v>
      </c>
      <c r="J230">
        <f t="shared" ca="1" si="74"/>
        <v>294.46850000000001</v>
      </c>
      <c r="K230">
        <f t="shared" ca="1" si="75"/>
        <v>3.5525369363611801</v>
      </c>
      <c r="L230">
        <f t="shared" ca="1" si="76"/>
        <v>301.57357387272236</v>
      </c>
      <c r="M230">
        <f t="shared" ca="1" si="77"/>
        <v>287.36342612727765</v>
      </c>
      <c r="N230">
        <f t="shared" ca="1" si="66"/>
        <v>0.13999999999998636</v>
      </c>
      <c r="O230">
        <f t="shared" ca="1" si="67"/>
        <v>0.13999999999998636</v>
      </c>
      <c r="P230">
        <f t="shared" ca="1" si="68"/>
        <v>0</v>
      </c>
      <c r="Q230">
        <f t="shared" ca="1" si="72"/>
        <v>1.2664306098306195</v>
      </c>
      <c r="R230">
        <f t="shared" ca="1" si="73"/>
        <v>1.2362902705721186</v>
      </c>
      <c r="S230">
        <f t="shared" ca="1" si="70"/>
        <v>1.0243796622653618</v>
      </c>
      <c r="T230">
        <f t="shared" ca="1" si="71"/>
        <v>50.60215143235731</v>
      </c>
      <c r="U230">
        <f>70</f>
        <v>70</v>
      </c>
      <c r="V230">
        <f>30</f>
        <v>30</v>
      </c>
      <c r="W230">
        <f t="shared" ca="1" si="69"/>
        <v>294.07569805425021</v>
      </c>
      <c r="X230">
        <f t="shared" ca="1" si="79"/>
        <v>295.86851574394666</v>
      </c>
      <c r="Y230">
        <f t="shared" ca="1" si="78"/>
        <v>-1.5799011244169492</v>
      </c>
      <c r="Z230">
        <f t="shared" ref="Z230:Z293" ca="1" si="80">Y230*(2/(9+1)) + Z229*(1-(2/(9+1)))</f>
        <v>-1.8353790163980153</v>
      </c>
      <c r="AA230">
        <f t="shared" ref="AA230:AA293" ca="1" si="81">Y230-Z230</f>
        <v>0.25547789198106607</v>
      </c>
      <c r="AB230">
        <f t="shared" ref="AB230:AB293" ca="1" si="82">AVERAGE(C131:C230)</f>
        <v>286.93470000000002</v>
      </c>
    </row>
    <row r="231" spans="1:28" x14ac:dyDescent="0.25">
      <c r="A231" s="21">
        <f t="shared" ca="1" si="62"/>
        <v>45621</v>
      </c>
      <c r="B231" vm="685">
        <f ca="1"/>
        <v>45623</v>
      </c>
      <c r="C231" vm="686">
        <f ca="1"/>
        <v>295.08</v>
      </c>
      <c r="D231" vm="687">
        <f ca="1"/>
        <v>2240280</v>
      </c>
      <c r="E231">
        <f t="shared" ca="1" si="63"/>
        <v>661061822.39999998</v>
      </c>
      <c r="F231">
        <f ca="1">SUM($E$2:E231)/SUM($D$2:D231)</f>
        <v>279.83179302023854</v>
      </c>
      <c r="G231">
        <f ca="1">_xlfn.STDEV.P($C$2:C231)</f>
        <v>17.105135048306231</v>
      </c>
      <c r="H231">
        <f t="shared" ca="1" si="64"/>
        <v>296.93692806854477</v>
      </c>
      <c r="I231">
        <f t="shared" ca="1" si="65"/>
        <v>262.7266579719323</v>
      </c>
      <c r="J231">
        <f t="shared" ca="1" si="74"/>
        <v>294.64649999999995</v>
      </c>
      <c r="K231">
        <f t="shared" ca="1" si="75"/>
        <v>3.4855827497368503</v>
      </c>
      <c r="L231">
        <f t="shared" ca="1" si="76"/>
        <v>301.61766549947367</v>
      </c>
      <c r="M231">
        <f t="shared" ca="1" si="77"/>
        <v>287.67533450052622</v>
      </c>
      <c r="N231">
        <f t="shared" ca="1" si="66"/>
        <v>-1.25</v>
      </c>
      <c r="O231">
        <f t="shared" ca="1" si="67"/>
        <v>0</v>
      </c>
      <c r="P231">
        <f t="shared" ca="1" si="68"/>
        <v>1.25</v>
      </c>
      <c r="Q231">
        <f t="shared" ca="1" si="72"/>
        <v>1.175971280557004</v>
      </c>
      <c r="R231">
        <f t="shared" ca="1" si="73"/>
        <v>1.2372695369598243</v>
      </c>
      <c r="S231">
        <f t="shared" ca="1" si="70"/>
        <v>0.9504568288705787</v>
      </c>
      <c r="T231">
        <f t="shared" ca="1" si="71"/>
        <v>48.72995981259146</v>
      </c>
      <c r="U231">
        <f>70</f>
        <v>70</v>
      </c>
      <c r="V231">
        <f>30</f>
        <v>30</v>
      </c>
      <c r="W231">
        <f t="shared" ca="1" si="69"/>
        <v>294.23020604590403</v>
      </c>
      <c r="X231">
        <f t="shared" ca="1" si="79"/>
        <v>295.81010717032098</v>
      </c>
      <c r="Y231">
        <f t="shared" ca="1" si="78"/>
        <v>-1.320893546213199</v>
      </c>
      <c r="Z231">
        <f t="shared" ca="1" si="80"/>
        <v>-1.7324819223610521</v>
      </c>
      <c r="AA231">
        <f t="shared" ca="1" si="81"/>
        <v>0.41158837614785315</v>
      </c>
      <c r="AB231">
        <f t="shared" ca="1" si="82"/>
        <v>287.42730000000006</v>
      </c>
    </row>
    <row r="232" spans="1:28" x14ac:dyDescent="0.25">
      <c r="A232" s="21">
        <f t="shared" ca="1" si="62"/>
        <v>45621</v>
      </c>
      <c r="B232" vm="688">
        <f ca="1"/>
        <v>45625</v>
      </c>
      <c r="C232" vm="689">
        <f ca="1"/>
        <v>296.01</v>
      </c>
      <c r="D232" vm="690">
        <f ca="1"/>
        <v>1655907</v>
      </c>
      <c r="E232">
        <f t="shared" ca="1" si="63"/>
        <v>490165031.06999999</v>
      </c>
      <c r="F232">
        <f ca="1">SUM($E$2:E232)/SUM($D$2:D232)</f>
        <v>279.86505612730224</v>
      </c>
      <c r="G232">
        <f ca="1">_xlfn.STDEV.P($C$2:C232)</f>
        <v>17.095524830667205</v>
      </c>
      <c r="H232">
        <f t="shared" ca="1" si="64"/>
        <v>296.96058095796946</v>
      </c>
      <c r="I232">
        <f t="shared" ca="1" si="65"/>
        <v>262.76953129663502</v>
      </c>
      <c r="J232">
        <f t="shared" ca="1" si="74"/>
        <v>294.8415</v>
      </c>
      <c r="K232">
        <f t="shared" ca="1" si="75"/>
        <v>3.4450670683258267</v>
      </c>
      <c r="L232">
        <f t="shared" ca="1" si="76"/>
        <v>301.73163413665168</v>
      </c>
      <c r="M232">
        <f t="shared" ca="1" si="77"/>
        <v>287.95136586334831</v>
      </c>
      <c r="N232">
        <f t="shared" ca="1" si="66"/>
        <v>0.93000000000000682</v>
      </c>
      <c r="O232">
        <f t="shared" ca="1" si="67"/>
        <v>0.93000000000000682</v>
      </c>
      <c r="P232">
        <f t="shared" ca="1" si="68"/>
        <v>0</v>
      </c>
      <c r="Q232">
        <f t="shared" ca="1" si="72"/>
        <v>1.1584019033743613</v>
      </c>
      <c r="R232">
        <f t="shared" ca="1" si="73"/>
        <v>1.1488931414626939</v>
      </c>
      <c r="S232">
        <f t="shared" ca="1" si="70"/>
        <v>1.0082764545879015</v>
      </c>
      <c r="T232">
        <f t="shared" ca="1" si="71"/>
        <v>50.206058647179624</v>
      </c>
      <c r="U232">
        <f>70</f>
        <v>70</v>
      </c>
      <c r="V232">
        <f>30</f>
        <v>30</v>
      </c>
      <c r="W232">
        <f t="shared" ca="1" si="69"/>
        <v>294.50402050038031</v>
      </c>
      <c r="X232">
        <f t="shared" ca="1" si="79"/>
        <v>295.82491404659351</v>
      </c>
      <c r="Y232">
        <f t="shared" ca="1" si="78"/>
        <v>-1.3877007878346035</v>
      </c>
      <c r="Z232">
        <f t="shared" ca="1" si="80"/>
        <v>-1.6635256954557625</v>
      </c>
      <c r="AA232">
        <f t="shared" ca="1" si="81"/>
        <v>0.27582490762115897</v>
      </c>
      <c r="AB232">
        <f t="shared" ca="1" si="82"/>
        <v>287.88250000000005</v>
      </c>
    </row>
    <row r="233" spans="1:28" x14ac:dyDescent="0.25">
      <c r="A233" s="21">
        <f t="shared" ca="1" si="62"/>
        <v>45628</v>
      </c>
      <c r="B233" vm="691">
        <f ca="1"/>
        <v>45628</v>
      </c>
      <c r="C233" vm="692">
        <f ca="1"/>
        <v>292.44</v>
      </c>
      <c r="D233" vm="693">
        <f ca="1"/>
        <v>3150151</v>
      </c>
      <c r="E233">
        <f t="shared" ca="1" si="63"/>
        <v>921230158.43999994</v>
      </c>
      <c r="F233">
        <f ca="1">SUM($E$2:E233)/SUM($D$2:D233)</f>
        <v>279.91404963596699</v>
      </c>
      <c r="G233">
        <f ca="1">_xlfn.STDEV.P($C$2:C233)</f>
        <v>17.074182297920245</v>
      </c>
      <c r="H233">
        <f t="shared" ca="1" si="64"/>
        <v>296.98823193388722</v>
      </c>
      <c r="I233">
        <f t="shared" ca="1" si="65"/>
        <v>262.83986733804676</v>
      </c>
      <c r="J233">
        <f t="shared" ca="1" si="74"/>
        <v>294.70299999999992</v>
      </c>
      <c r="K233">
        <f t="shared" ca="1" si="75"/>
        <v>3.484922562003042</v>
      </c>
      <c r="L233">
        <f t="shared" ca="1" si="76"/>
        <v>301.67284512400602</v>
      </c>
      <c r="M233">
        <f t="shared" ca="1" si="77"/>
        <v>287.73315487599382</v>
      </c>
      <c r="N233">
        <f t="shared" ca="1" si="66"/>
        <v>-3.5699999999999932</v>
      </c>
      <c r="O233">
        <f t="shared" ca="1" si="67"/>
        <v>0</v>
      </c>
      <c r="P233">
        <f t="shared" ca="1" si="68"/>
        <v>3.5699999999999932</v>
      </c>
      <c r="Q233">
        <f t="shared" ca="1" si="72"/>
        <v>1.0756589102761926</v>
      </c>
      <c r="R233">
        <f t="shared" ca="1" si="73"/>
        <v>1.3218293456439294</v>
      </c>
      <c r="S233">
        <f t="shared" ca="1" si="70"/>
        <v>0.81376534256938082</v>
      </c>
      <c r="T233">
        <f t="shared" ca="1" si="71"/>
        <v>44.866076303817806</v>
      </c>
      <c r="U233">
        <f>70</f>
        <v>70</v>
      </c>
      <c r="V233">
        <f>30</f>
        <v>30</v>
      </c>
      <c r="W233">
        <f t="shared" ca="1" si="69"/>
        <v>294.18647888493717</v>
      </c>
      <c r="X233">
        <f t="shared" ca="1" si="79"/>
        <v>295.57417967277178</v>
      </c>
      <c r="Y233">
        <f t="shared" ca="1" si="78"/>
        <v>-1.2598979054828874</v>
      </c>
      <c r="Z233">
        <f t="shared" ca="1" si="80"/>
        <v>-1.5828001374611875</v>
      </c>
      <c r="AA233">
        <f t="shared" ca="1" si="81"/>
        <v>0.32290223197830015</v>
      </c>
      <c r="AB233">
        <f t="shared" ca="1" si="82"/>
        <v>288.25890000000004</v>
      </c>
    </row>
    <row r="234" spans="1:28" x14ac:dyDescent="0.25">
      <c r="A234" s="21">
        <f t="shared" ca="1" si="62"/>
        <v>45628</v>
      </c>
      <c r="B234" vm="694">
        <f ca="1"/>
        <v>45629</v>
      </c>
      <c r="C234" vm="695">
        <f ca="1"/>
        <v>294.5</v>
      </c>
      <c r="D234" vm="696">
        <f ca="1"/>
        <v>3030992</v>
      </c>
      <c r="E234">
        <f t="shared" ca="1" si="63"/>
        <v>892627144</v>
      </c>
      <c r="F234">
        <f ca="1">SUM($E$2:E234)/SUM($D$2:D234)</f>
        <v>279.96852443308813</v>
      </c>
      <c r="G234">
        <f ca="1">_xlfn.STDEV.P($C$2:C234)</f>
        <v>17.059108742175901</v>
      </c>
      <c r="H234">
        <f t="shared" ca="1" si="64"/>
        <v>297.02763317526404</v>
      </c>
      <c r="I234">
        <f t="shared" ca="1" si="65"/>
        <v>262.90941569091223</v>
      </c>
      <c r="J234">
        <f t="shared" ca="1" si="74"/>
        <v>294.78549999999996</v>
      </c>
      <c r="K234">
        <f t="shared" ca="1" si="75"/>
        <v>3.4581748684895315</v>
      </c>
      <c r="L234">
        <f t="shared" ca="1" si="76"/>
        <v>301.701849736979</v>
      </c>
      <c r="M234">
        <f t="shared" ca="1" si="77"/>
        <v>287.86915026302091</v>
      </c>
      <c r="N234">
        <f t="shared" ca="1" si="66"/>
        <v>2.0600000000000023</v>
      </c>
      <c r="O234">
        <f t="shared" ca="1" si="67"/>
        <v>2.0600000000000023</v>
      </c>
      <c r="P234">
        <f t="shared" ca="1" si="68"/>
        <v>0</v>
      </c>
      <c r="Q234">
        <f t="shared" ca="1" si="72"/>
        <v>1.1459689881136075</v>
      </c>
      <c r="R234">
        <f t="shared" ca="1" si="73"/>
        <v>1.2274129638122202</v>
      </c>
      <c r="S234">
        <f t="shared" ca="1" si="70"/>
        <v>0.93364582410335961</v>
      </c>
      <c r="T234">
        <f t="shared" ca="1" si="71"/>
        <v>48.284221053578698</v>
      </c>
      <c r="U234">
        <f>70</f>
        <v>70</v>
      </c>
      <c r="V234">
        <f>30</f>
        <v>30</v>
      </c>
      <c r="W234">
        <f t="shared" ca="1" si="69"/>
        <v>294.23471290263916</v>
      </c>
      <c r="X234">
        <f t="shared" ca="1" si="79"/>
        <v>295.49461080812205</v>
      </c>
      <c r="Y234">
        <f t="shared" ca="1" si="78"/>
        <v>-1.0983441041476567</v>
      </c>
      <c r="Z234">
        <f t="shared" ca="1" si="80"/>
        <v>-1.4859089307984816</v>
      </c>
      <c r="AA234">
        <f t="shared" ca="1" si="81"/>
        <v>0.38756482665082492</v>
      </c>
      <c r="AB234">
        <f t="shared" ca="1" si="82"/>
        <v>288.66490000000005</v>
      </c>
    </row>
    <row r="235" spans="1:28" x14ac:dyDescent="0.25">
      <c r="A235" s="21">
        <f t="shared" ca="1" si="62"/>
        <v>45628</v>
      </c>
      <c r="B235" vm="697">
        <f ca="1"/>
        <v>45630</v>
      </c>
      <c r="C235" vm="698">
        <f ca="1"/>
        <v>295.08999999999997</v>
      </c>
      <c r="D235" vm="699">
        <f ca="1"/>
        <v>3742938</v>
      </c>
      <c r="E235">
        <f t="shared" ca="1" si="63"/>
        <v>1104503574.4199998</v>
      </c>
      <c r="F235">
        <f ca="1">SUM($E$2:E235)/SUM($D$2:D235)</f>
        <v>280.03794442305491</v>
      </c>
      <c r="G235">
        <f ca="1">_xlfn.STDEV.P($C$2:C235)</f>
        <v>17.045935982825114</v>
      </c>
      <c r="H235">
        <f t="shared" ca="1" si="64"/>
        <v>297.08388040588</v>
      </c>
      <c r="I235">
        <f t="shared" ca="1" si="65"/>
        <v>262.99200844022982</v>
      </c>
      <c r="J235">
        <f t="shared" ca="1" si="74"/>
        <v>294.67399999999992</v>
      </c>
      <c r="K235">
        <f t="shared" ca="1" si="75"/>
        <v>3.4077379439647055</v>
      </c>
      <c r="L235">
        <f t="shared" ca="1" si="76"/>
        <v>301.48947588792936</v>
      </c>
      <c r="M235">
        <f t="shared" ca="1" si="77"/>
        <v>287.85852411207048</v>
      </c>
      <c r="N235">
        <f t="shared" ca="1" si="66"/>
        <v>0.58999999999997499</v>
      </c>
      <c r="O235">
        <f t="shared" ca="1" si="67"/>
        <v>0.58999999999997499</v>
      </c>
      <c r="P235">
        <f t="shared" ca="1" si="68"/>
        <v>0</v>
      </c>
      <c r="Q235">
        <f t="shared" ca="1" si="72"/>
        <v>1.1062569175340624</v>
      </c>
      <c r="R235">
        <f t="shared" ca="1" si="73"/>
        <v>1.1397406092542044</v>
      </c>
      <c r="S235">
        <f t="shared" ca="1" si="70"/>
        <v>0.97062165597306194</v>
      </c>
      <c r="T235">
        <f t="shared" ca="1" si="71"/>
        <v>49.254591972591733</v>
      </c>
      <c r="U235">
        <f>70</f>
        <v>70</v>
      </c>
      <c r="V235">
        <f>30</f>
        <v>30</v>
      </c>
      <c r="W235">
        <f t="shared" ca="1" si="69"/>
        <v>294.36629553300236</v>
      </c>
      <c r="X235">
        <f t="shared" ca="1" si="79"/>
        <v>295.46463963715001</v>
      </c>
      <c r="Y235">
        <f t="shared" ca="1" si="78"/>
        <v>-0.6098521617437882</v>
      </c>
      <c r="Z235">
        <f t="shared" ca="1" si="80"/>
        <v>-1.3106975769875429</v>
      </c>
      <c r="AA235">
        <f t="shared" ca="1" si="81"/>
        <v>0.70084541524375465</v>
      </c>
      <c r="AB235">
        <f t="shared" ca="1" si="82"/>
        <v>289.10050000000007</v>
      </c>
    </row>
    <row r="236" spans="1:28" x14ac:dyDescent="0.25">
      <c r="A236" s="21">
        <f t="shared" ca="1" si="62"/>
        <v>45628</v>
      </c>
      <c r="B236" vm="700">
        <f ca="1"/>
        <v>45631</v>
      </c>
      <c r="C236" vm="701">
        <f ca="1"/>
        <v>299.47000000000003</v>
      </c>
      <c r="D236" vm="702">
        <f ca="1"/>
        <v>2594816</v>
      </c>
      <c r="E236">
        <f t="shared" ca="1" si="63"/>
        <v>777069547.5200001</v>
      </c>
      <c r="F236">
        <f ca="1">SUM($E$2:E236)/SUM($D$2:D236)</f>
        <v>280.09959299975588</v>
      </c>
      <c r="G236">
        <f ca="1">_xlfn.STDEV.P($C$2:C236)</f>
        <v>17.049869239252239</v>
      </c>
      <c r="H236">
        <f t="shared" ca="1" si="64"/>
        <v>297.14946223900813</v>
      </c>
      <c r="I236">
        <f t="shared" ca="1" si="65"/>
        <v>263.04972376050364</v>
      </c>
      <c r="J236">
        <f t="shared" ca="1" si="74"/>
        <v>294.94749999999999</v>
      </c>
      <c r="K236">
        <f t="shared" ca="1" si="75"/>
        <v>3.5666007331174105</v>
      </c>
      <c r="L236">
        <f t="shared" ca="1" si="76"/>
        <v>302.08070146623481</v>
      </c>
      <c r="M236">
        <f t="shared" ca="1" si="77"/>
        <v>287.81429853376517</v>
      </c>
      <c r="N236">
        <f t="shared" ca="1" si="66"/>
        <v>4.3800000000000523</v>
      </c>
      <c r="O236">
        <f t="shared" ca="1" si="67"/>
        <v>4.3800000000000523</v>
      </c>
      <c r="P236">
        <f t="shared" ca="1" si="68"/>
        <v>0</v>
      </c>
      <c r="Q236">
        <f t="shared" ca="1" si="72"/>
        <v>1.340095709138776</v>
      </c>
      <c r="R236">
        <f t="shared" ca="1" si="73"/>
        <v>1.0583305657360469</v>
      </c>
      <c r="S236">
        <f t="shared" ca="1" si="70"/>
        <v>1.266235477387698</v>
      </c>
      <c r="T236">
        <f t="shared" ca="1" si="71"/>
        <v>55.873958819464548</v>
      </c>
      <c r="U236">
        <f>70</f>
        <v>70</v>
      </c>
      <c r="V236">
        <f>30</f>
        <v>30</v>
      </c>
      <c r="W236">
        <f t="shared" ca="1" si="69"/>
        <v>295.15148083561735</v>
      </c>
      <c r="X236">
        <f t="shared" ca="1" si="79"/>
        <v>295.76133299736114</v>
      </c>
      <c r="Y236">
        <f t="shared" ca="1" si="78"/>
        <v>-0.25926899135043868</v>
      </c>
      <c r="Z236">
        <f t="shared" ca="1" si="80"/>
        <v>-1.100411859860122</v>
      </c>
      <c r="AA236">
        <f t="shared" ca="1" si="81"/>
        <v>0.84114286850968334</v>
      </c>
      <c r="AB236">
        <f t="shared" ca="1" si="82"/>
        <v>289.52250000000009</v>
      </c>
    </row>
    <row r="237" spans="1:28" x14ac:dyDescent="0.25">
      <c r="A237" s="21">
        <f t="shared" ca="1" si="62"/>
        <v>45628</v>
      </c>
      <c r="B237" vm="703">
        <f ca="1"/>
        <v>45632</v>
      </c>
      <c r="C237" vm="704">
        <f ca="1"/>
        <v>298.98</v>
      </c>
      <c r="D237" vm="705">
        <f ca="1"/>
        <v>4158690</v>
      </c>
      <c r="E237">
        <f t="shared" ca="1" si="63"/>
        <v>1243365136.2</v>
      </c>
      <c r="F237">
        <f ca="1">SUM($E$2:E237)/SUM($D$2:D237)</f>
        <v>280.19510612096411</v>
      </c>
      <c r="G237">
        <f ca="1">_xlfn.STDEV.P($C$2:C237)</f>
        <v>17.05128762083708</v>
      </c>
      <c r="H237">
        <f t="shared" ca="1" si="64"/>
        <v>297.24639374180117</v>
      </c>
      <c r="I237">
        <f t="shared" ca="1" si="65"/>
        <v>263.14381850012705</v>
      </c>
      <c r="J237">
        <f t="shared" ca="1" si="74"/>
        <v>295.1635</v>
      </c>
      <c r="K237">
        <f t="shared" ca="1" si="75"/>
        <v>3.6773664418124548</v>
      </c>
      <c r="L237">
        <f t="shared" ca="1" si="76"/>
        <v>302.51823288362493</v>
      </c>
      <c r="M237">
        <f t="shared" ca="1" si="77"/>
        <v>287.80876711637507</v>
      </c>
      <c r="N237">
        <f t="shared" ca="1" si="66"/>
        <v>-0.49000000000000909</v>
      </c>
      <c r="O237">
        <f t="shared" ca="1" si="67"/>
        <v>0</v>
      </c>
      <c r="P237">
        <f t="shared" ca="1" si="68"/>
        <v>0.49000000000000909</v>
      </c>
      <c r="Q237">
        <f t="shared" ca="1" si="72"/>
        <v>1.2443745870574348</v>
      </c>
      <c r="R237">
        <f t="shared" ca="1" si="73"/>
        <v>1.0177355253263298</v>
      </c>
      <c r="S237">
        <f t="shared" ca="1" si="70"/>
        <v>1.2226895456542453</v>
      </c>
      <c r="T237">
        <f t="shared" ca="1" si="71"/>
        <v>55.009461309827167</v>
      </c>
      <c r="U237">
        <f>70</f>
        <v>70</v>
      </c>
      <c r="V237">
        <f>30</f>
        <v>30</v>
      </c>
      <c r="W237">
        <f t="shared" ca="1" si="69"/>
        <v>295.7404837839839</v>
      </c>
      <c r="X237">
        <f t="shared" ca="1" si="79"/>
        <v>295.99975277533434</v>
      </c>
      <c r="Y237">
        <f t="shared" ca="1" si="78"/>
        <v>0.2090143357822285</v>
      </c>
      <c r="Z237">
        <f t="shared" ca="1" si="80"/>
        <v>-0.83852662073165196</v>
      </c>
      <c r="AA237">
        <f t="shared" ca="1" si="81"/>
        <v>1.0475409565138805</v>
      </c>
      <c r="AB237">
        <f t="shared" ca="1" si="82"/>
        <v>289.90230000000008</v>
      </c>
    </row>
    <row r="238" spans="1:28" x14ac:dyDescent="0.25">
      <c r="A238" s="21">
        <f t="shared" ca="1" si="62"/>
        <v>45635</v>
      </c>
      <c r="B238" vm="706">
        <f ca="1"/>
        <v>45635</v>
      </c>
      <c r="C238" vm="707">
        <f ca="1"/>
        <v>301.37</v>
      </c>
      <c r="D238" vm="708">
        <f ca="1"/>
        <v>2391898</v>
      </c>
      <c r="E238">
        <f t="shared" ca="1" si="63"/>
        <v>720846300.25999999</v>
      </c>
      <c r="F238">
        <f ca="1">SUM($E$2:E238)/SUM($D$2:D238)</f>
        <v>280.25653848580271</v>
      </c>
      <c r="G238">
        <f ca="1">_xlfn.STDEV.P($C$2:C238)</f>
        <v>17.063292604765248</v>
      </c>
      <c r="H238">
        <f t="shared" ca="1" si="64"/>
        <v>297.31983109056796</v>
      </c>
      <c r="I238">
        <f t="shared" ca="1" si="65"/>
        <v>263.19324588103746</v>
      </c>
      <c r="J238">
        <f t="shared" ca="1" si="74"/>
        <v>295.28349999999995</v>
      </c>
      <c r="K238">
        <f t="shared" ca="1" si="75"/>
        <v>3.8435226098764588</v>
      </c>
      <c r="L238">
        <f t="shared" ca="1" si="76"/>
        <v>302.97054521975286</v>
      </c>
      <c r="M238">
        <f t="shared" ca="1" si="77"/>
        <v>287.59645478024703</v>
      </c>
      <c r="N238">
        <f t="shared" ca="1" si="66"/>
        <v>2.3899999999999864</v>
      </c>
      <c r="O238">
        <f t="shared" ca="1" si="67"/>
        <v>2.3899999999999864</v>
      </c>
      <c r="P238">
        <f t="shared" ca="1" si="68"/>
        <v>0</v>
      </c>
      <c r="Q238">
        <f t="shared" ca="1" si="72"/>
        <v>1.3262049736961885</v>
      </c>
      <c r="R238">
        <f t="shared" ca="1" si="73"/>
        <v>0.94504013066016335</v>
      </c>
      <c r="S238">
        <f t="shared" ca="1" si="70"/>
        <v>1.4033319122329337</v>
      </c>
      <c r="T238">
        <f t="shared" ca="1" si="71"/>
        <v>58.391098836161134</v>
      </c>
      <c r="U238">
        <f>70</f>
        <v>70</v>
      </c>
      <c r="V238">
        <f>30</f>
        <v>30</v>
      </c>
      <c r="W238">
        <f t="shared" ca="1" si="69"/>
        <v>296.60656320183256</v>
      </c>
      <c r="X238">
        <f t="shared" ca="1" si="79"/>
        <v>296.39754886605033</v>
      </c>
      <c r="Y238">
        <f t="shared" ca="1" si="78"/>
        <v>0.5208714799940708</v>
      </c>
      <c r="Z238">
        <f t="shared" ca="1" si="80"/>
        <v>-0.56664700058650741</v>
      </c>
      <c r="AA238">
        <f t="shared" ca="1" si="81"/>
        <v>1.0875184805805782</v>
      </c>
      <c r="AB238">
        <f t="shared" ca="1" si="82"/>
        <v>290.32080000000008</v>
      </c>
    </row>
    <row r="239" spans="1:28" x14ac:dyDescent="0.25">
      <c r="A239" s="21">
        <f t="shared" ca="1" si="62"/>
        <v>45635</v>
      </c>
      <c r="B239" vm="709">
        <f ca="1"/>
        <v>45636</v>
      </c>
      <c r="C239" vm="710">
        <f ca="1"/>
        <v>300.70999999999998</v>
      </c>
      <c r="D239" vm="711">
        <f ca="1"/>
        <v>3522974</v>
      </c>
      <c r="E239">
        <f t="shared" ca="1" si="63"/>
        <v>1059393511.54</v>
      </c>
      <c r="F239">
        <f ca="1">SUM($E$2:E239)/SUM($D$2:D239)</f>
        <v>280.34356623726546</v>
      </c>
      <c r="G239">
        <f ca="1">_xlfn.STDEV.P($C$2:C239)</f>
        <v>17.07166235023395</v>
      </c>
      <c r="H239">
        <f t="shared" ca="1" si="64"/>
        <v>297.41522858749943</v>
      </c>
      <c r="I239">
        <f t="shared" ca="1" si="65"/>
        <v>263.2719038870315</v>
      </c>
      <c r="J239">
        <f t="shared" ca="1" si="74"/>
        <v>295.24249999999995</v>
      </c>
      <c r="K239">
        <f t="shared" ca="1" si="75"/>
        <v>3.7771834048248416</v>
      </c>
      <c r="L239">
        <f t="shared" ca="1" si="76"/>
        <v>302.79686680964966</v>
      </c>
      <c r="M239">
        <f t="shared" ca="1" si="77"/>
        <v>287.68813319035024</v>
      </c>
      <c r="N239">
        <f t="shared" ca="1" si="66"/>
        <v>-0.66000000000002501</v>
      </c>
      <c r="O239">
        <f t="shared" ca="1" si="67"/>
        <v>0</v>
      </c>
      <c r="P239">
        <f t="shared" ca="1" si="68"/>
        <v>0.66000000000002501</v>
      </c>
      <c r="Q239">
        <f t="shared" ca="1" si="72"/>
        <v>1.2314760470036037</v>
      </c>
      <c r="R239">
        <f t="shared" ca="1" si="73"/>
        <v>0.92468012132729627</v>
      </c>
      <c r="S239">
        <f t="shared" ca="1" si="70"/>
        <v>1.3317860075070382</v>
      </c>
      <c r="T239">
        <f t="shared" ca="1" si="71"/>
        <v>57.114418013464231</v>
      </c>
      <c r="U239">
        <f>70</f>
        <v>70</v>
      </c>
      <c r="V239">
        <f>30</f>
        <v>30</v>
      </c>
      <c r="W239">
        <f t="shared" ca="1" si="69"/>
        <v>297.2378611707814</v>
      </c>
      <c r="X239">
        <f t="shared" ca="1" si="79"/>
        <v>296.71698969078733</v>
      </c>
      <c r="Y239">
        <f t="shared" ca="1" si="78"/>
        <v>0.39151885531680364</v>
      </c>
      <c r="Z239">
        <f t="shared" ca="1" si="80"/>
        <v>-0.37501382940584521</v>
      </c>
      <c r="AA239">
        <f t="shared" ca="1" si="81"/>
        <v>0.76653268472264879</v>
      </c>
      <c r="AB239">
        <f t="shared" ca="1" si="82"/>
        <v>290.75510000000008</v>
      </c>
    </row>
    <row r="240" spans="1:28" x14ac:dyDescent="0.25">
      <c r="A240" s="21">
        <f t="shared" ca="1" si="62"/>
        <v>45635</v>
      </c>
      <c r="B240" vm="712">
        <f ca="1"/>
        <v>45637</v>
      </c>
      <c r="C240" vm="713">
        <f ca="1"/>
        <v>296.10000000000002</v>
      </c>
      <c r="D240" vm="714">
        <f ca="1"/>
        <v>3037616</v>
      </c>
      <c r="E240">
        <f t="shared" ca="1" si="63"/>
        <v>899438097.60000002</v>
      </c>
      <c r="F240">
        <f ca="1">SUM($E$2:E240)/SUM($D$2:D240)</f>
        <v>280.40116085737128</v>
      </c>
      <c r="G240">
        <f ca="1">_xlfn.STDEV.P($C$2:C240)</f>
        <v>17.060903734836714</v>
      </c>
      <c r="H240">
        <f t="shared" ca="1" si="64"/>
        <v>297.46206459220798</v>
      </c>
      <c r="I240">
        <f t="shared" ca="1" si="65"/>
        <v>263.34025712253458</v>
      </c>
      <c r="J240">
        <f t="shared" ca="1" si="74"/>
        <v>295.11500000000007</v>
      </c>
      <c r="K240">
        <f t="shared" ca="1" si="75"/>
        <v>3.6983232331479745</v>
      </c>
      <c r="L240">
        <f t="shared" ca="1" si="76"/>
        <v>302.51164646629604</v>
      </c>
      <c r="M240">
        <f t="shared" ca="1" si="77"/>
        <v>287.71835353370409</v>
      </c>
      <c r="N240">
        <f t="shared" ca="1" si="66"/>
        <v>-4.6099999999999568</v>
      </c>
      <c r="O240">
        <f t="shared" ca="1" si="67"/>
        <v>0</v>
      </c>
      <c r="P240">
        <f t="shared" ca="1" si="68"/>
        <v>4.6099999999999568</v>
      </c>
      <c r="Q240">
        <f t="shared" ca="1" si="72"/>
        <v>1.1435134722176321</v>
      </c>
      <c r="R240">
        <f t="shared" ca="1" si="73"/>
        <v>1.1879172555182005</v>
      </c>
      <c r="S240">
        <f t="shared" ca="1" si="70"/>
        <v>0.9626204745370095</v>
      </c>
      <c r="T240">
        <f t="shared" ca="1" si="71"/>
        <v>49.047713861443114</v>
      </c>
      <c r="U240">
        <f>70</f>
        <v>70</v>
      </c>
      <c r="V240">
        <f>30</f>
        <v>30</v>
      </c>
      <c r="W240">
        <f t="shared" ca="1" si="69"/>
        <v>297.0628056060458</v>
      </c>
      <c r="X240">
        <f t="shared" ca="1" si="79"/>
        <v>296.671286750729</v>
      </c>
      <c r="Y240">
        <f t="shared" ca="1" si="78"/>
        <v>0.32799165529536367</v>
      </c>
      <c r="Z240">
        <f t="shared" ca="1" si="80"/>
        <v>-0.23441273246560346</v>
      </c>
      <c r="AA240">
        <f t="shared" ca="1" si="81"/>
        <v>0.56240438776096713</v>
      </c>
      <c r="AB240">
        <f t="shared" ca="1" si="82"/>
        <v>291.1207</v>
      </c>
    </row>
    <row r="241" spans="1:28" x14ac:dyDescent="0.25">
      <c r="A241" s="21">
        <f t="shared" ca="1" si="62"/>
        <v>45635</v>
      </c>
      <c r="B241" vm="715">
        <f ca="1"/>
        <v>45638</v>
      </c>
      <c r="C241" vm="716">
        <f ca="1"/>
        <v>296.63</v>
      </c>
      <c r="D241" vm="717">
        <f ca="1"/>
        <v>2040653</v>
      </c>
      <c r="E241">
        <f t="shared" ca="1" si="63"/>
        <v>605318899.38999999</v>
      </c>
      <c r="F241">
        <f ca="1">SUM($E$2:E241)/SUM($D$2:D241)</f>
        <v>280.44091501753155</v>
      </c>
      <c r="G241">
        <f ca="1">_xlfn.STDEV.P($C$2:C241)</f>
        <v>17.051891659277047</v>
      </c>
      <c r="H241">
        <f t="shared" ca="1" si="64"/>
        <v>297.49280667680858</v>
      </c>
      <c r="I241">
        <f t="shared" ca="1" si="65"/>
        <v>263.38902335825452</v>
      </c>
      <c r="J241">
        <f t="shared" ca="1" si="74"/>
        <v>295.07900000000006</v>
      </c>
      <c r="K241">
        <f t="shared" ca="1" si="75"/>
        <v>3.6788755433091063</v>
      </c>
      <c r="L241">
        <f t="shared" ca="1" si="76"/>
        <v>302.4367510866183</v>
      </c>
      <c r="M241">
        <f t="shared" ca="1" si="77"/>
        <v>287.72124891338183</v>
      </c>
      <c r="N241">
        <f t="shared" ca="1" si="66"/>
        <v>0.52999999999997272</v>
      </c>
      <c r="O241">
        <f t="shared" ca="1" si="67"/>
        <v>0.52999999999997272</v>
      </c>
      <c r="P241">
        <f t="shared" ca="1" si="68"/>
        <v>0</v>
      </c>
      <c r="Q241">
        <f t="shared" ca="1" si="72"/>
        <v>1.0996910813449421</v>
      </c>
      <c r="R241">
        <f t="shared" ca="1" si="73"/>
        <v>1.1030660229811862</v>
      </c>
      <c r="S241">
        <f t="shared" ca="1" si="70"/>
        <v>0.99694039924543876</v>
      </c>
      <c r="T241">
        <f t="shared" ca="1" si="71"/>
        <v>49.923392787393226</v>
      </c>
      <c r="U241">
        <f>70</f>
        <v>70</v>
      </c>
      <c r="V241">
        <f>30</f>
        <v>30</v>
      </c>
      <c r="W241">
        <f t="shared" ca="1" si="69"/>
        <v>296.99622012819259</v>
      </c>
      <c r="X241">
        <f t="shared" ca="1" si="79"/>
        <v>296.66822847289723</v>
      </c>
      <c r="Y241">
        <f t="shared" ca="1" si="78"/>
        <v>0.27208867345188992</v>
      </c>
      <c r="Z241">
        <f t="shared" ca="1" si="80"/>
        <v>-0.1331124512821048</v>
      </c>
      <c r="AA241">
        <f t="shared" ca="1" si="81"/>
        <v>0.40520112473399472</v>
      </c>
      <c r="AB241">
        <f t="shared" ca="1" si="82"/>
        <v>291.54650000000004</v>
      </c>
    </row>
    <row r="242" spans="1:28" x14ac:dyDescent="0.25">
      <c r="A242" s="21">
        <f t="shared" ca="1" si="62"/>
        <v>45635</v>
      </c>
      <c r="B242" vm="718">
        <f ca="1"/>
        <v>45639</v>
      </c>
      <c r="C242" vm="719">
        <f ca="1"/>
        <v>296.60000000000002</v>
      </c>
      <c r="D242" vm="720">
        <f ca="1"/>
        <v>2547703</v>
      </c>
      <c r="E242">
        <f t="shared" ca="1" si="63"/>
        <v>755648709.80000007</v>
      </c>
      <c r="F242">
        <f ca="1">SUM($E$2:E242)/SUM($D$2:D242)</f>
        <v>280.49018306704068</v>
      </c>
      <c r="G242">
        <f ca="1">_xlfn.STDEV.P($C$2:C242)</f>
        <v>17.04262326081469</v>
      </c>
      <c r="H242">
        <f t="shared" ca="1" si="64"/>
        <v>297.53280632785538</v>
      </c>
      <c r="I242">
        <f t="shared" ca="1" si="65"/>
        <v>263.44755980622597</v>
      </c>
      <c r="J242">
        <f t="shared" ca="1" si="74"/>
        <v>294.98100000000011</v>
      </c>
      <c r="K242">
        <f t="shared" ca="1" si="75"/>
        <v>3.6066632778788734</v>
      </c>
      <c r="L242">
        <f t="shared" ca="1" si="76"/>
        <v>302.19432655575787</v>
      </c>
      <c r="M242">
        <f t="shared" ca="1" si="77"/>
        <v>287.76767344424235</v>
      </c>
      <c r="N242">
        <f t="shared" ca="1" si="66"/>
        <v>-2.9999999999972715E-2</v>
      </c>
      <c r="O242">
        <f t="shared" ca="1" si="67"/>
        <v>0</v>
      </c>
      <c r="P242">
        <f t="shared" ca="1" si="68"/>
        <v>2.9999999999972715E-2</v>
      </c>
      <c r="Q242">
        <f t="shared" ca="1" si="72"/>
        <v>1.021141718391732</v>
      </c>
      <c r="R242">
        <f t="shared" ca="1" si="73"/>
        <v>1.0264184499110995</v>
      </c>
      <c r="S242">
        <f t="shared" ca="1" si="70"/>
        <v>0.99485908352502372</v>
      </c>
      <c r="T242">
        <f t="shared" ca="1" si="71"/>
        <v>49.871145873975919</v>
      </c>
      <c r="U242">
        <f>70</f>
        <v>70</v>
      </c>
      <c r="V242">
        <f>30</f>
        <v>30</v>
      </c>
      <c r="W242">
        <f t="shared" ca="1" si="69"/>
        <v>296.93526318539375</v>
      </c>
      <c r="X242">
        <f t="shared" ca="1" si="79"/>
        <v>296.66317451194186</v>
      </c>
      <c r="Y242">
        <f t="shared" ca="1" si="78"/>
        <v>0.31373632387703765</v>
      </c>
      <c r="Z242">
        <f t="shared" ca="1" si="80"/>
        <v>-4.3742696250276325E-2</v>
      </c>
      <c r="AA242">
        <f t="shared" ca="1" si="81"/>
        <v>0.35747902012731397</v>
      </c>
      <c r="AB242">
        <f t="shared" ca="1" si="82"/>
        <v>291.97880000000004</v>
      </c>
    </row>
    <row r="243" spans="1:28" x14ac:dyDescent="0.25">
      <c r="A243" s="21">
        <f t="shared" ca="1" si="62"/>
        <v>45642</v>
      </c>
      <c r="B243" vm="721">
        <f ca="1"/>
        <v>45642</v>
      </c>
      <c r="C243" vm="722">
        <f ca="1"/>
        <v>297.70999999999998</v>
      </c>
      <c r="D243" vm="723">
        <f ca="1"/>
        <v>3180071</v>
      </c>
      <c r="E243">
        <f t="shared" ca="1" si="63"/>
        <v>946738937.40999997</v>
      </c>
      <c r="F243">
        <f ca="1">SUM($E$2:E243)/SUM($D$2:D243)</f>
        <v>280.5554683794835</v>
      </c>
      <c r="G243">
        <f ca="1">_xlfn.STDEV.P($C$2:C243)</f>
        <v>17.037280135034205</v>
      </c>
      <c r="H243">
        <f t="shared" ca="1" si="64"/>
        <v>297.59274851451772</v>
      </c>
      <c r="I243">
        <f t="shared" ca="1" si="65"/>
        <v>263.51818824444928</v>
      </c>
      <c r="J243">
        <f t="shared" ca="1" si="74"/>
        <v>295.23500000000001</v>
      </c>
      <c r="K243">
        <f t="shared" ca="1" si="75"/>
        <v>3.6112565242877031</v>
      </c>
      <c r="L243">
        <f t="shared" ca="1" si="76"/>
        <v>302.45751304857544</v>
      </c>
      <c r="M243">
        <f t="shared" ca="1" si="77"/>
        <v>288.01248695142459</v>
      </c>
      <c r="N243">
        <f t="shared" ca="1" si="66"/>
        <v>1.1099999999999568</v>
      </c>
      <c r="O243">
        <f t="shared" ca="1" si="67"/>
        <v>1.1099999999999568</v>
      </c>
      <c r="P243">
        <f t="shared" ca="1" si="68"/>
        <v>0</v>
      </c>
      <c r="Q243">
        <f t="shared" ca="1" si="72"/>
        <v>1.0274887385066052</v>
      </c>
      <c r="R243">
        <f t="shared" ca="1" si="73"/>
        <v>0.95310284634602105</v>
      </c>
      <c r="S243">
        <f t="shared" ca="1" si="70"/>
        <v>1.0780460287635931</v>
      </c>
      <c r="T243">
        <f t="shared" ca="1" si="71"/>
        <v>51.877870549624667</v>
      </c>
      <c r="U243">
        <f>70</f>
        <v>70</v>
      </c>
      <c r="V243">
        <f>30</f>
        <v>30</v>
      </c>
      <c r="W243">
        <f t="shared" ca="1" si="69"/>
        <v>297.05445346456395</v>
      </c>
      <c r="X243">
        <f t="shared" ca="1" si="79"/>
        <v>296.74071714068691</v>
      </c>
      <c r="Y243">
        <f t="shared" ca="1" si="78"/>
        <v>0.21276241667311524</v>
      </c>
      <c r="Z243">
        <f t="shared" ca="1" si="80"/>
        <v>7.5583263344019894E-3</v>
      </c>
      <c r="AA243">
        <f t="shared" ca="1" si="81"/>
        <v>0.20520409033871326</v>
      </c>
      <c r="AB243">
        <f t="shared" ca="1" si="82"/>
        <v>292.44130000000001</v>
      </c>
    </row>
    <row r="244" spans="1:28" x14ac:dyDescent="0.25">
      <c r="A244" s="21">
        <f t="shared" ca="1" si="62"/>
        <v>45642</v>
      </c>
      <c r="B244" vm="724">
        <f ca="1"/>
        <v>45643</v>
      </c>
      <c r="C244" vm="725">
        <f ca="1"/>
        <v>296.08</v>
      </c>
      <c r="D244" vm="726">
        <f ca="1"/>
        <v>3295881</v>
      </c>
      <c r="E244">
        <f t="shared" ca="1" si="63"/>
        <v>975844446.4799999</v>
      </c>
      <c r="F244">
        <f ca="1">SUM($E$2:E244)/SUM($D$2:D244)</f>
        <v>280.61623107265081</v>
      </c>
      <c r="G244">
        <f ca="1">_xlfn.STDEV.P($C$2:C244)</f>
        <v>17.025909182129698</v>
      </c>
      <c r="H244">
        <f t="shared" ca="1" si="64"/>
        <v>297.64214025478049</v>
      </c>
      <c r="I244">
        <f t="shared" ca="1" si="65"/>
        <v>263.59032189052112</v>
      </c>
      <c r="J244">
        <f t="shared" ca="1" si="74"/>
        <v>295.48400000000004</v>
      </c>
      <c r="K244">
        <f t="shared" ca="1" si="75"/>
        <v>3.4804573202231222</v>
      </c>
      <c r="L244">
        <f t="shared" ca="1" si="76"/>
        <v>302.44491464044626</v>
      </c>
      <c r="M244">
        <f t="shared" ca="1" si="77"/>
        <v>288.52308535955382</v>
      </c>
      <c r="N244">
        <f t="shared" ca="1" si="66"/>
        <v>-1.6299999999999955</v>
      </c>
      <c r="O244">
        <f t="shared" ca="1" si="67"/>
        <v>0</v>
      </c>
      <c r="P244">
        <f t="shared" ca="1" si="68"/>
        <v>1.6299999999999955</v>
      </c>
      <c r="Q244">
        <f t="shared" ca="1" si="72"/>
        <v>0.95409668575613338</v>
      </c>
      <c r="R244">
        <f t="shared" ca="1" si="73"/>
        <v>1.0014526430355908</v>
      </c>
      <c r="S244">
        <f t="shared" ca="1" si="70"/>
        <v>0.9527127342378241</v>
      </c>
      <c r="T244">
        <f t="shared" ca="1" si="71"/>
        <v>48.789190418716842</v>
      </c>
      <c r="U244">
        <f>70</f>
        <v>70</v>
      </c>
      <c r="V244">
        <f>30</f>
        <v>30</v>
      </c>
      <c r="W244">
        <f t="shared" ca="1" si="69"/>
        <v>296.90453754693874</v>
      </c>
      <c r="X244">
        <f t="shared" ca="1" si="79"/>
        <v>296.69177513026563</v>
      </c>
      <c r="Y244">
        <f t="shared" ca="1" si="78"/>
        <v>-0.28358765212402659</v>
      </c>
      <c r="Z244">
        <f t="shared" ca="1" si="80"/>
        <v>-5.0670869357283724E-2</v>
      </c>
      <c r="AA244">
        <f t="shared" ca="1" si="81"/>
        <v>-0.23291678276674288</v>
      </c>
      <c r="AB244">
        <f t="shared" ca="1" si="82"/>
        <v>292.88210000000004</v>
      </c>
    </row>
    <row r="245" spans="1:28" x14ac:dyDescent="0.25">
      <c r="A245" s="21">
        <f t="shared" ca="1" si="62"/>
        <v>45642</v>
      </c>
      <c r="B245" vm="727">
        <f ca="1"/>
        <v>45644</v>
      </c>
      <c r="C245" vm="728">
        <f ca="1"/>
        <v>290.88</v>
      </c>
      <c r="D245" vm="729">
        <f ca="1"/>
        <v>3800945</v>
      </c>
      <c r="E245">
        <f t="shared" ca="1" si="63"/>
        <v>1105618881.5999999</v>
      </c>
      <c r="F245">
        <f ca="1">SUM($E$2:E245)/SUM($D$2:D245)</f>
        <v>280.66235109896286</v>
      </c>
      <c r="G245">
        <f ca="1">_xlfn.STDEV.P($C$2:C245)</f>
        <v>17.000233201198217</v>
      </c>
      <c r="H245">
        <f t="shared" ca="1" si="64"/>
        <v>297.66258430016109</v>
      </c>
      <c r="I245">
        <f t="shared" ca="1" si="65"/>
        <v>263.66211789776463</v>
      </c>
      <c r="J245">
        <f t="shared" ca="1" si="74"/>
        <v>295.49150000000003</v>
      </c>
      <c r="K245">
        <f t="shared" ca="1" si="75"/>
        <v>3.4698191595528423</v>
      </c>
      <c r="L245">
        <f t="shared" ca="1" si="76"/>
        <v>302.43113831910574</v>
      </c>
      <c r="M245">
        <f t="shared" ca="1" si="77"/>
        <v>288.55186168089432</v>
      </c>
      <c r="N245">
        <f t="shared" ca="1" si="66"/>
        <v>-5.1999999999999886</v>
      </c>
      <c r="O245">
        <f t="shared" ca="1" si="67"/>
        <v>0</v>
      </c>
      <c r="P245">
        <f t="shared" ca="1" si="68"/>
        <v>5.1999999999999886</v>
      </c>
      <c r="Q245">
        <f t="shared" ca="1" si="72"/>
        <v>0.88594692248783813</v>
      </c>
      <c r="R245">
        <f t="shared" ca="1" si="73"/>
        <v>1.3013488828187623</v>
      </c>
      <c r="S245">
        <f t="shared" ca="1" si="70"/>
        <v>0.68079124221388621</v>
      </c>
      <c r="T245">
        <f t="shared" ca="1" si="71"/>
        <v>40.504211654337816</v>
      </c>
      <c r="U245">
        <f>70</f>
        <v>70</v>
      </c>
      <c r="V245">
        <f>30</f>
        <v>30</v>
      </c>
      <c r="W245">
        <f t="shared" ca="1" si="69"/>
        <v>295.97768561664049</v>
      </c>
      <c r="X245">
        <f t="shared" ca="1" si="79"/>
        <v>296.26127326876451</v>
      </c>
      <c r="Y245">
        <f t="shared" ca="1" si="78"/>
        <v>-0.72108599488956315</v>
      </c>
      <c r="Z245">
        <f t="shared" ca="1" si="80"/>
        <v>-0.1847538944637396</v>
      </c>
      <c r="AA245">
        <f t="shared" ca="1" si="81"/>
        <v>-0.53633210042582358</v>
      </c>
      <c r="AB245">
        <f t="shared" ca="1" si="82"/>
        <v>293.17670000000004</v>
      </c>
    </row>
    <row r="246" spans="1:28" x14ac:dyDescent="0.25">
      <c r="A246" s="21">
        <f t="shared" ca="1" si="62"/>
        <v>45642</v>
      </c>
      <c r="B246" vm="730">
        <f ca="1"/>
        <v>45645</v>
      </c>
      <c r="C246" vm="523">
        <f ca="1"/>
        <v>290.23</v>
      </c>
      <c r="D246" vm="731">
        <f ca="1"/>
        <v>3438533</v>
      </c>
      <c r="E246">
        <f t="shared" ca="1" si="63"/>
        <v>997965432.59000003</v>
      </c>
      <c r="F246">
        <f ca="1">SUM($E$2:E246)/SUM($D$2:D246)</f>
        <v>280.70108646620832</v>
      </c>
      <c r="G246">
        <f ca="1">_xlfn.STDEV.P($C$2:C246)</f>
        <v>16.973343191665005</v>
      </c>
      <c r="H246">
        <f t="shared" ca="1" si="64"/>
        <v>297.6744296578733</v>
      </c>
      <c r="I246">
        <f t="shared" ca="1" si="65"/>
        <v>263.72774327454334</v>
      </c>
      <c r="J246">
        <f t="shared" ca="1" si="74"/>
        <v>295.45749999999998</v>
      </c>
      <c r="K246">
        <f t="shared" ca="1" si="75"/>
        <v>3.5200431740773319</v>
      </c>
      <c r="L246">
        <f t="shared" ca="1" si="76"/>
        <v>302.49758634815464</v>
      </c>
      <c r="M246">
        <f t="shared" ca="1" si="77"/>
        <v>288.41741365184532</v>
      </c>
      <c r="N246">
        <f t="shared" ca="1" si="66"/>
        <v>-0.64999999999997726</v>
      </c>
      <c r="O246">
        <f t="shared" ca="1" si="67"/>
        <v>0</v>
      </c>
      <c r="P246">
        <f t="shared" ca="1" si="68"/>
        <v>0.64999999999997726</v>
      </c>
      <c r="Q246">
        <f t="shared" ca="1" si="72"/>
        <v>0.82266499945299254</v>
      </c>
      <c r="R246">
        <f t="shared" ca="1" si="73"/>
        <v>1.2548239626174205</v>
      </c>
      <c r="S246">
        <f t="shared" ca="1" si="70"/>
        <v>0.65560192023828323</v>
      </c>
      <c r="T246">
        <f t="shared" ca="1" si="71"/>
        <v>39.599006997039808</v>
      </c>
      <c r="U246">
        <f>70</f>
        <v>70</v>
      </c>
      <c r="V246">
        <f>30</f>
        <v>30</v>
      </c>
      <c r="W246">
        <f t="shared" ca="1" si="69"/>
        <v>295.09342629100348</v>
      </c>
      <c r="X246">
        <f t="shared" ca="1" si="79"/>
        <v>295.81451228589304</v>
      </c>
      <c r="Y246">
        <f t="shared" ca="1" si="78"/>
        <v>-0.86019625210030881</v>
      </c>
      <c r="Z246">
        <f t="shared" ca="1" si="80"/>
        <v>-0.31984236599105342</v>
      </c>
      <c r="AA246">
        <f t="shared" ca="1" si="81"/>
        <v>-0.54035388610925539</v>
      </c>
      <c r="AB246">
        <f t="shared" ca="1" si="82"/>
        <v>293.41460000000001</v>
      </c>
    </row>
    <row r="247" spans="1:28" x14ac:dyDescent="0.25">
      <c r="A247" s="21">
        <f t="shared" ca="1" si="62"/>
        <v>45642</v>
      </c>
      <c r="B247" vm="732">
        <f ca="1"/>
        <v>45646</v>
      </c>
      <c r="C247" vm="733">
        <f ca="1"/>
        <v>292.68</v>
      </c>
      <c r="D247" vm="734">
        <f ca="1"/>
        <v>7677952</v>
      </c>
      <c r="E247">
        <f t="shared" ca="1" si="63"/>
        <v>2247182991.3600001</v>
      </c>
      <c r="F247">
        <f ca="1">SUM($E$2:E247)/SUM($D$2:D247)</f>
        <v>280.80840720056221</v>
      </c>
      <c r="G247">
        <f ca="1">_xlfn.STDEV.P($C$2:C247)</f>
        <v>16.951998243016213</v>
      </c>
      <c r="H247">
        <f t="shared" ca="1" si="64"/>
        <v>297.76040544357841</v>
      </c>
      <c r="I247">
        <f t="shared" ca="1" si="65"/>
        <v>263.85640895754602</v>
      </c>
      <c r="J247">
        <f t="shared" ca="1" si="74"/>
        <v>295.66800000000001</v>
      </c>
      <c r="K247">
        <f t="shared" ca="1" si="75"/>
        <v>3.1906650024555616</v>
      </c>
      <c r="L247">
        <f t="shared" ca="1" si="76"/>
        <v>302.04933000491116</v>
      </c>
      <c r="M247">
        <f t="shared" ca="1" si="77"/>
        <v>289.28666999508886</v>
      </c>
      <c r="N247">
        <f t="shared" ca="1" si="66"/>
        <v>2.4499999999999886</v>
      </c>
      <c r="O247">
        <f t="shared" ca="1" si="67"/>
        <v>2.4499999999999886</v>
      </c>
      <c r="P247">
        <f t="shared" ca="1" si="68"/>
        <v>0</v>
      </c>
      <c r="Q247">
        <f t="shared" ca="1" si="72"/>
        <v>0.93890321377777808</v>
      </c>
      <c r="R247">
        <f t="shared" ca="1" si="73"/>
        <v>1.1651936795733191</v>
      </c>
      <c r="S247">
        <f t="shared" ca="1" si="70"/>
        <v>0.80579154370421402</v>
      </c>
      <c r="T247">
        <f t="shared" ca="1" si="71"/>
        <v>44.62262250111641</v>
      </c>
      <c r="U247">
        <f>70</f>
        <v>70</v>
      </c>
      <c r="V247">
        <f>30</f>
        <v>30</v>
      </c>
      <c r="W247">
        <f t="shared" ca="1" si="69"/>
        <v>294.7221299385414</v>
      </c>
      <c r="X247">
        <f t="shared" ca="1" si="79"/>
        <v>295.58232619064171</v>
      </c>
      <c r="Y247">
        <f t="shared" ca="1" si="78"/>
        <v>-1.0702661544494276</v>
      </c>
      <c r="Z247">
        <f t="shared" ca="1" si="80"/>
        <v>-0.46992712368272826</v>
      </c>
      <c r="AA247">
        <f t="shared" ca="1" si="81"/>
        <v>-0.60033903076669937</v>
      </c>
      <c r="AB247">
        <f t="shared" ca="1" si="82"/>
        <v>293.68740000000003</v>
      </c>
    </row>
    <row r="248" spans="1:28" x14ac:dyDescent="0.25">
      <c r="A248" s="21">
        <f t="shared" ca="1" si="62"/>
        <v>45649</v>
      </c>
      <c r="B248" vm="735">
        <f ca="1"/>
        <v>45649</v>
      </c>
      <c r="C248" vm="517">
        <f ca="1"/>
        <v>291.29000000000002</v>
      </c>
      <c r="D248" vm="736">
        <f ca="1"/>
        <v>2492226</v>
      </c>
      <c r="E248">
        <f t="shared" ca="1" si="63"/>
        <v>725960511.54000008</v>
      </c>
      <c r="F248">
        <f ca="1">SUM($E$2:E248)/SUM($D$2:D248)</f>
        <v>280.83880025747879</v>
      </c>
      <c r="G248">
        <f ca="1">_xlfn.STDEV.P($C$2:C248)</f>
        <v>16.927458610540327</v>
      </c>
      <c r="H248">
        <f t="shared" ca="1" si="64"/>
        <v>297.76625886801912</v>
      </c>
      <c r="I248">
        <f t="shared" ca="1" si="65"/>
        <v>263.91134164693847</v>
      </c>
      <c r="J248">
        <f t="shared" ca="1" si="74"/>
        <v>295.71850000000001</v>
      </c>
      <c r="K248">
        <f t="shared" ca="1" si="75"/>
        <v>3.1078157416762204</v>
      </c>
      <c r="L248">
        <f t="shared" ca="1" si="76"/>
        <v>301.93413148335247</v>
      </c>
      <c r="M248">
        <f t="shared" ca="1" si="77"/>
        <v>289.50286851664754</v>
      </c>
      <c r="N248">
        <f t="shared" ca="1" si="66"/>
        <v>-1.3899999999999864</v>
      </c>
      <c r="O248">
        <f t="shared" ca="1" si="67"/>
        <v>0</v>
      </c>
      <c r="P248">
        <f t="shared" ca="1" si="68"/>
        <v>1.3899999999999864</v>
      </c>
      <c r="Q248">
        <f t="shared" ca="1" si="72"/>
        <v>0.87183869850793683</v>
      </c>
      <c r="R248">
        <f t="shared" ca="1" si="73"/>
        <v>1.1812512738895096</v>
      </c>
      <c r="S248">
        <f t="shared" ca="1" si="70"/>
        <v>0.73806371072704202</v>
      </c>
      <c r="T248">
        <f t="shared" ca="1" si="71"/>
        <v>42.464709790086218</v>
      </c>
      <c r="U248">
        <f>70</f>
        <v>70</v>
      </c>
      <c r="V248">
        <f>30</f>
        <v>30</v>
      </c>
      <c r="W248">
        <f t="shared" ca="1" si="69"/>
        <v>294.19410994799659</v>
      </c>
      <c r="X248">
        <f t="shared" ca="1" si="79"/>
        <v>295.26437610244602</v>
      </c>
      <c r="Y248">
        <f t="shared" ca="1" si="78"/>
        <v>-1.0072694550996175</v>
      </c>
      <c r="Z248">
        <f t="shared" ca="1" si="80"/>
        <v>-0.57739558996610607</v>
      </c>
      <c r="AA248">
        <f t="shared" ca="1" si="81"/>
        <v>-0.42987386513351145</v>
      </c>
      <c r="AB248">
        <f t="shared" ca="1" si="82"/>
        <v>293.91280000000006</v>
      </c>
    </row>
    <row r="249" spans="1:28" x14ac:dyDescent="0.25">
      <c r="A249" s="21">
        <f t="shared" ca="1" si="62"/>
        <v>45649</v>
      </c>
      <c r="B249" vm="737">
        <f ca="1"/>
        <v>45650</v>
      </c>
      <c r="C249" vm="738">
        <f ca="1"/>
        <v>293.99</v>
      </c>
      <c r="D249" vm="739">
        <f ca="1"/>
        <v>1460985</v>
      </c>
      <c r="E249">
        <f t="shared" ca="1" si="63"/>
        <v>429514980.15000004</v>
      </c>
      <c r="F249">
        <f ca="1">SUM($E$2:E249)/SUM($D$2:D249)</f>
        <v>280.86111712360406</v>
      </c>
      <c r="G249">
        <f ca="1">_xlfn.STDEV.P($C$2:C249)</f>
        <v>16.909665314114875</v>
      </c>
      <c r="H249">
        <f t="shared" ca="1" si="64"/>
        <v>297.77078243771894</v>
      </c>
      <c r="I249">
        <f t="shared" ca="1" si="65"/>
        <v>263.95145180948919</v>
      </c>
      <c r="J249">
        <f t="shared" ca="1" si="74"/>
        <v>295.60849999999994</v>
      </c>
      <c r="K249">
        <f t="shared" ca="1" si="75"/>
        <v>3.1291099709863675</v>
      </c>
      <c r="L249">
        <f t="shared" ca="1" si="76"/>
        <v>301.86671994197269</v>
      </c>
      <c r="M249">
        <f t="shared" ca="1" si="77"/>
        <v>289.35028005802718</v>
      </c>
      <c r="N249">
        <f t="shared" ca="1" si="66"/>
        <v>2.6999999999999886</v>
      </c>
      <c r="O249">
        <f t="shared" ca="1" si="67"/>
        <v>2.6999999999999886</v>
      </c>
      <c r="P249">
        <f t="shared" ca="1" si="68"/>
        <v>0</v>
      </c>
      <c r="Q249">
        <f t="shared" ca="1" si="72"/>
        <v>1.0024216486145119</v>
      </c>
      <c r="R249">
        <f t="shared" ca="1" si="73"/>
        <v>1.0968761828974016</v>
      </c>
      <c r="S249">
        <f t="shared" ca="1" si="70"/>
        <v>0.91388769693823801</v>
      </c>
      <c r="T249">
        <f t="shared" ca="1" si="71"/>
        <v>47.750330304136419</v>
      </c>
      <c r="U249">
        <f>70</f>
        <v>70</v>
      </c>
      <c r="V249">
        <f>30</f>
        <v>30</v>
      </c>
      <c r="W249">
        <f t="shared" ca="1" si="69"/>
        <v>294.16270841753555</v>
      </c>
      <c r="X249">
        <f t="shared" ca="1" si="79"/>
        <v>295.16997787263517</v>
      </c>
      <c r="Y249">
        <f t="shared" ca="1" si="78"/>
        <v>-0.8818188279155379</v>
      </c>
      <c r="Z249">
        <f t="shared" ca="1" si="80"/>
        <v>-0.6382802375559925</v>
      </c>
      <c r="AA249">
        <f t="shared" ca="1" si="81"/>
        <v>-0.24353859035954539</v>
      </c>
      <c r="AB249">
        <f t="shared" ca="1" si="82"/>
        <v>294.08580000000006</v>
      </c>
    </row>
    <row r="250" spans="1:28" x14ac:dyDescent="0.25">
      <c r="A250" s="21">
        <f t="shared" ca="1" si="62"/>
        <v>45649</v>
      </c>
      <c r="B250" vm="740">
        <f ca="1"/>
        <v>45652</v>
      </c>
      <c r="C250" vm="741">
        <f ca="1"/>
        <v>294.8</v>
      </c>
      <c r="D250" vm="742">
        <f ca="1"/>
        <v>1434337</v>
      </c>
      <c r="E250">
        <f t="shared" ca="1" si="63"/>
        <v>422842547.60000002</v>
      </c>
      <c r="F250">
        <f ca="1">SUM($E$2:E250)/SUM($D$2:D250)</f>
        <v>280.88430058709969</v>
      </c>
      <c r="G250">
        <f ca="1">_xlfn.STDEV.P($C$2:C250)</f>
        <v>16.894185241838823</v>
      </c>
      <c r="H250">
        <f t="shared" ca="1" si="64"/>
        <v>297.77848582893853</v>
      </c>
      <c r="I250">
        <f t="shared" ca="1" si="65"/>
        <v>263.99011534526085</v>
      </c>
      <c r="J250">
        <f t="shared" ca="1" si="74"/>
        <v>295.53199999999998</v>
      </c>
      <c r="K250">
        <f t="shared" ca="1" si="75"/>
        <v>3.129245074589412</v>
      </c>
      <c r="L250">
        <f t="shared" ca="1" si="76"/>
        <v>301.79049014917882</v>
      </c>
      <c r="M250">
        <f t="shared" ca="1" si="77"/>
        <v>289.27350985082114</v>
      </c>
      <c r="N250">
        <f t="shared" ca="1" si="66"/>
        <v>0.81000000000000227</v>
      </c>
      <c r="O250">
        <f t="shared" ca="1" si="67"/>
        <v>0.81000000000000227</v>
      </c>
      <c r="P250">
        <f t="shared" ca="1" si="68"/>
        <v>0</v>
      </c>
      <c r="Q250">
        <f t="shared" ca="1" si="72"/>
        <v>0.98867724514204691</v>
      </c>
      <c r="R250">
        <f t="shared" ca="1" si="73"/>
        <v>1.0185278841190157</v>
      </c>
      <c r="S250">
        <f t="shared" ca="1" si="70"/>
        <v>0.97069236940647097</v>
      </c>
      <c r="T250">
        <f t="shared" ca="1" si="71"/>
        <v>49.256412846355211</v>
      </c>
      <c r="U250">
        <f>70</f>
        <v>70</v>
      </c>
      <c r="V250">
        <f>30</f>
        <v>30</v>
      </c>
      <c r="W250">
        <f t="shared" ca="1" si="69"/>
        <v>294.26075327637625</v>
      </c>
      <c r="X250">
        <f t="shared" ca="1" si="79"/>
        <v>295.14257210429179</v>
      </c>
      <c r="Y250">
        <f t="shared" ca="1" si="78"/>
        <v>-0.8676131362139472</v>
      </c>
      <c r="Z250">
        <f t="shared" ca="1" si="80"/>
        <v>-0.68414681728758342</v>
      </c>
      <c r="AA250">
        <f t="shared" ca="1" si="81"/>
        <v>-0.18346631892636378</v>
      </c>
      <c r="AB250">
        <f t="shared" ca="1" si="82"/>
        <v>294.34930000000003</v>
      </c>
    </row>
    <row r="251" spans="1:28" x14ac:dyDescent="0.25">
      <c r="A251" s="21">
        <f t="shared" ca="1" si="62"/>
        <v>45649</v>
      </c>
      <c r="B251" vm="743">
        <f ca="1"/>
        <v>45653</v>
      </c>
      <c r="C251" vm="744">
        <f ca="1"/>
        <v>293.62</v>
      </c>
      <c r="D251" vm="745">
        <f ca="1"/>
        <v>1617399</v>
      </c>
      <c r="E251">
        <f t="shared" ca="1" si="63"/>
        <v>474900694.38</v>
      </c>
      <c r="F251">
        <f ca="1">SUM($E$2:E251)/SUM($D$2:D251)</f>
        <v>280.90814163624816</v>
      </c>
      <c r="G251">
        <f ca="1">_xlfn.STDEV.P($C$2:C251)</f>
        <v>16.875363701870249</v>
      </c>
      <c r="H251">
        <f t="shared" ca="1" si="64"/>
        <v>297.7835053381184</v>
      </c>
      <c r="I251">
        <f t="shared" ca="1" si="65"/>
        <v>264.03277793437792</v>
      </c>
      <c r="J251">
        <f t="shared" ca="1" si="74"/>
        <v>295.45899999999995</v>
      </c>
      <c r="K251">
        <f t="shared" ca="1" si="75"/>
        <v>3.157248802359419</v>
      </c>
      <c r="L251">
        <f t="shared" ca="1" si="76"/>
        <v>301.77349760471878</v>
      </c>
      <c r="M251">
        <f t="shared" ca="1" si="77"/>
        <v>289.14450239528111</v>
      </c>
      <c r="N251">
        <f t="shared" ca="1" si="66"/>
        <v>-1.1800000000000068</v>
      </c>
      <c r="O251">
        <f t="shared" ca="1" si="67"/>
        <v>0</v>
      </c>
      <c r="P251">
        <f t="shared" ca="1" si="68"/>
        <v>1.1800000000000068</v>
      </c>
      <c r="Q251">
        <f t="shared" ca="1" si="72"/>
        <v>0.91805744191761496</v>
      </c>
      <c r="R251">
        <f t="shared" ca="1" si="73"/>
        <v>1.0300616066819437</v>
      </c>
      <c r="S251">
        <f t="shared" ca="1" si="70"/>
        <v>0.8912645961777772</v>
      </c>
      <c r="T251">
        <f t="shared" ca="1" si="71"/>
        <v>47.125325455730106</v>
      </c>
      <c r="U251">
        <f>70</f>
        <v>70</v>
      </c>
      <c r="V251">
        <f>30</f>
        <v>30</v>
      </c>
      <c r="W251">
        <f t="shared" ca="1" si="69"/>
        <v>294.16217584924141</v>
      </c>
      <c r="X251">
        <f t="shared" ca="1" si="79"/>
        <v>295.02978898545535</v>
      </c>
      <c r="Y251">
        <f t="shared" ca="1" si="78"/>
        <v>-1.1672797522743394</v>
      </c>
      <c r="Z251">
        <f t="shared" ca="1" si="80"/>
        <v>-0.78077340428493469</v>
      </c>
      <c r="AA251">
        <f t="shared" ca="1" si="81"/>
        <v>-0.38650634798940475</v>
      </c>
      <c r="AB251">
        <f t="shared" ca="1" si="82"/>
        <v>294.5849</v>
      </c>
    </row>
    <row r="252" spans="1:28" x14ac:dyDescent="0.25">
      <c r="A252" s="21">
        <f t="shared" ca="1" si="62"/>
        <v>45656</v>
      </c>
      <c r="B252" vm="746">
        <f ca="1"/>
        <v>45656</v>
      </c>
      <c r="C252" vm="747">
        <f ca="1"/>
        <v>289.60000000000002</v>
      </c>
      <c r="D252" vm="748">
        <f ca="1"/>
        <v>1936678</v>
      </c>
      <c r="E252">
        <f t="shared" ca="1" si="63"/>
        <v>560861948.80000007</v>
      </c>
      <c r="F252">
        <f ca="1">SUM($E$2:E252)/SUM($D$2:D252)</f>
        <v>280.92758104543896</v>
      </c>
      <c r="G252">
        <f ca="1">_xlfn.STDEV.P($C$2:C252)</f>
        <v>16.847829064264154</v>
      </c>
      <c r="H252">
        <f t="shared" ca="1" si="64"/>
        <v>297.7754101097031</v>
      </c>
      <c r="I252">
        <f t="shared" ca="1" si="65"/>
        <v>264.07975198117481</v>
      </c>
      <c r="J252">
        <f t="shared" ca="1" si="74"/>
        <v>295.13850000000002</v>
      </c>
      <c r="K252">
        <f t="shared" ca="1" si="75"/>
        <v>3.4133334147135375</v>
      </c>
      <c r="L252">
        <f t="shared" ca="1" si="76"/>
        <v>301.96516682942712</v>
      </c>
      <c r="M252">
        <f t="shared" ca="1" si="77"/>
        <v>288.31183317057292</v>
      </c>
      <c r="N252">
        <f t="shared" ca="1" si="66"/>
        <v>-4.0199999999999818</v>
      </c>
      <c r="O252">
        <f t="shared" ca="1" si="67"/>
        <v>0</v>
      </c>
      <c r="P252">
        <f t="shared" ca="1" si="68"/>
        <v>4.0199999999999818</v>
      </c>
      <c r="Q252">
        <f t="shared" ca="1" si="72"/>
        <v>0.85248191035207099</v>
      </c>
      <c r="R252">
        <f t="shared" ca="1" si="73"/>
        <v>1.2436286347760892</v>
      </c>
      <c r="S252">
        <f t="shared" ca="1" si="70"/>
        <v>0.68547948038005513</v>
      </c>
      <c r="T252">
        <f t="shared" ca="1" si="71"/>
        <v>40.669701907346145</v>
      </c>
      <c r="U252">
        <f>70</f>
        <v>70</v>
      </c>
      <c r="V252">
        <f>30</f>
        <v>30</v>
      </c>
      <c r="W252">
        <f t="shared" ca="1" si="69"/>
        <v>293.46030264166581</v>
      </c>
      <c r="X252">
        <f t="shared" ca="1" si="79"/>
        <v>294.62758239394014</v>
      </c>
      <c r="Y252">
        <f t="shared" ca="1" si="78"/>
        <v>-1.3656250525806399</v>
      </c>
      <c r="Z252">
        <f t="shared" ca="1" si="80"/>
        <v>-0.89774373394407569</v>
      </c>
      <c r="AA252">
        <f t="shared" ca="1" si="81"/>
        <v>-0.46788131863656424</v>
      </c>
      <c r="AB252">
        <f t="shared" ca="1" si="82"/>
        <v>294.78719999999998</v>
      </c>
    </row>
    <row r="253" spans="1:28" x14ac:dyDescent="0.25">
      <c r="A253" s="21">
        <f t="shared" ca="1" si="62"/>
        <v>45656</v>
      </c>
      <c r="B253" vm="749">
        <f ca="1"/>
        <v>45657</v>
      </c>
      <c r="C253" vm="750">
        <f ca="1"/>
        <v>289.89</v>
      </c>
      <c r="D253" vm="751">
        <f ca="1"/>
        <v>1915847</v>
      </c>
      <c r="E253">
        <f t="shared" ca="1" si="63"/>
        <v>555384886.82999992</v>
      </c>
      <c r="F253">
        <f ca="1">SUM($E$2:E253)/SUM($D$2:D253)</f>
        <v>280.94736619201859</v>
      </c>
      <c r="G253">
        <f ca="1">_xlfn.STDEV.P($C$2:C253)</f>
        <v>16.820918933320431</v>
      </c>
      <c r="H253">
        <f t="shared" ca="1" si="64"/>
        <v>297.76828512533905</v>
      </c>
      <c r="I253">
        <f t="shared" ca="1" si="65"/>
        <v>264.12644725869814</v>
      </c>
      <c r="J253">
        <f t="shared" ca="1" si="74"/>
        <v>295.01100000000002</v>
      </c>
      <c r="K253">
        <f t="shared" ca="1" si="75"/>
        <v>3.5637486177515805</v>
      </c>
      <c r="L253">
        <f t="shared" ca="1" si="76"/>
        <v>302.13849723550317</v>
      </c>
      <c r="M253">
        <f t="shared" ca="1" si="77"/>
        <v>287.88350276449688</v>
      </c>
      <c r="N253">
        <f t="shared" ca="1" si="66"/>
        <v>0.28999999999996362</v>
      </c>
      <c r="O253">
        <f t="shared" ca="1" si="67"/>
        <v>0.28999999999996362</v>
      </c>
      <c r="P253">
        <f t="shared" ca="1" si="68"/>
        <v>0</v>
      </c>
      <c r="Q253">
        <f t="shared" ca="1" si="72"/>
        <v>0.8123046310412062</v>
      </c>
      <c r="R253">
        <f t="shared" ca="1" si="73"/>
        <v>1.1547980180063686</v>
      </c>
      <c r="S253">
        <f t="shared" ca="1" si="70"/>
        <v>0.70341706374207369</v>
      </c>
      <c r="T253">
        <f t="shared" ca="1" si="71"/>
        <v>41.294470902904088</v>
      </c>
      <c r="U253">
        <f>70</f>
        <v>70</v>
      </c>
      <c r="V253">
        <f>30</f>
        <v>30</v>
      </c>
      <c r="W253">
        <f t="shared" ca="1" si="69"/>
        <v>292.91102531217877</v>
      </c>
      <c r="X253">
        <f t="shared" ca="1" si="79"/>
        <v>294.2766503647594</v>
      </c>
      <c r="Y253">
        <f t="shared" ca="1" si="78"/>
        <v>-1.2964582644721077</v>
      </c>
      <c r="Z253">
        <f t="shared" ca="1" si="80"/>
        <v>-0.97748664004968222</v>
      </c>
      <c r="AA253">
        <f t="shared" ca="1" si="81"/>
        <v>-0.31897162442242544</v>
      </c>
      <c r="AB253">
        <f t="shared" ca="1" si="82"/>
        <v>294.97419999999994</v>
      </c>
    </row>
    <row r="254" spans="1:28" x14ac:dyDescent="0.25">
      <c r="A254" s="21">
        <f t="shared" ca="1" si="62"/>
        <v>45656</v>
      </c>
      <c r="B254" vm="752">
        <f ca="1"/>
        <v>45659</v>
      </c>
      <c r="C254" vm="753">
        <f ca="1"/>
        <v>292.51</v>
      </c>
      <c r="D254" vm="754">
        <f ca="1"/>
        <v>3118262</v>
      </c>
      <c r="E254">
        <f t="shared" ca="1" si="63"/>
        <v>912122817.62</v>
      </c>
      <c r="F254">
        <f ca="1">SUM($E$2:E254)/SUM($D$2:D254)</f>
        <v>280.98876281624285</v>
      </c>
      <c r="G254">
        <f ca="1">_xlfn.STDEV.P($C$2:C254)</f>
        <v>16.799498747719586</v>
      </c>
      <c r="H254">
        <f t="shared" ca="1" si="64"/>
        <v>297.78826156396246</v>
      </c>
      <c r="I254">
        <f t="shared" ca="1" si="65"/>
        <v>264.18926406852324</v>
      </c>
      <c r="J254">
        <f t="shared" ca="1" si="74"/>
        <v>294.91150000000005</v>
      </c>
      <c r="K254">
        <f t="shared" ca="1" si="75"/>
        <v>3.6062931471467876</v>
      </c>
      <c r="L254">
        <f t="shared" ca="1" si="76"/>
        <v>302.12408629429365</v>
      </c>
      <c r="M254">
        <f t="shared" ca="1" si="77"/>
        <v>287.69891370570645</v>
      </c>
      <c r="N254">
        <f t="shared" ca="1" si="66"/>
        <v>2.6200000000000045</v>
      </c>
      <c r="O254">
        <f t="shared" ca="1" si="67"/>
        <v>2.6200000000000045</v>
      </c>
      <c r="P254">
        <f t="shared" ca="1" si="68"/>
        <v>0</v>
      </c>
      <c r="Q254">
        <f t="shared" ca="1" si="72"/>
        <v>0.94142572882397757</v>
      </c>
      <c r="R254">
        <f t="shared" ca="1" si="73"/>
        <v>1.0723124452916279</v>
      </c>
      <c r="S254">
        <f t="shared" ca="1" si="70"/>
        <v>0.8779397580972268</v>
      </c>
      <c r="T254">
        <f t="shared" ca="1" si="71"/>
        <v>46.750155552741276</v>
      </c>
      <c r="U254">
        <f>70</f>
        <v>70</v>
      </c>
      <c r="V254">
        <f>30</f>
        <v>30</v>
      </c>
      <c r="W254">
        <f t="shared" ca="1" si="69"/>
        <v>292.84932911030512</v>
      </c>
      <c r="X254">
        <f t="shared" ca="1" si="79"/>
        <v>294.14578737477723</v>
      </c>
      <c r="Y254">
        <f t="shared" ca="1" si="78"/>
        <v>-1.0464106867292458</v>
      </c>
      <c r="Z254">
        <f t="shared" ca="1" si="80"/>
        <v>-0.99127144938559497</v>
      </c>
      <c r="AA254">
        <f t="shared" ca="1" si="81"/>
        <v>-5.5139237343650782E-2</v>
      </c>
      <c r="AB254">
        <f t="shared" ca="1" si="82"/>
        <v>295.22019999999998</v>
      </c>
    </row>
    <row r="255" spans="1:28" x14ac:dyDescent="0.25">
      <c r="A255" s="21">
        <f t="shared" ca="1" si="62"/>
        <v>45656</v>
      </c>
      <c r="B255" vm="755">
        <f ca="1"/>
        <v>45660</v>
      </c>
      <c r="C255" vm="756">
        <f ca="1"/>
        <v>294.77999999999997</v>
      </c>
      <c r="D255" vm="757">
        <f ca="1"/>
        <v>2240254</v>
      </c>
      <c r="E255">
        <f t="shared" ca="1" si="63"/>
        <v>660382074.11999989</v>
      </c>
      <c r="F255">
        <f ca="1">SUM($E$2:E255)/SUM($D$2:D255)</f>
        <v>281.02414465628272</v>
      </c>
      <c r="G255">
        <f ca="1">_xlfn.STDEV.P($C$2:C255)</f>
        <v>16.784043051273493</v>
      </c>
      <c r="H255">
        <f t="shared" ca="1" si="64"/>
        <v>297.80818770755621</v>
      </c>
      <c r="I255">
        <f t="shared" ca="1" si="65"/>
        <v>264.24010160500922</v>
      </c>
      <c r="J255">
        <f t="shared" ca="1" si="74"/>
        <v>294.89600000000007</v>
      </c>
      <c r="K255">
        <f t="shared" ca="1" si="75"/>
        <v>3.606151761409353</v>
      </c>
      <c r="L255">
        <f t="shared" ca="1" si="76"/>
        <v>302.1083035228188</v>
      </c>
      <c r="M255">
        <f t="shared" ca="1" si="77"/>
        <v>287.68369647718134</v>
      </c>
      <c r="N255">
        <f t="shared" ca="1" si="66"/>
        <v>2.2699999999999818</v>
      </c>
      <c r="O255">
        <f t="shared" ca="1" si="67"/>
        <v>2.2699999999999818</v>
      </c>
      <c r="P255">
        <f t="shared" ca="1" si="68"/>
        <v>0</v>
      </c>
      <c r="Q255">
        <f t="shared" ca="1" si="72"/>
        <v>1.036323891050835</v>
      </c>
      <c r="R255">
        <f t="shared" ca="1" si="73"/>
        <v>0.99571869919936884</v>
      </c>
      <c r="S255">
        <f t="shared" ca="1" si="70"/>
        <v>1.0407797823663609</v>
      </c>
      <c r="T255">
        <f t="shared" ca="1" si="71"/>
        <v>50.999122558904297</v>
      </c>
      <c r="U255">
        <f>70</f>
        <v>70</v>
      </c>
      <c r="V255">
        <f>30</f>
        <v>30</v>
      </c>
      <c r="W255">
        <f t="shared" ca="1" si="69"/>
        <v>293.14635540102745</v>
      </c>
      <c r="X255">
        <f t="shared" ca="1" si="79"/>
        <v>294.1927660877567</v>
      </c>
      <c r="Y255">
        <f t="shared" ca="1" si="78"/>
        <v>-1.0459869641474597</v>
      </c>
      <c r="Z255">
        <f t="shared" ca="1" si="80"/>
        <v>-1.002214552337968</v>
      </c>
      <c r="AA255">
        <f t="shared" ca="1" si="81"/>
        <v>-4.3772411809491762E-2</v>
      </c>
      <c r="AB255">
        <f t="shared" ca="1" si="82"/>
        <v>295.47339999999997</v>
      </c>
    </row>
    <row r="256" spans="1:28" x14ac:dyDescent="0.25">
      <c r="A256" s="21">
        <f t="shared" ca="1" si="62"/>
        <v>45663</v>
      </c>
      <c r="B256" vm="758">
        <f ca="1"/>
        <v>45663</v>
      </c>
      <c r="C256" vm="759">
        <f ca="1"/>
        <v>292.18</v>
      </c>
      <c r="D256" vm="760">
        <f ca="1"/>
        <v>2838933</v>
      </c>
      <c r="E256">
        <f t="shared" ca="1" si="63"/>
        <v>829479443.94000006</v>
      </c>
      <c r="F256">
        <f ca="1">SUM($E$2:E256)/SUM($D$2:D256)</f>
        <v>281.06029631954556</v>
      </c>
      <c r="G256">
        <f ca="1">_xlfn.STDEV.P($C$2:C256)</f>
        <v>16.761929985342544</v>
      </c>
      <c r="H256">
        <f t="shared" ca="1" si="64"/>
        <v>297.82222630488809</v>
      </c>
      <c r="I256">
        <f t="shared" ca="1" si="65"/>
        <v>264.29836633420302</v>
      </c>
      <c r="J256">
        <f t="shared" ca="1" si="74"/>
        <v>294.53150000000005</v>
      </c>
      <c r="K256">
        <f t="shared" ca="1" si="75"/>
        <v>3.4859134195245045</v>
      </c>
      <c r="L256">
        <f t="shared" ca="1" si="76"/>
        <v>301.50332683904907</v>
      </c>
      <c r="M256">
        <f t="shared" ca="1" si="77"/>
        <v>287.55967316095104</v>
      </c>
      <c r="N256">
        <f t="shared" ca="1" si="66"/>
        <v>-2.5999999999999659</v>
      </c>
      <c r="O256">
        <f t="shared" ca="1" si="67"/>
        <v>0</v>
      </c>
      <c r="P256">
        <f t="shared" ca="1" si="68"/>
        <v>2.5999999999999659</v>
      </c>
      <c r="Q256">
        <f t="shared" ca="1" si="72"/>
        <v>0.96230075597577536</v>
      </c>
      <c r="R256">
        <f t="shared" ca="1" si="73"/>
        <v>1.1103102206851259</v>
      </c>
      <c r="S256">
        <f t="shared" ca="1" si="70"/>
        <v>0.86669539561833442</v>
      </c>
      <c r="T256">
        <f t="shared" ca="1" si="71"/>
        <v>46.429395907479886</v>
      </c>
      <c r="U256">
        <f>70</f>
        <v>70</v>
      </c>
      <c r="V256">
        <f>30</f>
        <v>30</v>
      </c>
      <c r="W256">
        <f t="shared" ca="1" si="69"/>
        <v>292.99768533933093</v>
      </c>
      <c r="X256">
        <f t="shared" ca="1" si="79"/>
        <v>294.04367230347839</v>
      </c>
      <c r="Y256">
        <f t="shared" ca="1" si="78"/>
        <v>-1.2602876149549047</v>
      </c>
      <c r="Z256">
        <f t="shared" ca="1" si="80"/>
        <v>-1.0538291648613554</v>
      </c>
      <c r="AA256">
        <f t="shared" ca="1" si="81"/>
        <v>-0.20645845009354935</v>
      </c>
      <c r="AB256">
        <f t="shared" ca="1" si="82"/>
        <v>295.69209999999998</v>
      </c>
    </row>
    <row r="257" spans="1:28" x14ac:dyDescent="0.25">
      <c r="A257" s="21">
        <f t="shared" ca="1" si="62"/>
        <v>45663</v>
      </c>
      <c r="B257" vm="761">
        <f ca="1"/>
        <v>45664</v>
      </c>
      <c r="C257" vm="762">
        <f ca="1"/>
        <v>289.33999999999997</v>
      </c>
      <c r="D257" vm="763">
        <f ca="1"/>
        <v>3419450</v>
      </c>
      <c r="E257">
        <f t="shared" ca="1" si="63"/>
        <v>989383662.99999988</v>
      </c>
      <c r="F257">
        <f ca="1">SUM($E$2:E257)/SUM($D$2:D257)</f>
        <v>281.09248843057856</v>
      </c>
      <c r="G257">
        <f ca="1">_xlfn.STDEV.P($C$2:C257)</f>
        <v>16.734475031797192</v>
      </c>
      <c r="H257">
        <f t="shared" ca="1" si="64"/>
        <v>297.82696346237577</v>
      </c>
      <c r="I257">
        <f t="shared" ca="1" si="65"/>
        <v>264.35801339878134</v>
      </c>
      <c r="J257">
        <f t="shared" ca="1" si="74"/>
        <v>294.04950000000002</v>
      </c>
      <c r="K257">
        <f t="shared" ca="1" si="75"/>
        <v>3.5048559922364531</v>
      </c>
      <c r="L257">
        <f t="shared" ca="1" si="76"/>
        <v>301.05921198447294</v>
      </c>
      <c r="M257">
        <f t="shared" ca="1" si="77"/>
        <v>287.03978801552711</v>
      </c>
      <c r="N257">
        <f t="shared" ca="1" si="66"/>
        <v>-2.8400000000000318</v>
      </c>
      <c r="O257">
        <f t="shared" ca="1" si="67"/>
        <v>0</v>
      </c>
      <c r="P257">
        <f t="shared" ca="1" si="68"/>
        <v>2.8400000000000318</v>
      </c>
      <c r="Q257">
        <f t="shared" ca="1" si="72"/>
        <v>0.89356498769179138</v>
      </c>
      <c r="R257">
        <f t="shared" ca="1" si="73"/>
        <v>1.2338594906361904</v>
      </c>
      <c r="S257">
        <f t="shared" ca="1" si="70"/>
        <v>0.72420319693862412</v>
      </c>
      <c r="T257">
        <f t="shared" ca="1" si="71"/>
        <v>42.00219546190781</v>
      </c>
      <c r="U257">
        <f>70</f>
        <v>70</v>
      </c>
      <c r="V257">
        <f>30</f>
        <v>30</v>
      </c>
      <c r="W257">
        <f t="shared" ca="1" si="69"/>
        <v>292.43496451789542</v>
      </c>
      <c r="X257">
        <f t="shared" ca="1" si="79"/>
        <v>293.69525213285033</v>
      </c>
      <c r="Y257">
        <f t="shared" ca="1" si="78"/>
        <v>-1.6084686078672803</v>
      </c>
      <c r="Z257">
        <f t="shared" ca="1" si="80"/>
        <v>-1.1647570534625404</v>
      </c>
      <c r="AA257">
        <f t="shared" ca="1" si="81"/>
        <v>-0.44371155440473986</v>
      </c>
      <c r="AB257">
        <f t="shared" ca="1" si="82"/>
        <v>295.87399999999997</v>
      </c>
    </row>
    <row r="258" spans="1:28" x14ac:dyDescent="0.25">
      <c r="A258" s="21">
        <f t="shared" ca="1" si="62"/>
        <v>45663</v>
      </c>
      <c r="B258" vm="764">
        <f ca="1"/>
        <v>45665</v>
      </c>
      <c r="C258" vm="765">
        <f ca="1"/>
        <v>286.89999999999998</v>
      </c>
      <c r="D258" vm="766">
        <f ca="1"/>
        <v>2724217</v>
      </c>
      <c r="E258">
        <f t="shared" ca="1" si="63"/>
        <v>781577857.29999995</v>
      </c>
      <c r="F258">
        <f ca="1">SUM($E$2:E258)/SUM($D$2:D258)</f>
        <v>281.11042201130971</v>
      </c>
      <c r="G258">
        <f ca="1">_xlfn.STDEV.P($C$2:C258)</f>
        <v>16.704025953811339</v>
      </c>
      <c r="H258">
        <f t="shared" ca="1" si="64"/>
        <v>297.81444796512108</v>
      </c>
      <c r="I258">
        <f t="shared" ca="1" si="65"/>
        <v>264.40639605749834</v>
      </c>
      <c r="J258">
        <f t="shared" ca="1" si="74"/>
        <v>293.32600000000002</v>
      </c>
      <c r="K258">
        <f t="shared" ca="1" si="75"/>
        <v>3.406285830328208</v>
      </c>
      <c r="L258">
        <f t="shared" ca="1" si="76"/>
        <v>300.13857166065645</v>
      </c>
      <c r="M258">
        <f t="shared" ca="1" si="77"/>
        <v>286.51342833934359</v>
      </c>
      <c r="N258">
        <f t="shared" ca="1" si="66"/>
        <v>-2.4399999999999977</v>
      </c>
      <c r="O258">
        <f t="shared" ca="1" si="67"/>
        <v>0</v>
      </c>
      <c r="P258">
        <f t="shared" ca="1" si="68"/>
        <v>2.4399999999999977</v>
      </c>
      <c r="Q258">
        <f t="shared" ca="1" si="72"/>
        <v>0.82973891714237769</v>
      </c>
      <c r="R258">
        <f t="shared" ca="1" si="73"/>
        <v>1.3200123841621765</v>
      </c>
      <c r="S258">
        <f t="shared" ca="1" si="70"/>
        <v>0.62858419140440136</v>
      </c>
      <c r="T258">
        <f t="shared" ca="1" si="71"/>
        <v>38.596972432990697</v>
      </c>
      <c r="U258">
        <f>70</f>
        <v>70</v>
      </c>
      <c r="V258">
        <f>30</f>
        <v>30</v>
      </c>
      <c r="W258">
        <f t="shared" ca="1" si="69"/>
        <v>291.58343151514225</v>
      </c>
      <c r="X258">
        <f t="shared" ca="1" si="79"/>
        <v>293.19190012300953</v>
      </c>
      <c r="Y258">
        <f t="shared" ca="1" si="78"/>
        <v>-2.2290837036491098</v>
      </c>
      <c r="Z258">
        <f t="shared" ca="1" si="80"/>
        <v>-1.3776223834998544</v>
      </c>
      <c r="AA258">
        <f t="shared" ca="1" si="81"/>
        <v>-0.85146132014925535</v>
      </c>
      <c r="AB258">
        <f t="shared" ca="1" si="82"/>
        <v>295.99430000000001</v>
      </c>
    </row>
    <row r="259" spans="1:28" x14ac:dyDescent="0.25">
      <c r="A259" s="21">
        <f t="shared" ref="A259:A322" ca="1" si="83">B259 - WEEKDAY(B259, 2) + 1</f>
        <v>45663</v>
      </c>
      <c r="B259" vm="767">
        <f ca="1"/>
        <v>45667</v>
      </c>
      <c r="C259" vm="768">
        <f ca="1"/>
        <v>282.31</v>
      </c>
      <c r="D259" vm="769">
        <f ca="1"/>
        <v>3946002</v>
      </c>
      <c r="E259">
        <f t="shared" ref="E259:E322" ca="1" si="84">C259*D259</f>
        <v>1113995824.6200001</v>
      </c>
      <c r="F259">
        <f ca="1">SUM($E$2:E259)/SUM($D$2:D259)</f>
        <v>281.11576375173041</v>
      </c>
      <c r="G259">
        <f ca="1">_xlfn.STDEV.P($C$2:C259)</f>
        <v>16.671633654723962</v>
      </c>
      <c r="H259">
        <f t="shared" ref="H259:H322" ca="1" si="85">F259 + G259</f>
        <v>297.78739740645437</v>
      </c>
      <c r="I259">
        <f t="shared" ref="I259:I322" ca="1" si="86">F259 - G259</f>
        <v>264.44413009700645</v>
      </c>
      <c r="J259">
        <f t="shared" ca="1" si="74"/>
        <v>292.40600000000001</v>
      </c>
      <c r="K259">
        <f t="shared" ca="1" si="75"/>
        <v>3.7721533707726658</v>
      </c>
      <c r="L259">
        <f t="shared" ca="1" si="76"/>
        <v>299.95030674154532</v>
      </c>
      <c r="M259">
        <f t="shared" ca="1" si="77"/>
        <v>284.86169325845469</v>
      </c>
      <c r="N259">
        <f t="shared" ca="1" si="66"/>
        <v>-4.589999999999975</v>
      </c>
      <c r="O259">
        <f t="shared" ca="1" si="67"/>
        <v>0</v>
      </c>
      <c r="P259">
        <f t="shared" ca="1" si="68"/>
        <v>4.589999999999975</v>
      </c>
      <c r="Q259">
        <f t="shared" ca="1" si="72"/>
        <v>0.77047185163220788</v>
      </c>
      <c r="R259">
        <f t="shared" ca="1" si="73"/>
        <v>1.5535829281505908</v>
      </c>
      <c r="S259">
        <f t="shared" ca="1" si="70"/>
        <v>0.49593223359462985</v>
      </c>
      <c r="T259">
        <f t="shared" ca="1" si="71"/>
        <v>33.152052108867011</v>
      </c>
      <c r="U259">
        <f>70</f>
        <v>70</v>
      </c>
      <c r="V259">
        <f>30</f>
        <v>30</v>
      </c>
      <c r="W259">
        <f t="shared" ca="1" si="69"/>
        <v>290.15674974358194</v>
      </c>
      <c r="X259">
        <f t="shared" ca="1" si="79"/>
        <v>292.38583344723105</v>
      </c>
      <c r="Y259">
        <f t="shared" ca="1" si="78"/>
        <v>-2.584618793465097</v>
      </c>
      <c r="Z259">
        <f t="shared" ca="1" si="80"/>
        <v>-1.6190216654929031</v>
      </c>
      <c r="AA259">
        <f t="shared" ca="1" si="81"/>
        <v>-0.96559712797219399</v>
      </c>
      <c r="AB259">
        <f t="shared" ca="1" si="82"/>
        <v>296.03250000000003</v>
      </c>
    </row>
    <row r="260" spans="1:28" x14ac:dyDescent="0.25">
      <c r="A260" s="21">
        <f t="shared" ca="1" si="83"/>
        <v>45670</v>
      </c>
      <c r="B260" vm="770">
        <f ca="1"/>
        <v>45670</v>
      </c>
      <c r="C260" vm="771">
        <f ca="1"/>
        <v>283.63</v>
      </c>
      <c r="D260" vm="772">
        <f ca="1"/>
        <v>3394291</v>
      </c>
      <c r="E260">
        <f t="shared" ca="1" si="84"/>
        <v>962722756.33000004</v>
      </c>
      <c r="F260">
        <f ca="1">SUM($E$2:E260)/SUM($D$2:D260)</f>
        <v>281.1253575768024</v>
      </c>
      <c r="G260">
        <f ca="1">_xlfn.STDEV.P($C$2:C260)</f>
        <v>16.639535611893336</v>
      </c>
      <c r="H260">
        <f t="shared" ca="1" si="85"/>
        <v>297.76489318869574</v>
      </c>
      <c r="I260">
        <f t="shared" ca="1" si="86"/>
        <v>264.48582196490906</v>
      </c>
      <c r="J260">
        <f t="shared" ca="1" si="74"/>
        <v>291.78250000000003</v>
      </c>
      <c r="K260">
        <f t="shared" ca="1" si="75"/>
        <v>4.1418987191866483</v>
      </c>
      <c r="L260">
        <f t="shared" ca="1" si="76"/>
        <v>300.06629743837334</v>
      </c>
      <c r="M260">
        <f t="shared" ca="1" si="77"/>
        <v>283.49870256162671</v>
      </c>
      <c r="N260">
        <f t="shared" ref="N260:N323" ca="1" si="87">C260-C259</f>
        <v>1.3199999999999932</v>
      </c>
      <c r="O260">
        <f t="shared" ref="O260:O323" ca="1" si="88">MAX(N260,0)</f>
        <v>1.3199999999999932</v>
      </c>
      <c r="P260">
        <f t="shared" ref="P260:P323" ca="1" si="89">MAX(-N260,0)</f>
        <v>0</v>
      </c>
      <c r="Q260">
        <f t="shared" ca="1" si="72"/>
        <v>0.80972386222990689</v>
      </c>
      <c r="R260">
        <f t="shared" ca="1" si="73"/>
        <v>1.4426127189969773</v>
      </c>
      <c r="S260">
        <f t="shared" ca="1" si="70"/>
        <v>0.56128984000147553</v>
      </c>
      <c r="T260">
        <f t="shared" ca="1" si="71"/>
        <v>35.950393426049899</v>
      </c>
      <c r="U260">
        <f>70</f>
        <v>70</v>
      </c>
      <c r="V260">
        <f>30</f>
        <v>30</v>
      </c>
      <c r="W260">
        <f t="shared" ca="1" si="69"/>
        <v>289.1526343984155</v>
      </c>
      <c r="X260">
        <f t="shared" ca="1" si="79"/>
        <v>291.7372531918806</v>
      </c>
      <c r="Y260">
        <f t="shared" ca="1" si="78"/>
        <v>-2.9972503448199177</v>
      </c>
      <c r="Z260">
        <f t="shared" ca="1" si="80"/>
        <v>-1.8946674013583062</v>
      </c>
      <c r="AA260">
        <f t="shared" ca="1" si="81"/>
        <v>-1.1025829434616115</v>
      </c>
      <c r="AB260">
        <f t="shared" ca="1" si="82"/>
        <v>295.99330000000003</v>
      </c>
    </row>
    <row r="261" spans="1:28" x14ac:dyDescent="0.25">
      <c r="A261" s="21">
        <f t="shared" ca="1" si="83"/>
        <v>45670</v>
      </c>
      <c r="B261" vm="773">
        <f ca="1"/>
        <v>45671</v>
      </c>
      <c r="C261" vm="774">
        <f ca="1"/>
        <v>281.58</v>
      </c>
      <c r="D261" vm="775">
        <f ca="1"/>
        <v>2238889</v>
      </c>
      <c r="E261">
        <f t="shared" ca="1" si="84"/>
        <v>630426364.62</v>
      </c>
      <c r="F261">
        <f ca="1">SUM($E$2:E261)/SUM($D$2:D261)</f>
        <v>281.12649900198329</v>
      </c>
      <c r="G261">
        <f ca="1">_xlfn.STDEV.P($C$2:C261)</f>
        <v>16.607631572376199</v>
      </c>
      <c r="H261">
        <f t="shared" ca="1" si="85"/>
        <v>297.73413057435948</v>
      </c>
      <c r="I261">
        <f t="shared" ca="1" si="86"/>
        <v>264.5188674296071</v>
      </c>
      <c r="J261">
        <f t="shared" ca="1" si="74"/>
        <v>291.03000000000003</v>
      </c>
      <c r="K261">
        <f t="shared" ca="1" si="75"/>
        <v>4.5608101773351883</v>
      </c>
      <c r="L261">
        <f t="shared" ca="1" si="76"/>
        <v>300.1516203546704</v>
      </c>
      <c r="M261">
        <f t="shared" ca="1" si="77"/>
        <v>281.90837964532966</v>
      </c>
      <c r="N261">
        <f t="shared" ca="1" si="87"/>
        <v>-2.0500000000000114</v>
      </c>
      <c r="O261">
        <f t="shared" ca="1" si="88"/>
        <v>0</v>
      </c>
      <c r="P261">
        <f t="shared" ca="1" si="89"/>
        <v>2.0500000000000114</v>
      </c>
      <c r="Q261">
        <f t="shared" ca="1" si="72"/>
        <v>0.7518864434991992</v>
      </c>
      <c r="R261">
        <f t="shared" ca="1" si="73"/>
        <v>1.4859975247829083</v>
      </c>
      <c r="S261">
        <f t="shared" ca="1" si="70"/>
        <v>0.50598095283438882</v>
      </c>
      <c r="T261">
        <f t="shared" ca="1" si="71"/>
        <v>33.598097763593103</v>
      </c>
      <c r="U261">
        <f>70</f>
        <v>70</v>
      </c>
      <c r="V261">
        <f>30</f>
        <v>30</v>
      </c>
      <c r="W261">
        <f t="shared" ca="1" si="69"/>
        <v>287.98761372173618</v>
      </c>
      <c r="X261">
        <f t="shared" ca="1" si="79"/>
        <v>290.9848640665561</v>
      </c>
      <c r="Y261">
        <f t="shared" ca="1" si="78"/>
        <v>-3.2289445762822879</v>
      </c>
      <c r="Z261">
        <f t="shared" ca="1" si="80"/>
        <v>-2.1615228363431029</v>
      </c>
      <c r="AA261">
        <f t="shared" ca="1" si="81"/>
        <v>-1.067421739939185</v>
      </c>
      <c r="AB261">
        <f t="shared" ca="1" si="82"/>
        <v>295.95280000000008</v>
      </c>
    </row>
    <row r="262" spans="1:28" x14ac:dyDescent="0.25">
      <c r="A262" s="21">
        <f t="shared" ca="1" si="83"/>
        <v>45670</v>
      </c>
      <c r="B262" vm="776">
        <f ca="1"/>
        <v>45672</v>
      </c>
      <c r="C262" vm="777">
        <f ca="1"/>
        <v>282.3</v>
      </c>
      <c r="D262" vm="778">
        <f ca="1"/>
        <v>2867781</v>
      </c>
      <c r="E262">
        <f t="shared" ca="1" si="84"/>
        <v>809574576.30000007</v>
      </c>
      <c r="F262">
        <f ca="1">SUM($E$2:E262)/SUM($D$2:D262)</f>
        <v>281.13026066602663</v>
      </c>
      <c r="G262">
        <f ca="1">_xlfn.STDEV.P($C$2:C262)</f>
        <v>16.575797493560469</v>
      </c>
      <c r="H262">
        <f t="shared" ca="1" si="85"/>
        <v>297.70605815958709</v>
      </c>
      <c r="I262">
        <f t="shared" ca="1" si="86"/>
        <v>264.55446317246617</v>
      </c>
      <c r="J262">
        <f t="shared" ca="1" si="74"/>
        <v>290.315</v>
      </c>
      <c r="K262">
        <f t="shared" ca="1" si="75"/>
        <v>4.7582742338173958</v>
      </c>
      <c r="L262">
        <f t="shared" ca="1" si="76"/>
        <v>299.83154846763478</v>
      </c>
      <c r="M262">
        <f t="shared" ca="1" si="77"/>
        <v>280.79845153236522</v>
      </c>
      <c r="N262">
        <f t="shared" ca="1" si="87"/>
        <v>0.72000000000002728</v>
      </c>
      <c r="O262">
        <f t="shared" ca="1" si="88"/>
        <v>0.72000000000002728</v>
      </c>
      <c r="P262">
        <f t="shared" ca="1" si="89"/>
        <v>0</v>
      </c>
      <c r="Q262">
        <f t="shared" ca="1" si="72"/>
        <v>0.74960884039211551</v>
      </c>
      <c r="R262">
        <f t="shared" ca="1" si="73"/>
        <v>1.3798548444412719</v>
      </c>
      <c r="S262">
        <f t="shared" ca="1" si="70"/>
        <v>0.54325195393697057</v>
      </c>
      <c r="T262">
        <f t="shared" ca="1" si="71"/>
        <v>35.201766798421176</v>
      </c>
      <c r="U262">
        <f>70</f>
        <v>70</v>
      </c>
      <c r="V262">
        <f>30</f>
        <v>30</v>
      </c>
      <c r="W262">
        <f t="shared" ca="1" si="69"/>
        <v>287.11259622608446</v>
      </c>
      <c r="X262">
        <f t="shared" ca="1" si="79"/>
        <v>290.34154080236675</v>
      </c>
      <c r="Y262">
        <f t="shared" ca="1" si="78"/>
        <v>-3.5778908308321888</v>
      </c>
      <c r="Z262">
        <f t="shared" ca="1" si="80"/>
        <v>-2.4447964352409199</v>
      </c>
      <c r="AA262">
        <f t="shared" ca="1" si="81"/>
        <v>-1.1330943955912689</v>
      </c>
      <c r="AB262">
        <f t="shared" ca="1" si="82"/>
        <v>295.87870000000004</v>
      </c>
    </row>
    <row r="263" spans="1:28" x14ac:dyDescent="0.25">
      <c r="A263" s="21">
        <f t="shared" ca="1" si="83"/>
        <v>45670</v>
      </c>
      <c r="B263" vm="779">
        <f ca="1"/>
        <v>45673</v>
      </c>
      <c r="C263" vm="780">
        <f ca="1"/>
        <v>279.74</v>
      </c>
      <c r="D263" vm="781">
        <f ca="1"/>
        <v>3403681</v>
      </c>
      <c r="E263">
        <f t="shared" ca="1" si="84"/>
        <v>952145722.94000006</v>
      </c>
      <c r="F263">
        <f ca="1">SUM($E$2:E263)/SUM($D$2:D263)</f>
        <v>281.12499144397964</v>
      </c>
      <c r="G263">
        <f ca="1">_xlfn.STDEV.P($C$2:C263)</f>
        <v>16.545086790518045</v>
      </c>
      <c r="H263">
        <f t="shared" ca="1" si="85"/>
        <v>297.67007823449768</v>
      </c>
      <c r="I263">
        <f t="shared" ca="1" si="86"/>
        <v>264.5799046534616</v>
      </c>
      <c r="J263">
        <f t="shared" ca="1" si="74"/>
        <v>289.41649999999998</v>
      </c>
      <c r="K263">
        <f t="shared" ca="1" si="75"/>
        <v>4.9798586695227653</v>
      </c>
      <c r="L263">
        <f t="shared" ca="1" si="76"/>
        <v>299.37621733904552</v>
      </c>
      <c r="M263">
        <f t="shared" ca="1" si="77"/>
        <v>279.45678266095445</v>
      </c>
      <c r="N263">
        <f t="shared" ca="1" si="87"/>
        <v>-2.5600000000000023</v>
      </c>
      <c r="O263">
        <f t="shared" ca="1" si="88"/>
        <v>0</v>
      </c>
      <c r="P263">
        <f t="shared" ca="1" si="89"/>
        <v>2.5600000000000023</v>
      </c>
      <c r="Q263">
        <f t="shared" ca="1" si="72"/>
        <v>0.6960653517926787</v>
      </c>
      <c r="R263">
        <f t="shared" ca="1" si="73"/>
        <v>1.4641509269811812</v>
      </c>
      <c r="S263">
        <f t="shared" ca="1" si="70"/>
        <v>0.47540546467285422</v>
      </c>
      <c r="T263">
        <f t="shared" ca="1" si="71"/>
        <v>32.222021407401201</v>
      </c>
      <c r="U263">
        <f>70</f>
        <v>70</v>
      </c>
      <c r="V263">
        <f>30</f>
        <v>30</v>
      </c>
      <c r="W263">
        <f t="shared" ca="1" si="69"/>
        <v>285.97835065284073</v>
      </c>
      <c r="X263">
        <f t="shared" ca="1" si="79"/>
        <v>289.55624148367292</v>
      </c>
      <c r="Y263">
        <f t="shared" ca="1" si="78"/>
        <v>-3.713983869800586</v>
      </c>
      <c r="Z263">
        <f t="shared" ca="1" si="80"/>
        <v>-2.6986339221528532</v>
      </c>
      <c r="AA263">
        <f t="shared" ca="1" si="81"/>
        <v>-1.0153499476477328</v>
      </c>
      <c r="AB263">
        <f t="shared" ca="1" si="82"/>
        <v>295.78400000000005</v>
      </c>
    </row>
    <row r="264" spans="1:28" x14ac:dyDescent="0.25">
      <c r="A264" s="21">
        <f t="shared" ca="1" si="83"/>
        <v>45670</v>
      </c>
      <c r="B264" vm="782">
        <f ca="1"/>
        <v>45674</v>
      </c>
      <c r="C264" vm="783">
        <f ca="1"/>
        <v>280.95</v>
      </c>
      <c r="D264" vm="784">
        <f ca="1"/>
        <v>3312793</v>
      </c>
      <c r="E264">
        <f t="shared" ca="1" si="84"/>
        <v>930729193.3499999</v>
      </c>
      <c r="F264">
        <f ca="1">SUM($E$2:E264)/SUM($D$2:D264)</f>
        <v>281.12434829229431</v>
      </c>
      <c r="G264">
        <f ca="1">_xlfn.STDEV.P($C$2:C264)</f>
        <v>16.513917746350426</v>
      </c>
      <c r="H264">
        <f t="shared" ca="1" si="85"/>
        <v>297.63826603864476</v>
      </c>
      <c r="I264">
        <f t="shared" ca="1" si="86"/>
        <v>264.61043054594387</v>
      </c>
      <c r="J264">
        <f t="shared" ca="1" si="74"/>
        <v>288.65999999999997</v>
      </c>
      <c r="K264">
        <f t="shared" ca="1" si="75"/>
        <v>5.0628388125739567</v>
      </c>
      <c r="L264">
        <f t="shared" ca="1" si="76"/>
        <v>298.78567762514785</v>
      </c>
      <c r="M264">
        <f t="shared" ca="1" si="77"/>
        <v>278.53432237485208</v>
      </c>
      <c r="N264">
        <f t="shared" ca="1" si="87"/>
        <v>1.2099999999999795</v>
      </c>
      <c r="O264">
        <f t="shared" ca="1" si="88"/>
        <v>1.2099999999999795</v>
      </c>
      <c r="P264">
        <f t="shared" ca="1" si="89"/>
        <v>0</v>
      </c>
      <c r="Q264">
        <f t="shared" ca="1" si="72"/>
        <v>0.73277496952177157</v>
      </c>
      <c r="R264">
        <f t="shared" ca="1" si="73"/>
        <v>1.3595687179110969</v>
      </c>
      <c r="S264">
        <f t="shared" ca="1" si="70"/>
        <v>0.53897604429119284</v>
      </c>
      <c r="T264">
        <f t="shared" ca="1" si="71"/>
        <v>35.02173060396332</v>
      </c>
      <c r="U264">
        <f>70</f>
        <v>70</v>
      </c>
      <c r="V264">
        <f>30</f>
        <v>30</v>
      </c>
      <c r="W264">
        <f t="shared" ca="1" si="69"/>
        <v>285.2047582447114</v>
      </c>
      <c r="X264">
        <f t="shared" ca="1" si="79"/>
        <v>288.91874211451199</v>
      </c>
      <c r="Y264">
        <f t="shared" ca="1" si="78"/>
        <v>-3.645863215205452</v>
      </c>
      <c r="Z264">
        <f t="shared" ca="1" si="80"/>
        <v>-2.8880797807633729</v>
      </c>
      <c r="AA264">
        <f t="shared" ca="1" si="81"/>
        <v>-0.75778343444207907</v>
      </c>
      <c r="AB264">
        <f t="shared" ca="1" si="82"/>
        <v>295.69830000000007</v>
      </c>
    </row>
    <row r="265" spans="1:28" x14ac:dyDescent="0.25">
      <c r="A265" s="21">
        <f t="shared" ca="1" si="83"/>
        <v>45677</v>
      </c>
      <c r="B265" vm="785">
        <f ca="1"/>
        <v>45678</v>
      </c>
      <c r="C265" vm="786">
        <f ca="1"/>
        <v>282.61</v>
      </c>
      <c r="D265" vm="787">
        <f ca="1"/>
        <v>3858590</v>
      </c>
      <c r="E265">
        <f t="shared" ca="1" si="84"/>
        <v>1090476119.9000001</v>
      </c>
      <c r="F265">
        <f ca="1">SUM($E$2:E265)/SUM($D$2:D265)</f>
        <v>281.13068104826266</v>
      </c>
      <c r="G265">
        <f ca="1">_xlfn.STDEV.P($C$2:C265)</f>
        <v>16.482611720013249</v>
      </c>
      <c r="H265">
        <f t="shared" ca="1" si="85"/>
        <v>297.61329276827593</v>
      </c>
      <c r="I265">
        <f t="shared" ca="1" si="86"/>
        <v>264.64806932824939</v>
      </c>
      <c r="J265">
        <f t="shared" ca="1" si="74"/>
        <v>288.24649999999991</v>
      </c>
      <c r="K265">
        <f t="shared" ca="1" si="75"/>
        <v>5.207630307640188</v>
      </c>
      <c r="L265">
        <f t="shared" ca="1" si="76"/>
        <v>298.66176061528029</v>
      </c>
      <c r="M265">
        <f t="shared" ca="1" si="77"/>
        <v>277.83123938471954</v>
      </c>
      <c r="N265">
        <f t="shared" ca="1" si="87"/>
        <v>1.660000000000025</v>
      </c>
      <c r="O265">
        <f t="shared" ca="1" si="88"/>
        <v>1.660000000000025</v>
      </c>
      <c r="P265">
        <f t="shared" ca="1" si="89"/>
        <v>0</v>
      </c>
      <c r="Q265">
        <f t="shared" ca="1" si="72"/>
        <v>0.79900532884164677</v>
      </c>
      <c r="R265">
        <f t="shared" ca="1" si="73"/>
        <v>1.2624566666317329</v>
      </c>
      <c r="S265">
        <f t="shared" ca="1" si="70"/>
        <v>0.6328972312161919</v>
      </c>
      <c r="T265">
        <f t="shared" ca="1" si="71"/>
        <v>38.759158820105668</v>
      </c>
      <c r="U265">
        <f>70</f>
        <v>70</v>
      </c>
      <c r="V265">
        <f>30</f>
        <v>30</v>
      </c>
      <c r="W265">
        <f t="shared" ca="1" si="69"/>
        <v>284.80556466860196</v>
      </c>
      <c r="X265">
        <f t="shared" ca="1" si="79"/>
        <v>288.45142788380741</v>
      </c>
      <c r="Y265">
        <f t="shared" ca="1" si="78"/>
        <v>-3.6514568537396599</v>
      </c>
      <c r="Z265">
        <f t="shared" ca="1" si="80"/>
        <v>-3.0407551953586305</v>
      </c>
      <c r="AA265">
        <f t="shared" ca="1" si="81"/>
        <v>-0.61070165838102941</v>
      </c>
      <c r="AB265">
        <f t="shared" ca="1" si="82"/>
        <v>295.63760000000008</v>
      </c>
    </row>
    <row r="266" spans="1:28" x14ac:dyDescent="0.25">
      <c r="A266" s="21">
        <f t="shared" ca="1" si="83"/>
        <v>45677</v>
      </c>
      <c r="B266" vm="788">
        <f ca="1"/>
        <v>45679</v>
      </c>
      <c r="C266" vm="789">
        <f ca="1"/>
        <v>281.35000000000002</v>
      </c>
      <c r="D266" vm="790">
        <f ca="1"/>
        <v>3660600</v>
      </c>
      <c r="E266">
        <f t="shared" ca="1" si="84"/>
        <v>1029909810.0000001</v>
      </c>
      <c r="F266">
        <f ca="1">SUM($E$2:E266)/SUM($D$2:D266)</f>
        <v>281.13156437799938</v>
      </c>
      <c r="G266">
        <f ca="1">_xlfn.STDEV.P($C$2:C266)</f>
        <v>16.451662209538171</v>
      </c>
      <c r="H266">
        <f t="shared" ca="1" si="85"/>
        <v>297.58322658753752</v>
      </c>
      <c r="I266">
        <f t="shared" ca="1" si="86"/>
        <v>264.67990216846124</v>
      </c>
      <c r="J266">
        <f t="shared" ca="1" si="74"/>
        <v>287.80250000000001</v>
      </c>
      <c r="K266">
        <f t="shared" ca="1" si="75"/>
        <v>5.4044502860824641</v>
      </c>
      <c r="L266">
        <f t="shared" ca="1" si="76"/>
        <v>298.61140057216494</v>
      </c>
      <c r="M266">
        <f t="shared" ca="1" si="77"/>
        <v>276.99359942783508</v>
      </c>
      <c r="N266">
        <f t="shared" ca="1" si="87"/>
        <v>-1.2599999999999909</v>
      </c>
      <c r="O266">
        <f t="shared" ca="1" si="88"/>
        <v>0</v>
      </c>
      <c r="P266">
        <f t="shared" ca="1" si="89"/>
        <v>1.2599999999999909</v>
      </c>
      <c r="Q266">
        <f t="shared" ca="1" si="72"/>
        <v>0.74193351963867205</v>
      </c>
      <c r="R266">
        <f t="shared" ca="1" si="73"/>
        <v>1.2622811904437514</v>
      </c>
      <c r="S266">
        <f t="shared" ca="1" si="70"/>
        <v>0.58777198397280039</v>
      </c>
      <c r="T266">
        <f t="shared" ca="1" si="71"/>
        <v>37.018664512653935</v>
      </c>
      <c r="U266">
        <f>70</f>
        <v>70</v>
      </c>
      <c r="V266">
        <f>30</f>
        <v>30</v>
      </c>
      <c r="W266">
        <f t="shared" ca="1" si="69"/>
        <v>284.27393933497092</v>
      </c>
      <c r="X266">
        <f t="shared" ca="1" si="79"/>
        <v>287.92539618871058</v>
      </c>
      <c r="Y266">
        <f t="shared" ca="1" si="78"/>
        <v>-3.3685292844574519</v>
      </c>
      <c r="Z266">
        <f t="shared" ca="1" si="80"/>
        <v>-3.1063100131783949</v>
      </c>
      <c r="AA266">
        <f t="shared" ca="1" si="81"/>
        <v>-0.26221927127905698</v>
      </c>
      <c r="AB266">
        <f t="shared" ca="1" si="82"/>
        <v>295.55470000000003</v>
      </c>
    </row>
    <row r="267" spans="1:28" x14ac:dyDescent="0.25">
      <c r="A267" s="21">
        <f t="shared" ca="1" si="83"/>
        <v>45677</v>
      </c>
      <c r="B267" vm="791">
        <f ca="1"/>
        <v>45680</v>
      </c>
      <c r="C267" vm="792">
        <f ca="1"/>
        <v>284.43</v>
      </c>
      <c r="D267" vm="793">
        <f ca="1"/>
        <v>2279408</v>
      </c>
      <c r="E267">
        <f t="shared" ca="1" si="84"/>
        <v>648332017.44000006</v>
      </c>
      <c r="F267">
        <f ca="1">SUM($E$2:E267)/SUM($D$2:D267)</f>
        <v>281.13981594964775</v>
      </c>
      <c r="G267">
        <f ca="1">_xlfn.STDEV.P($C$2:C267)</f>
        <v>16.421091876794936</v>
      </c>
      <c r="H267">
        <f t="shared" ca="1" si="85"/>
        <v>297.5609078264427</v>
      </c>
      <c r="I267">
        <f t="shared" ca="1" si="86"/>
        <v>264.71872407285281</v>
      </c>
      <c r="J267">
        <f t="shared" ca="1" si="74"/>
        <v>287.39</v>
      </c>
      <c r="K267">
        <f t="shared" ca="1" si="75"/>
        <v>5.3268643882237416</v>
      </c>
      <c r="L267">
        <f t="shared" ca="1" si="76"/>
        <v>298.04372877644749</v>
      </c>
      <c r="M267">
        <f t="shared" ca="1" si="77"/>
        <v>276.73627122355248</v>
      </c>
      <c r="N267">
        <f t="shared" ca="1" si="87"/>
        <v>3.0799999999999841</v>
      </c>
      <c r="O267">
        <f t="shared" ca="1" si="88"/>
        <v>3.0799999999999841</v>
      </c>
      <c r="P267">
        <f t="shared" ca="1" si="89"/>
        <v>0</v>
      </c>
      <c r="Q267">
        <f t="shared" ca="1" si="72"/>
        <v>0.90893826823590851</v>
      </c>
      <c r="R267">
        <f t="shared" ca="1" si="73"/>
        <v>1.1721182482691979</v>
      </c>
      <c r="S267">
        <f t="shared" ca="1" si="70"/>
        <v>0.7754663572366417</v>
      </c>
      <c r="T267">
        <f t="shared" ca="1" si="71"/>
        <v>43.676769997691615</v>
      </c>
      <c r="U267">
        <f>70</f>
        <v>70</v>
      </c>
      <c r="V267">
        <f>30</f>
        <v>30</v>
      </c>
      <c r="W267">
        <f t="shared" ca="1" si="69"/>
        <v>284.2979486680523</v>
      </c>
      <c r="X267">
        <f t="shared" ca="1" si="79"/>
        <v>287.66647795250975</v>
      </c>
      <c r="Y267">
        <f t="shared" ca="1" si="78"/>
        <v>-3.0263093451684995</v>
      </c>
      <c r="Z267">
        <f t="shared" ca="1" si="80"/>
        <v>-3.0903098795764157</v>
      </c>
      <c r="AA267">
        <f t="shared" ca="1" si="81"/>
        <v>6.4000534407916199E-2</v>
      </c>
      <c r="AB267">
        <f t="shared" ca="1" si="82"/>
        <v>295.52850000000007</v>
      </c>
    </row>
    <row r="268" spans="1:28" x14ac:dyDescent="0.25">
      <c r="A268" s="21">
        <f t="shared" ca="1" si="83"/>
        <v>45677</v>
      </c>
      <c r="B268" vm="794">
        <f ca="1"/>
        <v>45681</v>
      </c>
      <c r="C268" vm="795">
        <f ca="1"/>
        <v>285.45999999999998</v>
      </c>
      <c r="D268" vm="796">
        <f ca="1"/>
        <v>2523397</v>
      </c>
      <c r="E268">
        <f t="shared" ca="1" si="84"/>
        <v>720328907.62</v>
      </c>
      <c r="F268">
        <f ca="1">SUM($E$2:E268)/SUM($D$2:D268)</f>
        <v>281.15174740267128</v>
      </c>
      <c r="G268">
        <f ca="1">_xlfn.STDEV.P($C$2:C268)</f>
        <v>16.391240109816813</v>
      </c>
      <c r="H268">
        <f t="shared" ca="1" si="85"/>
        <v>297.54298751248808</v>
      </c>
      <c r="I268">
        <f t="shared" ca="1" si="86"/>
        <v>264.76050729285447</v>
      </c>
      <c r="J268">
        <f t="shared" ca="1" si="74"/>
        <v>287.0985</v>
      </c>
      <c r="K268">
        <f t="shared" ca="1" si="75"/>
        <v>5.261326903878305</v>
      </c>
      <c r="L268">
        <f t="shared" ca="1" si="76"/>
        <v>297.62115380775663</v>
      </c>
      <c r="M268">
        <f t="shared" ca="1" si="77"/>
        <v>276.57584619224338</v>
      </c>
      <c r="N268">
        <f t="shared" ca="1" si="87"/>
        <v>1.0299999999999727</v>
      </c>
      <c r="O268">
        <f t="shared" ca="1" si="88"/>
        <v>1.0299999999999727</v>
      </c>
      <c r="P268">
        <f t="shared" ca="1" si="89"/>
        <v>0</v>
      </c>
      <c r="Q268">
        <f t="shared" ca="1" si="72"/>
        <v>0.91758553479048455</v>
      </c>
      <c r="R268">
        <f t="shared" ca="1" si="73"/>
        <v>1.0883955162499694</v>
      </c>
      <c r="S268">
        <f t="shared" ca="1" si="70"/>
        <v>0.84306258257291888</v>
      </c>
      <c r="T268">
        <f t="shared" ca="1" si="71"/>
        <v>45.742482677717973</v>
      </c>
      <c r="U268">
        <f>70</f>
        <v>70</v>
      </c>
      <c r="V268">
        <f>30</f>
        <v>30</v>
      </c>
      <c r="W268">
        <f t="shared" ca="1" si="69"/>
        <v>284.47672579604426</v>
      </c>
      <c r="X268">
        <f t="shared" ca="1" si="79"/>
        <v>287.50303514121276</v>
      </c>
      <c r="Y268">
        <f t="shared" ca="1" si="78"/>
        <v>-2.1150394856666708</v>
      </c>
      <c r="Z268">
        <f t="shared" ca="1" si="80"/>
        <v>-2.8952558007944669</v>
      </c>
      <c r="AA268">
        <f t="shared" ca="1" si="81"/>
        <v>0.7802163151277961</v>
      </c>
      <c r="AB268">
        <f t="shared" ca="1" si="82"/>
        <v>295.50450000000001</v>
      </c>
    </row>
    <row r="269" spans="1:28" x14ac:dyDescent="0.25">
      <c r="A269" s="21">
        <f t="shared" ca="1" si="83"/>
        <v>45684</v>
      </c>
      <c r="B269" vm="797">
        <f ca="1"/>
        <v>45684</v>
      </c>
      <c r="C269" vm="798">
        <f ca="1"/>
        <v>293.08999999999997</v>
      </c>
      <c r="D269" vm="799">
        <f ca="1"/>
        <v>4343019</v>
      </c>
      <c r="E269">
        <f t="shared" ca="1" si="84"/>
        <v>1272895438.7099998</v>
      </c>
      <c r="F269">
        <f ca="1">SUM($E$2:E269)/SUM($D$2:D269)</f>
        <v>281.20822530348687</v>
      </c>
      <c r="G269">
        <f ca="1">_xlfn.STDEV.P($C$2:C269)</f>
        <v>16.373091765606457</v>
      </c>
      <c r="H269">
        <f t="shared" ca="1" si="85"/>
        <v>297.5813170690933</v>
      </c>
      <c r="I269">
        <f t="shared" ca="1" si="86"/>
        <v>264.83513353788044</v>
      </c>
      <c r="J269">
        <f t="shared" ca="1" si="74"/>
        <v>287.05350000000004</v>
      </c>
      <c r="K269">
        <f t="shared" ca="1" si="75"/>
        <v>5.2028051897130663</v>
      </c>
      <c r="L269">
        <f t="shared" ca="1" si="76"/>
        <v>297.45911037942619</v>
      </c>
      <c r="M269">
        <f t="shared" ca="1" si="77"/>
        <v>276.64788962057389</v>
      </c>
      <c r="N269">
        <f t="shared" ca="1" si="87"/>
        <v>7.6299999999999955</v>
      </c>
      <c r="O269">
        <f t="shared" ca="1" si="88"/>
        <v>7.6299999999999955</v>
      </c>
      <c r="P269">
        <f t="shared" ca="1" si="89"/>
        <v>0</v>
      </c>
      <c r="Q269">
        <f t="shared" ca="1" si="72"/>
        <v>1.3970437108768781</v>
      </c>
      <c r="R269">
        <f t="shared" ca="1" si="73"/>
        <v>1.0106529793749717</v>
      </c>
      <c r="S269">
        <f t="shared" ca="1" si="70"/>
        <v>1.3823179067268627</v>
      </c>
      <c r="T269">
        <f t="shared" ca="1" si="71"/>
        <v>58.024074067682697</v>
      </c>
      <c r="U269">
        <f>70</f>
        <v>70</v>
      </c>
      <c r="V269">
        <f>30</f>
        <v>30</v>
      </c>
      <c r="W269">
        <f t="shared" ca="1" si="69"/>
        <v>285.80184490434516</v>
      </c>
      <c r="X269">
        <f t="shared" ca="1" si="79"/>
        <v>287.91688439001183</v>
      </c>
      <c r="Y269">
        <f t="shared" ca="1" si="78"/>
        <v>-1.5317364392117838</v>
      </c>
      <c r="Z269">
        <f t="shared" ca="1" si="80"/>
        <v>-2.6225519284779302</v>
      </c>
      <c r="AA269">
        <f t="shared" ca="1" si="81"/>
        <v>1.0908154892661464</v>
      </c>
      <c r="AB269">
        <f t="shared" ca="1" si="82"/>
        <v>295.54880000000003</v>
      </c>
    </row>
    <row r="270" spans="1:28" x14ac:dyDescent="0.25">
      <c r="A270" s="21">
        <f t="shared" ca="1" si="83"/>
        <v>45684</v>
      </c>
      <c r="B270" vm="800">
        <f ca="1"/>
        <v>45685</v>
      </c>
      <c r="C270" vm="801">
        <f ca="1"/>
        <v>291.14999999999998</v>
      </c>
      <c r="D270" vm="802">
        <f ca="1"/>
        <v>3180370</v>
      </c>
      <c r="E270">
        <f t="shared" ca="1" si="84"/>
        <v>925964725.49999988</v>
      </c>
      <c r="F270">
        <f ca="1">SUM($E$2:E270)/SUM($D$2:D270)</f>
        <v>281.24254833694141</v>
      </c>
      <c r="G270">
        <f ca="1">_xlfn.STDEV.P($C$2:C270)</f>
        <v>16.350806987990676</v>
      </c>
      <c r="H270">
        <f t="shared" ca="1" si="85"/>
        <v>297.59335532493208</v>
      </c>
      <c r="I270">
        <f t="shared" ca="1" si="86"/>
        <v>264.89174134895075</v>
      </c>
      <c r="J270">
        <f t="shared" ca="1" si="74"/>
        <v>286.87099999999998</v>
      </c>
      <c r="K270">
        <f t="shared" ca="1" si="75"/>
        <v>4.9758436470612635</v>
      </c>
      <c r="L270">
        <f t="shared" ca="1" si="76"/>
        <v>296.82268729412249</v>
      </c>
      <c r="M270">
        <f t="shared" ca="1" si="77"/>
        <v>276.91931270587747</v>
      </c>
      <c r="N270">
        <f t="shared" ca="1" si="87"/>
        <v>-1.9399999999999977</v>
      </c>
      <c r="O270">
        <f t="shared" ca="1" si="88"/>
        <v>0</v>
      </c>
      <c r="P270">
        <f t="shared" ca="1" si="89"/>
        <v>1.9399999999999977</v>
      </c>
      <c r="Q270">
        <f t="shared" ca="1" si="72"/>
        <v>1.2972548743856724</v>
      </c>
      <c r="R270">
        <f t="shared" ca="1" si="73"/>
        <v>1.0770349094196163</v>
      </c>
      <c r="S270">
        <f t="shared" ca="1" si="70"/>
        <v>1.2044687345229379</v>
      </c>
      <c r="T270">
        <f t="shared" ca="1" si="71"/>
        <v>54.637596608218317</v>
      </c>
      <c r="U270">
        <f>70</f>
        <v>70</v>
      </c>
      <c r="V270">
        <f>30</f>
        <v>30</v>
      </c>
      <c r="W270">
        <f t="shared" ca="1" si="69"/>
        <v>286.62463799598436</v>
      </c>
      <c r="X270">
        <f t="shared" ca="1" si="79"/>
        <v>288.15637443519614</v>
      </c>
      <c r="Y270">
        <f t="shared" ca="1" si="78"/>
        <v>-1.1402399049327414</v>
      </c>
      <c r="Z270">
        <f t="shared" ca="1" si="80"/>
        <v>-2.3260895237688923</v>
      </c>
      <c r="AA270">
        <f t="shared" ca="1" si="81"/>
        <v>1.1858496188361509</v>
      </c>
      <c r="AB270">
        <f t="shared" ca="1" si="82"/>
        <v>295.60509999999999</v>
      </c>
    </row>
    <row r="271" spans="1:28" x14ac:dyDescent="0.25">
      <c r="A271" s="21">
        <f t="shared" ca="1" si="83"/>
        <v>45684</v>
      </c>
      <c r="B271" vm="803">
        <f ca="1"/>
        <v>45686</v>
      </c>
      <c r="C271" vm="804">
        <f ca="1"/>
        <v>290.11</v>
      </c>
      <c r="D271" vm="805">
        <f ca="1"/>
        <v>2358272</v>
      </c>
      <c r="E271">
        <f t="shared" ca="1" si="84"/>
        <v>684158289.92000008</v>
      </c>
      <c r="F271">
        <f ca="1">SUM($E$2:E271)/SUM($D$2:D271)</f>
        <v>281.26519094530551</v>
      </c>
      <c r="G271">
        <f ca="1">_xlfn.STDEV.P($C$2:C271)</f>
        <v>16.326729605689071</v>
      </c>
      <c r="H271">
        <f t="shared" ca="1" si="85"/>
        <v>297.59192055099459</v>
      </c>
      <c r="I271">
        <f t="shared" ca="1" si="86"/>
        <v>264.93846133961642</v>
      </c>
      <c r="J271">
        <f t="shared" ca="1" si="74"/>
        <v>286.69549999999998</v>
      </c>
      <c r="K271">
        <f t="shared" ca="1" si="75"/>
        <v>4.7834555611255647</v>
      </c>
      <c r="L271">
        <f t="shared" ca="1" si="76"/>
        <v>296.26241112225114</v>
      </c>
      <c r="M271">
        <f t="shared" ca="1" si="77"/>
        <v>277.12858887774883</v>
      </c>
      <c r="N271">
        <f t="shared" ca="1" si="87"/>
        <v>-1.0399999999999636</v>
      </c>
      <c r="O271">
        <f t="shared" ca="1" si="88"/>
        <v>0</v>
      </c>
      <c r="P271">
        <f t="shared" ca="1" si="89"/>
        <v>1.0399999999999636</v>
      </c>
      <c r="Q271">
        <f t="shared" ca="1" si="72"/>
        <v>1.2045938119295532</v>
      </c>
      <c r="R271">
        <f t="shared" ca="1" si="73"/>
        <v>1.074389558746784</v>
      </c>
      <c r="S271">
        <f t="shared" ca="1" si="70"/>
        <v>1.1211890530048014</v>
      </c>
      <c r="T271">
        <f t="shared" ca="1" si="71"/>
        <v>52.85663017242922</v>
      </c>
      <c r="U271">
        <f>70</f>
        <v>70</v>
      </c>
      <c r="V271">
        <f>30</f>
        <v>30</v>
      </c>
      <c r="W271">
        <f t="shared" ref="W271:W334" ca="1" si="90">C271*(2/(12+1)) + W270*(1-(2/(12+1)))</f>
        <v>287.16084753506368</v>
      </c>
      <c r="X271">
        <f t="shared" ca="1" si="79"/>
        <v>288.30108743999642</v>
      </c>
      <c r="Y271">
        <f t="shared" ca="1" si="78"/>
        <v>-0.80376552730751882</v>
      </c>
      <c r="Z271">
        <f t="shared" ca="1" si="80"/>
        <v>-2.0216247244766179</v>
      </c>
      <c r="AA271">
        <f t="shared" ca="1" si="81"/>
        <v>1.2178591971690991</v>
      </c>
      <c r="AB271">
        <f t="shared" ca="1" si="82"/>
        <v>295.6259</v>
      </c>
    </row>
    <row r="272" spans="1:28" x14ac:dyDescent="0.25">
      <c r="A272" s="21">
        <f t="shared" ca="1" si="83"/>
        <v>45684</v>
      </c>
      <c r="B272" vm="806">
        <f ca="1"/>
        <v>45687</v>
      </c>
      <c r="C272" vm="807">
        <f ca="1"/>
        <v>290.32</v>
      </c>
      <c r="D272" vm="808">
        <f ca="1"/>
        <v>2125150</v>
      </c>
      <c r="E272">
        <f t="shared" ca="1" si="84"/>
        <v>616973548</v>
      </c>
      <c r="F272">
        <f ca="1">SUM($E$2:E272)/SUM($D$2:D272)</f>
        <v>281.2859785494158</v>
      </c>
      <c r="G272">
        <f ca="1">_xlfn.STDEV.P($C$2:C272)</f>
        <v>16.303104140164756</v>
      </c>
      <c r="H272">
        <f t="shared" ca="1" si="85"/>
        <v>297.58908268958055</v>
      </c>
      <c r="I272">
        <f t="shared" ca="1" si="86"/>
        <v>264.98287440925105</v>
      </c>
      <c r="J272">
        <f t="shared" ca="1" si="74"/>
        <v>286.73149999999998</v>
      </c>
      <c r="K272">
        <f t="shared" ca="1" si="75"/>
        <v>4.8091056997719308</v>
      </c>
      <c r="L272">
        <f t="shared" ca="1" si="76"/>
        <v>296.34971139954382</v>
      </c>
      <c r="M272">
        <f t="shared" ca="1" si="77"/>
        <v>277.11328860045614</v>
      </c>
      <c r="N272">
        <f t="shared" ca="1" si="87"/>
        <v>0.20999999999997954</v>
      </c>
      <c r="O272">
        <f t="shared" ca="1" si="88"/>
        <v>0.20999999999997954</v>
      </c>
      <c r="P272">
        <f t="shared" ca="1" si="89"/>
        <v>0</v>
      </c>
      <c r="Q272">
        <f t="shared" ca="1" si="72"/>
        <v>1.1335513967917266</v>
      </c>
      <c r="R272">
        <f t="shared" ca="1" si="73"/>
        <v>0.99764744740772804</v>
      </c>
      <c r="S272">
        <f t="shared" ref="S272:S335" ca="1" si="91">IF(R272=0,NA(),Q272/R272)</f>
        <v>1.1362244245070032</v>
      </c>
      <c r="T272">
        <f t="shared" ref="T272:T335" ca="1" si="92">100-(100/(1+S272))</f>
        <v>53.188438980104841</v>
      </c>
      <c r="U272">
        <f>70</f>
        <v>70</v>
      </c>
      <c r="V272">
        <f>30</f>
        <v>30</v>
      </c>
      <c r="W272">
        <f t="shared" ca="1" si="90"/>
        <v>287.64687099120772</v>
      </c>
      <c r="X272">
        <f t="shared" ca="1" si="79"/>
        <v>288.45063651851524</v>
      </c>
      <c r="Y272">
        <f t="shared" ca="1" si="78"/>
        <v>-0.66021704879995013</v>
      </c>
      <c r="Z272">
        <f t="shared" ca="1" si="80"/>
        <v>-1.7493431893412845</v>
      </c>
      <c r="AA272">
        <f t="shared" ca="1" si="81"/>
        <v>1.0891261405413344</v>
      </c>
      <c r="AB272">
        <f t="shared" ca="1" si="82"/>
        <v>295.64940000000001</v>
      </c>
    </row>
    <row r="273" spans="1:28" x14ac:dyDescent="0.25">
      <c r="A273" s="21">
        <f t="shared" ca="1" si="83"/>
        <v>45684</v>
      </c>
      <c r="B273" vm="809">
        <f ca="1"/>
        <v>45688</v>
      </c>
      <c r="C273" vm="810">
        <f ca="1"/>
        <v>288.7</v>
      </c>
      <c r="D273" vm="811">
        <f ca="1"/>
        <v>2557033</v>
      </c>
      <c r="E273">
        <f t="shared" ca="1" si="84"/>
        <v>738215427.10000002</v>
      </c>
      <c r="F273">
        <f ca="1">SUM($E$2:E273)/SUM($D$2:D273)</f>
        <v>281.30640193430355</v>
      </c>
      <c r="G273">
        <f ca="1">_xlfn.STDEV.P($C$2:C273)</f>
        <v>16.277103202550151</v>
      </c>
      <c r="H273">
        <f t="shared" ca="1" si="85"/>
        <v>297.58350513685372</v>
      </c>
      <c r="I273">
        <f t="shared" ca="1" si="86"/>
        <v>265.02929873175339</v>
      </c>
      <c r="J273">
        <f t="shared" ca="1" si="74"/>
        <v>286.67199999999991</v>
      </c>
      <c r="K273">
        <f t="shared" ca="1" si="75"/>
        <v>4.7752129740325042</v>
      </c>
      <c r="L273">
        <f t="shared" ca="1" si="76"/>
        <v>296.22242594806494</v>
      </c>
      <c r="M273">
        <f t="shared" ca="1" si="77"/>
        <v>277.12157405193489</v>
      </c>
      <c r="N273">
        <f t="shared" ca="1" si="87"/>
        <v>-1.6200000000000045</v>
      </c>
      <c r="O273">
        <f t="shared" ca="1" si="88"/>
        <v>0</v>
      </c>
      <c r="P273">
        <f t="shared" ca="1" si="89"/>
        <v>1.6200000000000045</v>
      </c>
      <c r="Q273">
        <f t="shared" ref="Q273:Q336" ca="1" si="93">(Q272*13+O273)/14</f>
        <v>1.0525834398780318</v>
      </c>
      <c r="R273">
        <f t="shared" ref="R273:R336" ca="1" si="94">(R272*13+P273)/14</f>
        <v>1.0421012011643191</v>
      </c>
      <c r="S273">
        <f t="shared" ca="1" si="91"/>
        <v>1.0100587531249374</v>
      </c>
      <c r="T273">
        <f t="shared" ca="1" si="92"/>
        <v>50.250210425672869</v>
      </c>
      <c r="U273">
        <f>70</f>
        <v>70</v>
      </c>
      <c r="V273">
        <f>30</f>
        <v>30</v>
      </c>
      <c r="W273">
        <f t="shared" ca="1" si="90"/>
        <v>287.80889083871421</v>
      </c>
      <c r="X273">
        <f t="shared" ca="1" si="79"/>
        <v>288.46910788751416</v>
      </c>
      <c r="Y273">
        <f t="shared" ca="1" si="78"/>
        <v>-0.43253414343013219</v>
      </c>
      <c r="Z273">
        <f t="shared" ca="1" si="80"/>
        <v>-1.4859813801590542</v>
      </c>
      <c r="AA273">
        <f t="shared" ca="1" si="81"/>
        <v>1.053447236728922</v>
      </c>
      <c r="AB273">
        <f t="shared" ca="1" si="82"/>
        <v>295.6413</v>
      </c>
    </row>
    <row r="274" spans="1:28" x14ac:dyDescent="0.25">
      <c r="A274" s="21">
        <f t="shared" ca="1" si="83"/>
        <v>45691</v>
      </c>
      <c r="B274" vm="812">
        <f ca="1"/>
        <v>45691</v>
      </c>
      <c r="C274" vm="813">
        <f ca="1"/>
        <v>290.05</v>
      </c>
      <c r="D274" vm="814">
        <f ca="1"/>
        <v>3049143</v>
      </c>
      <c r="E274">
        <f t="shared" ca="1" si="84"/>
        <v>884403927.14999998</v>
      </c>
      <c r="F274">
        <f ca="1">SUM($E$2:E274)/SUM($D$2:D274)</f>
        <v>281.33502929269548</v>
      </c>
      <c r="G274">
        <f ca="1">_xlfn.STDEV.P($C$2:C274)</f>
        <v>16.253226796750404</v>
      </c>
      <c r="H274">
        <f t="shared" ca="1" si="85"/>
        <v>297.58825608944591</v>
      </c>
      <c r="I274">
        <f t="shared" ca="1" si="86"/>
        <v>265.08180249594506</v>
      </c>
      <c r="J274">
        <f t="shared" ca="1" si="74"/>
        <v>286.54899999999992</v>
      </c>
      <c r="K274">
        <f t="shared" ca="1" si="75"/>
        <v>4.6468811272213806</v>
      </c>
      <c r="L274">
        <f t="shared" ca="1" si="76"/>
        <v>295.84276225444268</v>
      </c>
      <c r="M274">
        <f t="shared" ca="1" si="77"/>
        <v>277.25523774555717</v>
      </c>
      <c r="N274">
        <f t="shared" ca="1" si="87"/>
        <v>1.3500000000000227</v>
      </c>
      <c r="O274">
        <f t="shared" ca="1" si="88"/>
        <v>1.3500000000000227</v>
      </c>
      <c r="P274">
        <f t="shared" ca="1" si="89"/>
        <v>0</v>
      </c>
      <c r="Q274">
        <f t="shared" ca="1" si="93"/>
        <v>1.0738274798867455</v>
      </c>
      <c r="R274">
        <f t="shared" ca="1" si="94"/>
        <v>0.96766540108115351</v>
      </c>
      <c r="S274">
        <f t="shared" ca="1" si="91"/>
        <v>1.1097094912011727</v>
      </c>
      <c r="T274">
        <f t="shared" ca="1" si="92"/>
        <v>52.600108964260976</v>
      </c>
      <c r="U274">
        <f>70</f>
        <v>70</v>
      </c>
      <c r="V274">
        <f>30</f>
        <v>30</v>
      </c>
      <c r="W274">
        <f t="shared" ca="1" si="90"/>
        <v>288.15367686352744</v>
      </c>
      <c r="X274">
        <f t="shared" ca="1" si="79"/>
        <v>288.58621100695757</v>
      </c>
      <c r="Y274">
        <f t="shared" ca="1" si="78"/>
        <v>-0.27155711906999613</v>
      </c>
      <c r="Z274">
        <f t="shared" ca="1" si="80"/>
        <v>-1.2430965279412427</v>
      </c>
      <c r="AA274">
        <f t="shared" ca="1" si="81"/>
        <v>0.97153940887124657</v>
      </c>
      <c r="AB274">
        <f t="shared" ca="1" si="82"/>
        <v>295.62890000000004</v>
      </c>
    </row>
    <row r="275" spans="1:28" x14ac:dyDescent="0.25">
      <c r="A275" s="21">
        <f t="shared" ca="1" si="83"/>
        <v>45691</v>
      </c>
      <c r="B275" vm="815">
        <f ca="1"/>
        <v>45692</v>
      </c>
      <c r="C275" vm="816">
        <f ca="1"/>
        <v>289.77</v>
      </c>
      <c r="D275" vm="817">
        <f ca="1"/>
        <v>2977102</v>
      </c>
      <c r="E275">
        <f t="shared" ca="1" si="84"/>
        <v>862674846.53999996</v>
      </c>
      <c r="F275">
        <f ca="1">SUM($E$2:E275)/SUM($D$2:D275)</f>
        <v>281.36190775869454</v>
      </c>
      <c r="G275">
        <f ca="1">_xlfn.STDEV.P($C$2:C275)</f>
        <v>16.228999817788512</v>
      </c>
      <c r="H275">
        <f t="shared" ca="1" si="85"/>
        <v>297.59090757648306</v>
      </c>
      <c r="I275">
        <f t="shared" ca="1" si="86"/>
        <v>265.13290794090602</v>
      </c>
      <c r="J275">
        <f t="shared" ca="1" si="74"/>
        <v>286.29849999999999</v>
      </c>
      <c r="K275">
        <f t="shared" ca="1" si="75"/>
        <v>4.3020622655700897</v>
      </c>
      <c r="L275">
        <f t="shared" ca="1" si="76"/>
        <v>294.90262453114019</v>
      </c>
      <c r="M275">
        <f t="shared" ca="1" si="77"/>
        <v>277.69437546885979</v>
      </c>
      <c r="N275">
        <f t="shared" ca="1" si="87"/>
        <v>-0.28000000000002956</v>
      </c>
      <c r="O275">
        <f t="shared" ca="1" si="88"/>
        <v>0</v>
      </c>
      <c r="P275">
        <f t="shared" ca="1" si="89"/>
        <v>0.28000000000002956</v>
      </c>
      <c r="Q275">
        <f t="shared" ca="1" si="93"/>
        <v>0.99712551703769225</v>
      </c>
      <c r="R275">
        <f t="shared" ca="1" si="94"/>
        <v>0.9185464438610732</v>
      </c>
      <c r="S275">
        <f t="shared" ca="1" si="91"/>
        <v>1.0855471965536279</v>
      </c>
      <c r="T275">
        <f t="shared" ca="1" si="92"/>
        <v>52.050953262889344</v>
      </c>
      <c r="U275">
        <f>70</f>
        <v>70</v>
      </c>
      <c r="V275">
        <f>30</f>
        <v>30</v>
      </c>
      <c r="W275">
        <f t="shared" ca="1" si="90"/>
        <v>288.40234196144627</v>
      </c>
      <c r="X275">
        <f t="shared" ca="1" si="79"/>
        <v>288.67389908051626</v>
      </c>
      <c r="Y275">
        <f t="shared" ca="1" si="78"/>
        <v>-0.21732660574997453</v>
      </c>
      <c r="Z275">
        <f t="shared" ca="1" si="80"/>
        <v>-1.037942543502989</v>
      </c>
      <c r="AA275">
        <f t="shared" ca="1" si="81"/>
        <v>0.82061593775301445</v>
      </c>
      <c r="AB275">
        <f t="shared" ca="1" si="82"/>
        <v>295.61390000000006</v>
      </c>
    </row>
    <row r="276" spans="1:28" x14ac:dyDescent="0.25">
      <c r="A276" s="21">
        <f t="shared" ca="1" si="83"/>
        <v>45691</v>
      </c>
      <c r="B276" vm="818">
        <f ca="1"/>
        <v>45693</v>
      </c>
      <c r="C276" vm="819">
        <f ca="1"/>
        <v>288.83</v>
      </c>
      <c r="D276" vm="820">
        <f ca="1"/>
        <v>2363168</v>
      </c>
      <c r="E276">
        <f t="shared" ca="1" si="84"/>
        <v>682553813.43999994</v>
      </c>
      <c r="F276">
        <f ca="1">SUM($E$2:E276)/SUM($D$2:D276)</f>
        <v>281.38075007665947</v>
      </c>
      <c r="G276">
        <f ca="1">_xlfn.STDEV.P($C$2:C276)</f>
        <v>16.203510674557407</v>
      </c>
      <c r="H276">
        <f t="shared" ca="1" si="85"/>
        <v>297.5842607512169</v>
      </c>
      <c r="I276">
        <f t="shared" ca="1" si="86"/>
        <v>265.17723940210203</v>
      </c>
      <c r="J276">
        <f t="shared" ca="1" si="74"/>
        <v>286.13099999999997</v>
      </c>
      <c r="K276">
        <f t="shared" ca="1" si="75"/>
        <v>4.1224825172780415</v>
      </c>
      <c r="L276">
        <f t="shared" ca="1" si="76"/>
        <v>294.37596503455603</v>
      </c>
      <c r="M276">
        <f t="shared" ca="1" si="77"/>
        <v>277.88603496544391</v>
      </c>
      <c r="N276">
        <f t="shared" ca="1" si="87"/>
        <v>-0.93999999999999773</v>
      </c>
      <c r="O276">
        <f t="shared" ca="1" si="88"/>
        <v>0</v>
      </c>
      <c r="P276">
        <f t="shared" ca="1" si="89"/>
        <v>0.93999999999999773</v>
      </c>
      <c r="Q276">
        <f t="shared" ca="1" si="93"/>
        <v>0.92590226582071422</v>
      </c>
      <c r="R276">
        <f t="shared" ca="1" si="94"/>
        <v>0.92007884072813917</v>
      </c>
      <c r="S276">
        <f t="shared" ca="1" si="91"/>
        <v>1.0063292674875193</v>
      </c>
      <c r="T276">
        <f t="shared" ca="1" si="92"/>
        <v>50.157732521527869</v>
      </c>
      <c r="U276">
        <f>70</f>
        <v>70</v>
      </c>
      <c r="V276">
        <f>30</f>
        <v>30</v>
      </c>
      <c r="W276">
        <f t="shared" ca="1" si="90"/>
        <v>288.46813550583914</v>
      </c>
      <c r="X276">
        <f t="shared" ca="1" si="79"/>
        <v>288.68546211158912</v>
      </c>
      <c r="Y276">
        <f t="shared" ca="1" si="78"/>
        <v>0.26877794577711711</v>
      </c>
      <c r="Z276">
        <f t="shared" ca="1" si="80"/>
        <v>-0.77659844564696778</v>
      </c>
      <c r="AA276">
        <f t="shared" ca="1" si="81"/>
        <v>1.0453763914240848</v>
      </c>
      <c r="AB276">
        <f t="shared" ca="1" si="82"/>
        <v>295.59990000000005</v>
      </c>
    </row>
    <row r="277" spans="1:28" x14ac:dyDescent="0.25">
      <c r="A277" s="21">
        <f t="shared" ca="1" si="83"/>
        <v>45691</v>
      </c>
      <c r="B277" vm="821">
        <f ca="1"/>
        <v>45694</v>
      </c>
      <c r="C277" vm="35">
        <f ca="1"/>
        <v>294.36</v>
      </c>
      <c r="D277" vm="822">
        <f ca="1"/>
        <v>3589988</v>
      </c>
      <c r="E277">
        <f t="shared" ca="1" si="84"/>
        <v>1056748867.6800001</v>
      </c>
      <c r="F277">
        <f ca="1">SUM($E$2:E277)/SUM($D$2:D277)</f>
        <v>281.43030778795065</v>
      </c>
      <c r="G277">
        <f ca="1">_xlfn.STDEV.P($C$2:C277)</f>
        <v>16.188940637694749</v>
      </c>
      <c r="H277">
        <f t="shared" ca="1" si="85"/>
        <v>297.61924842564542</v>
      </c>
      <c r="I277">
        <f t="shared" ca="1" si="86"/>
        <v>265.24136715025588</v>
      </c>
      <c r="J277">
        <f t="shared" ca="1" si="74"/>
        <v>286.38200000000001</v>
      </c>
      <c r="K277">
        <f t="shared" ca="1" si="75"/>
        <v>4.4666078027019402</v>
      </c>
      <c r="L277">
        <f t="shared" ca="1" si="76"/>
        <v>295.31521560540386</v>
      </c>
      <c r="M277">
        <f t="shared" ca="1" si="77"/>
        <v>277.44878439459615</v>
      </c>
      <c r="N277">
        <f t="shared" ca="1" si="87"/>
        <v>5.5300000000000296</v>
      </c>
      <c r="O277">
        <f t="shared" ca="1" si="88"/>
        <v>5.5300000000000296</v>
      </c>
      <c r="P277">
        <f t="shared" ca="1" si="89"/>
        <v>0</v>
      </c>
      <c r="Q277">
        <f t="shared" ca="1" si="93"/>
        <v>1.2547663896906653</v>
      </c>
      <c r="R277">
        <f t="shared" ca="1" si="94"/>
        <v>0.85435892353327214</v>
      </c>
      <c r="S277">
        <f t="shared" ca="1" si="91"/>
        <v>1.4686642289653569</v>
      </c>
      <c r="T277">
        <f t="shared" ca="1" si="92"/>
        <v>59.492263538038522</v>
      </c>
      <c r="U277">
        <f>70</f>
        <v>70</v>
      </c>
      <c r="V277">
        <f>30</f>
        <v>30</v>
      </c>
      <c r="W277">
        <f t="shared" ca="1" si="90"/>
        <v>289.37457619724853</v>
      </c>
      <c r="X277">
        <f t="shared" ca="1" si="79"/>
        <v>289.10579825147141</v>
      </c>
      <c r="Y277">
        <f t="shared" ca="1" si="78"/>
        <v>0.64177976881654786</v>
      </c>
      <c r="Z277">
        <f t="shared" ca="1" si="80"/>
        <v>-0.4929228027542647</v>
      </c>
      <c r="AA277">
        <f t="shared" ca="1" si="81"/>
        <v>1.1347025715708126</v>
      </c>
      <c r="AB277">
        <f t="shared" ca="1" si="82"/>
        <v>295.62000000000006</v>
      </c>
    </row>
    <row r="278" spans="1:28" x14ac:dyDescent="0.25">
      <c r="A278" s="21">
        <f t="shared" ca="1" si="83"/>
        <v>45691</v>
      </c>
      <c r="B278" vm="823">
        <f ca="1"/>
        <v>45695</v>
      </c>
      <c r="C278" vm="824">
        <f ca="1"/>
        <v>294.3</v>
      </c>
      <c r="D278" vm="825">
        <f ca="1"/>
        <v>2858016</v>
      </c>
      <c r="E278">
        <f t="shared" ca="1" si="84"/>
        <v>841114108.80000007</v>
      </c>
      <c r="F278">
        <f ca="1">SUM($E$2:E278)/SUM($D$2:D278)</f>
        <v>281.46930946978955</v>
      </c>
      <c r="G278">
        <f ca="1">_xlfn.STDEV.P($C$2:C278)</f>
        <v>16.174203419976244</v>
      </c>
      <c r="H278">
        <f t="shared" ca="1" si="85"/>
        <v>297.64351288976582</v>
      </c>
      <c r="I278">
        <f t="shared" ca="1" si="86"/>
        <v>265.29510604981328</v>
      </c>
      <c r="J278">
        <f t="shared" ref="J278:J341" ca="1" si="95">AVERAGE(C259:C278)</f>
        <v>286.75200000000007</v>
      </c>
      <c r="K278">
        <f t="shared" ref="K278:K341" ca="1" si="96">_xlfn.STDEV.S(C259:C278)</f>
        <v>4.8054219377698741</v>
      </c>
      <c r="L278">
        <f t="shared" ref="L278:L341" ca="1" si="97">J278 + 2*K278</f>
        <v>296.3628438755398</v>
      </c>
      <c r="M278">
        <f t="shared" ref="M278:M341" ca="1" si="98">J278-2*K278</f>
        <v>277.14115612446034</v>
      </c>
      <c r="N278">
        <f t="shared" ca="1" si="87"/>
        <v>-6.0000000000002274E-2</v>
      </c>
      <c r="O278">
        <f t="shared" ca="1" si="88"/>
        <v>0</v>
      </c>
      <c r="P278">
        <f t="shared" ca="1" si="89"/>
        <v>6.0000000000002274E-2</v>
      </c>
      <c r="Q278">
        <f t="shared" ca="1" si="93"/>
        <v>1.165140218998475</v>
      </c>
      <c r="R278">
        <f t="shared" ca="1" si="94"/>
        <v>0.79761900042375289</v>
      </c>
      <c r="S278">
        <f t="shared" ca="1" si="91"/>
        <v>1.4607728983129391</v>
      </c>
      <c r="T278">
        <f t="shared" ca="1" si="92"/>
        <v>59.362361285530177</v>
      </c>
      <c r="U278">
        <f>70</f>
        <v>70</v>
      </c>
      <c r="V278">
        <f>30</f>
        <v>30</v>
      </c>
      <c r="W278">
        <f t="shared" ca="1" si="90"/>
        <v>290.13233370536415</v>
      </c>
      <c r="X278">
        <f t="shared" ca="1" si="79"/>
        <v>289.4905539365476</v>
      </c>
      <c r="Y278">
        <f t="shared" ca="1" si="78"/>
        <v>2.0530857011828516</v>
      </c>
      <c r="Z278">
        <f t="shared" ca="1" si="80"/>
        <v>1.6278898033158573E-2</v>
      </c>
      <c r="AA278">
        <f t="shared" ca="1" si="81"/>
        <v>2.0368068031496929</v>
      </c>
      <c r="AB278">
        <f t="shared" ca="1" si="82"/>
        <v>295.59770000000003</v>
      </c>
    </row>
    <row r="279" spans="1:28" x14ac:dyDescent="0.25">
      <c r="A279" s="21">
        <f t="shared" ca="1" si="83"/>
        <v>45698</v>
      </c>
      <c r="B279" vm="826">
        <f ca="1"/>
        <v>45698</v>
      </c>
      <c r="C279" vm="827">
        <f ca="1"/>
        <v>308.42</v>
      </c>
      <c r="D279" vm="828">
        <f ca="1"/>
        <v>8051997</v>
      </c>
      <c r="E279">
        <f t="shared" ca="1" si="84"/>
        <v>2483396914.7400002</v>
      </c>
      <c r="F279">
        <f ca="1">SUM($E$2:E279)/SUM($D$2:D279)</f>
        <v>281.69746540516047</v>
      </c>
      <c r="G279">
        <f ca="1">_xlfn.STDEV.P($C$2:C279)</f>
        <v>16.217102300296141</v>
      </c>
      <c r="H279">
        <f t="shared" ca="1" si="85"/>
        <v>297.91456770545659</v>
      </c>
      <c r="I279">
        <f t="shared" ca="1" si="86"/>
        <v>265.48036310486435</v>
      </c>
      <c r="J279">
        <f t="shared" ca="1" si="95"/>
        <v>288.0575</v>
      </c>
      <c r="K279">
        <f t="shared" ca="1" si="96"/>
        <v>6.7059823056887451</v>
      </c>
      <c r="L279">
        <f t="shared" ca="1" si="97"/>
        <v>301.46946461137748</v>
      </c>
      <c r="M279">
        <f t="shared" ca="1" si="98"/>
        <v>274.64553538862253</v>
      </c>
      <c r="N279">
        <f t="shared" ca="1" si="87"/>
        <v>14.120000000000005</v>
      </c>
      <c r="O279">
        <f t="shared" ca="1" si="88"/>
        <v>14.120000000000005</v>
      </c>
      <c r="P279">
        <f t="shared" ca="1" si="89"/>
        <v>0</v>
      </c>
      <c r="Q279">
        <f t="shared" ca="1" si="93"/>
        <v>2.0904873462128699</v>
      </c>
      <c r="R279">
        <f t="shared" ca="1" si="94"/>
        <v>0.74064621467919911</v>
      </c>
      <c r="S279">
        <f t="shared" ca="1" si="91"/>
        <v>2.8225180994387937</v>
      </c>
      <c r="T279">
        <f t="shared" ca="1" si="92"/>
        <v>73.839234400307589</v>
      </c>
      <c r="U279">
        <f>70</f>
        <v>70</v>
      </c>
      <c r="V279">
        <f>30</f>
        <v>30</v>
      </c>
      <c r="W279">
        <f t="shared" ca="1" si="90"/>
        <v>292.94582082761582</v>
      </c>
      <c r="X279">
        <f t="shared" ca="1" si="79"/>
        <v>290.89273512643297</v>
      </c>
      <c r="Y279">
        <f t="shared" ca="1" si="78"/>
        <v>3.278204757011963</v>
      </c>
      <c r="Z279">
        <f t="shared" ca="1" si="80"/>
        <v>0.66866406982891946</v>
      </c>
      <c r="AA279">
        <f t="shared" ca="1" si="81"/>
        <v>2.6095406871830438</v>
      </c>
      <c r="AB279">
        <f t="shared" ca="1" si="82"/>
        <v>295.71500000000003</v>
      </c>
    </row>
    <row r="280" spans="1:28" x14ac:dyDescent="0.25">
      <c r="A280" s="21">
        <f t="shared" ca="1" si="83"/>
        <v>45698</v>
      </c>
      <c r="B280" vm="829">
        <f ca="1"/>
        <v>45699</v>
      </c>
      <c r="C280" vm="830">
        <f ca="1"/>
        <v>310.20999999999998</v>
      </c>
      <c r="D280" vm="831">
        <f ca="1"/>
        <v>4180762</v>
      </c>
      <c r="E280">
        <f t="shared" ca="1" si="84"/>
        <v>1296914180.02</v>
      </c>
      <c r="F280">
        <f ca="1">SUM($E$2:E280)/SUM($D$2:D280)</f>
        <v>281.82224534095843</v>
      </c>
      <c r="G280">
        <f ca="1">_xlfn.STDEV.P($C$2:C280)</f>
        <v>16.26940838302027</v>
      </c>
      <c r="H280">
        <f t="shared" ca="1" si="85"/>
        <v>298.09165372397871</v>
      </c>
      <c r="I280">
        <f t="shared" ca="1" si="86"/>
        <v>265.55283695793815</v>
      </c>
      <c r="J280">
        <f t="shared" ca="1" si="95"/>
        <v>289.38650000000001</v>
      </c>
      <c r="K280">
        <f t="shared" ca="1" si="96"/>
        <v>8.240590982256192</v>
      </c>
      <c r="L280">
        <f t="shared" ca="1" si="97"/>
        <v>305.86768196451237</v>
      </c>
      <c r="M280">
        <f t="shared" ca="1" si="98"/>
        <v>272.90531803548765</v>
      </c>
      <c r="N280">
        <f t="shared" ca="1" si="87"/>
        <v>1.7899999999999636</v>
      </c>
      <c r="O280">
        <f t="shared" ca="1" si="88"/>
        <v>1.7899999999999636</v>
      </c>
      <c r="P280">
        <f t="shared" ca="1" si="89"/>
        <v>0</v>
      </c>
      <c r="Q280">
        <f t="shared" ca="1" si="93"/>
        <v>2.0690239643405195</v>
      </c>
      <c r="R280">
        <f t="shared" ca="1" si="94"/>
        <v>0.68774291363068485</v>
      </c>
      <c r="S280">
        <f t="shared" ca="1" si="91"/>
        <v>3.0084264386206048</v>
      </c>
      <c r="T280">
        <f t="shared" ca="1" si="92"/>
        <v>75.052554529499517</v>
      </c>
      <c r="U280">
        <f>70</f>
        <v>70</v>
      </c>
      <c r="V280">
        <f>30</f>
        <v>30</v>
      </c>
      <c r="W280">
        <f t="shared" ca="1" si="90"/>
        <v>295.60184839259801</v>
      </c>
      <c r="X280">
        <f t="shared" ca="1" si="79"/>
        <v>292.32364363558605</v>
      </c>
      <c r="Y280">
        <f t="shared" ca="1" si="78"/>
        <v>3.9924922821542737</v>
      </c>
      <c r="Z280">
        <f t="shared" ca="1" si="80"/>
        <v>1.3334297122939904</v>
      </c>
      <c r="AA280">
        <f t="shared" ca="1" si="81"/>
        <v>2.659062569860283</v>
      </c>
      <c r="AB280">
        <f t="shared" ca="1" si="82"/>
        <v>295.87960000000004</v>
      </c>
    </row>
    <row r="281" spans="1:28" x14ac:dyDescent="0.25">
      <c r="A281" s="21">
        <f t="shared" ca="1" si="83"/>
        <v>45698</v>
      </c>
      <c r="B281" vm="832">
        <f ca="1"/>
        <v>45700</v>
      </c>
      <c r="C281" vm="833">
        <f ca="1"/>
        <v>307.60000000000002</v>
      </c>
      <c r="D281" vm="834">
        <f ca="1"/>
        <v>3110228</v>
      </c>
      <c r="E281">
        <f t="shared" ca="1" si="84"/>
        <v>956706132.80000007</v>
      </c>
      <c r="F281">
        <f ca="1">SUM($E$2:E281)/SUM($D$2:D281)</f>
        <v>281.90589788633679</v>
      </c>
      <c r="G281">
        <f ca="1">_xlfn.STDEV.P($C$2:C281)</f>
        <v>16.30591196433123</v>
      </c>
      <c r="H281">
        <f t="shared" ca="1" si="85"/>
        <v>298.21180985066803</v>
      </c>
      <c r="I281">
        <f t="shared" ca="1" si="86"/>
        <v>265.59998592200554</v>
      </c>
      <c r="J281">
        <f t="shared" ca="1" si="95"/>
        <v>290.68750000000006</v>
      </c>
      <c r="K281">
        <f t="shared" ca="1" si="96"/>
        <v>8.9653648618036268</v>
      </c>
      <c r="L281">
        <f t="shared" ca="1" si="97"/>
        <v>308.61822972360733</v>
      </c>
      <c r="M281">
        <f t="shared" ca="1" si="98"/>
        <v>272.75677027639279</v>
      </c>
      <c r="N281">
        <f t="shared" ca="1" si="87"/>
        <v>-2.6099999999999568</v>
      </c>
      <c r="O281">
        <f t="shared" ca="1" si="88"/>
        <v>0</v>
      </c>
      <c r="P281">
        <f t="shared" ca="1" si="89"/>
        <v>2.6099999999999568</v>
      </c>
      <c r="Q281">
        <f t="shared" ca="1" si="93"/>
        <v>1.9212365383161967</v>
      </c>
      <c r="R281">
        <f t="shared" ca="1" si="94"/>
        <v>0.82504699122849001</v>
      </c>
      <c r="S281">
        <f t="shared" ca="1" si="91"/>
        <v>2.3286389244999088</v>
      </c>
      <c r="T281">
        <f t="shared" ca="1" si="92"/>
        <v>69.957690735403546</v>
      </c>
      <c r="U281">
        <f>70</f>
        <v>70</v>
      </c>
      <c r="V281">
        <f>30</f>
        <v>30</v>
      </c>
      <c r="W281">
        <f t="shared" ca="1" si="90"/>
        <v>297.44771787065986</v>
      </c>
      <c r="X281">
        <f t="shared" ca="1" si="79"/>
        <v>293.45522558850558</v>
      </c>
      <c r="Y281">
        <f t="shared" ca="1" si="78"/>
        <v>4.6996692060446321</v>
      </c>
      <c r="Z281">
        <f t="shared" ca="1" si="80"/>
        <v>2.0066776110441191</v>
      </c>
      <c r="AA281">
        <f t="shared" ca="1" si="81"/>
        <v>2.692991595000513</v>
      </c>
      <c r="AB281">
        <f t="shared" ca="1" si="82"/>
        <v>296.03530000000001</v>
      </c>
    </row>
    <row r="282" spans="1:28" x14ac:dyDescent="0.25">
      <c r="A282" s="21">
        <f t="shared" ca="1" si="83"/>
        <v>45698</v>
      </c>
      <c r="B282" vm="835">
        <f ca="1"/>
        <v>45701</v>
      </c>
      <c r="C282" vm="836">
        <f ca="1"/>
        <v>310.02</v>
      </c>
      <c r="D282" vm="837">
        <f ca="1"/>
        <v>3097175</v>
      </c>
      <c r="E282">
        <f t="shared" ca="1" si="84"/>
        <v>960186193.5</v>
      </c>
      <c r="F282">
        <f ca="1">SUM($E$2:E282)/SUM($D$2:D282)</f>
        <v>281.99645668224855</v>
      </c>
      <c r="G282">
        <f ca="1">_xlfn.STDEV.P($C$2:C282)</f>
        <v>16.355056554790597</v>
      </c>
      <c r="H282">
        <f t="shared" ca="1" si="85"/>
        <v>298.35151323703917</v>
      </c>
      <c r="I282">
        <f t="shared" ca="1" si="86"/>
        <v>265.64140012745793</v>
      </c>
      <c r="J282">
        <f t="shared" ca="1" si="95"/>
        <v>292.07350000000008</v>
      </c>
      <c r="K282">
        <f t="shared" ca="1" si="96"/>
        <v>9.7120463858035588</v>
      </c>
      <c r="L282">
        <f t="shared" ca="1" si="97"/>
        <v>311.49759277160717</v>
      </c>
      <c r="M282">
        <f t="shared" ca="1" si="98"/>
        <v>272.64940722839299</v>
      </c>
      <c r="N282">
        <f t="shared" ca="1" si="87"/>
        <v>2.4199999999999591</v>
      </c>
      <c r="O282">
        <f t="shared" ca="1" si="88"/>
        <v>2.4199999999999591</v>
      </c>
      <c r="P282">
        <f t="shared" ca="1" si="89"/>
        <v>0</v>
      </c>
      <c r="Q282">
        <f t="shared" ca="1" si="93"/>
        <v>1.956862499865037</v>
      </c>
      <c r="R282">
        <f t="shared" ca="1" si="94"/>
        <v>0.76611506328359791</v>
      </c>
      <c r="S282">
        <f t="shared" ca="1" si="91"/>
        <v>2.5542670985711351</v>
      </c>
      <c r="T282">
        <f t="shared" ca="1" si="92"/>
        <v>71.864804409268686</v>
      </c>
      <c r="U282">
        <f>70</f>
        <v>70</v>
      </c>
      <c r="V282">
        <f>30</f>
        <v>30</v>
      </c>
      <c r="W282">
        <f t="shared" ca="1" si="90"/>
        <v>299.38191512132755</v>
      </c>
      <c r="X282">
        <f t="shared" ca="1" si="79"/>
        <v>294.68224591528292</v>
      </c>
      <c r="Y282">
        <f t="shared" ca="1" si="78"/>
        <v>5.0829027594511444</v>
      </c>
      <c r="Z282">
        <f t="shared" ca="1" si="80"/>
        <v>2.6219226407255243</v>
      </c>
      <c r="AA282">
        <f t="shared" ca="1" si="81"/>
        <v>2.4609801187256202</v>
      </c>
      <c r="AB282">
        <f t="shared" ca="1" si="82"/>
        <v>296.197</v>
      </c>
    </row>
    <row r="283" spans="1:28" x14ac:dyDescent="0.25">
      <c r="A283" s="21">
        <f t="shared" ca="1" si="83"/>
        <v>45698</v>
      </c>
      <c r="B283" vm="838">
        <f ca="1"/>
        <v>45702</v>
      </c>
      <c r="C283" vm="839">
        <f ca="1"/>
        <v>308.55</v>
      </c>
      <c r="D283" vm="840">
        <f ca="1"/>
        <v>2674354</v>
      </c>
      <c r="E283">
        <f t="shared" ca="1" si="84"/>
        <v>825171926.70000005</v>
      </c>
      <c r="F283">
        <f ca="1">SUM($E$2:E283)/SUM($D$2:D283)</f>
        <v>282.07010719804776</v>
      </c>
      <c r="G283">
        <f ca="1">_xlfn.STDEV.P($C$2:C283)</f>
        <v>16.394924353595922</v>
      </c>
      <c r="H283">
        <f t="shared" ca="1" si="85"/>
        <v>298.46503155164368</v>
      </c>
      <c r="I283">
        <f t="shared" ca="1" si="86"/>
        <v>265.67518284445185</v>
      </c>
      <c r="J283">
        <f t="shared" ca="1" si="95"/>
        <v>293.51400000000007</v>
      </c>
      <c r="K283">
        <f t="shared" ca="1" si="96"/>
        <v>9.9207705558113091</v>
      </c>
      <c r="L283">
        <f t="shared" ca="1" si="97"/>
        <v>313.3555411116227</v>
      </c>
      <c r="M283">
        <f t="shared" ca="1" si="98"/>
        <v>273.67245888837743</v>
      </c>
      <c r="N283">
        <f t="shared" ca="1" si="87"/>
        <v>-1.4699999999999704</v>
      </c>
      <c r="O283">
        <f t="shared" ca="1" si="88"/>
        <v>0</v>
      </c>
      <c r="P283">
        <f t="shared" ca="1" si="89"/>
        <v>1.4699999999999704</v>
      </c>
      <c r="Q283">
        <f t="shared" ca="1" si="93"/>
        <v>1.8170866070175344</v>
      </c>
      <c r="R283">
        <f t="shared" ca="1" si="94"/>
        <v>0.81639255876333883</v>
      </c>
      <c r="S283">
        <f t="shared" ca="1" si="91"/>
        <v>2.2257510648676591</v>
      </c>
      <c r="T283">
        <f t="shared" ca="1" si="92"/>
        <v>68.999467724239082</v>
      </c>
      <c r="U283">
        <f>70</f>
        <v>70</v>
      </c>
      <c r="V283">
        <f>30</f>
        <v>30</v>
      </c>
      <c r="W283">
        <f t="shared" ca="1" si="90"/>
        <v>300.79238971804642</v>
      </c>
      <c r="X283">
        <f t="shared" ca="1" si="79"/>
        <v>295.70948695859528</v>
      </c>
      <c r="Y283">
        <f t="shared" ca="1" si="78"/>
        <v>5.0284800134368197</v>
      </c>
      <c r="Z283">
        <f t="shared" ca="1" si="80"/>
        <v>3.1032341152677834</v>
      </c>
      <c r="AA283">
        <f t="shared" ca="1" si="81"/>
        <v>1.9252458981690364</v>
      </c>
      <c r="AB283">
        <f t="shared" ca="1" si="82"/>
        <v>296.31419999999997</v>
      </c>
    </row>
    <row r="284" spans="1:28" x14ac:dyDescent="0.25">
      <c r="A284" s="21">
        <f t="shared" ca="1" si="83"/>
        <v>45705</v>
      </c>
      <c r="B284" vm="841">
        <f ca="1"/>
        <v>45706</v>
      </c>
      <c r="C284" vm="842">
        <f ca="1"/>
        <v>304.83</v>
      </c>
      <c r="D284" vm="843">
        <f ca="1"/>
        <v>3368090</v>
      </c>
      <c r="E284">
        <f t="shared" ca="1" si="84"/>
        <v>1026694874.6999999</v>
      </c>
      <c r="F284">
        <f ca="1">SUM($E$2:E284)/SUM($D$2:D284)</f>
        <v>282.14933432408617</v>
      </c>
      <c r="G284">
        <f ca="1">_xlfn.STDEV.P($C$2:C284)</f>
        <v>16.415343852807069</v>
      </c>
      <c r="H284">
        <f t="shared" ca="1" si="85"/>
        <v>298.56467817689327</v>
      </c>
      <c r="I284">
        <f t="shared" ca="1" si="86"/>
        <v>265.73399047127907</v>
      </c>
      <c r="J284">
        <f t="shared" ca="1" si="95"/>
        <v>294.70800000000003</v>
      </c>
      <c r="K284">
        <f t="shared" ca="1" si="96"/>
        <v>9.7648594459930642</v>
      </c>
      <c r="L284">
        <f t="shared" ca="1" si="97"/>
        <v>314.23771889198616</v>
      </c>
      <c r="M284">
        <f t="shared" ca="1" si="98"/>
        <v>275.17828110801389</v>
      </c>
      <c r="N284">
        <f t="shared" ca="1" si="87"/>
        <v>-3.7200000000000273</v>
      </c>
      <c r="O284">
        <f t="shared" ca="1" si="88"/>
        <v>0</v>
      </c>
      <c r="P284">
        <f t="shared" ca="1" si="89"/>
        <v>3.7200000000000273</v>
      </c>
      <c r="Q284">
        <f t="shared" ca="1" si="93"/>
        <v>1.687294706516282</v>
      </c>
      <c r="R284">
        <f t="shared" ca="1" si="94"/>
        <v>1.0237930902802452</v>
      </c>
      <c r="S284">
        <f t="shared" ca="1" si="91"/>
        <v>1.6480817486806978</v>
      </c>
      <c r="T284">
        <f t="shared" ca="1" si="92"/>
        <v>62.236815366511607</v>
      </c>
      <c r="U284">
        <f>70</f>
        <v>70</v>
      </c>
      <c r="V284">
        <f>30</f>
        <v>30</v>
      </c>
      <c r="W284">
        <f t="shared" ca="1" si="90"/>
        <v>301.41356053065465</v>
      </c>
      <c r="X284">
        <f t="shared" ca="1" si="79"/>
        <v>296.38508051721783</v>
      </c>
      <c r="Y284">
        <f t="shared" ref="Y284:Y347" ca="1" si="99">W285-X285</f>
        <v>4.6979951837852809</v>
      </c>
      <c r="Z284">
        <f t="shared" ca="1" si="80"/>
        <v>3.4221863289712831</v>
      </c>
      <c r="AA284">
        <f t="shared" ca="1" si="81"/>
        <v>1.2758088548139979</v>
      </c>
      <c r="AB284">
        <f t="shared" ca="1" si="82"/>
        <v>296.37190000000004</v>
      </c>
    </row>
    <row r="285" spans="1:28" x14ac:dyDescent="0.25">
      <c r="A285" s="21">
        <f t="shared" ca="1" si="83"/>
        <v>45705</v>
      </c>
      <c r="B285" vm="844">
        <f ca="1"/>
        <v>45707</v>
      </c>
      <c r="C285" vm="845">
        <f ca="1"/>
        <v>301.94</v>
      </c>
      <c r="D285" vm="846">
        <f ca="1"/>
        <v>2990851</v>
      </c>
      <c r="E285">
        <f t="shared" ca="1" si="84"/>
        <v>903057550.93999994</v>
      </c>
      <c r="F285">
        <f ca="1">SUM($E$2:E285)/SUM($D$2:D285)</f>
        <v>282.21032097708604</v>
      </c>
      <c r="G285">
        <f ca="1">_xlfn.STDEV.P($C$2:C285)</f>
        <v>16.422949300934757</v>
      </c>
      <c r="H285">
        <f t="shared" ca="1" si="85"/>
        <v>298.6332702780208</v>
      </c>
      <c r="I285">
        <f t="shared" ca="1" si="86"/>
        <v>265.78737167615128</v>
      </c>
      <c r="J285">
        <f t="shared" ca="1" si="95"/>
        <v>295.67449999999997</v>
      </c>
      <c r="K285">
        <f t="shared" ca="1" si="96"/>
        <v>9.4561450223762193</v>
      </c>
      <c r="L285">
        <f t="shared" ca="1" si="97"/>
        <v>314.58679004475243</v>
      </c>
      <c r="M285">
        <f t="shared" ca="1" si="98"/>
        <v>276.7622099552475</v>
      </c>
      <c r="N285">
        <f t="shared" ca="1" si="87"/>
        <v>-2.8899999999999864</v>
      </c>
      <c r="O285">
        <f t="shared" ca="1" si="88"/>
        <v>0</v>
      </c>
      <c r="P285">
        <f t="shared" ca="1" si="89"/>
        <v>2.8899999999999864</v>
      </c>
      <c r="Q285">
        <f t="shared" ca="1" si="93"/>
        <v>1.5667736560508332</v>
      </c>
      <c r="R285">
        <f t="shared" ca="1" si="94"/>
        <v>1.1570935838316554</v>
      </c>
      <c r="S285">
        <f t="shared" ca="1" si="91"/>
        <v>1.3540595833766043</v>
      </c>
      <c r="T285">
        <f t="shared" ca="1" si="92"/>
        <v>57.520191627196411</v>
      </c>
      <c r="U285">
        <f>70</f>
        <v>70</v>
      </c>
      <c r="V285">
        <f>30</f>
        <v>30</v>
      </c>
      <c r="W285">
        <f t="shared" ca="1" si="90"/>
        <v>301.49455121824622</v>
      </c>
      <c r="X285">
        <f t="shared" ref="X285:X348" ca="1" si="100">C285*(2/(26+1)) + X284*(1-(2/(26+1)))</f>
        <v>296.79655603446093</v>
      </c>
      <c r="Y285">
        <f t="shared" ca="1" si="99"/>
        <v>4.4740769248413699</v>
      </c>
      <c r="Z285">
        <f t="shared" ca="1" si="80"/>
        <v>3.6325644481453008</v>
      </c>
      <c r="AA285">
        <f t="shared" ca="1" si="81"/>
        <v>0.8415124766960691</v>
      </c>
      <c r="AB285">
        <f t="shared" ca="1" si="82"/>
        <v>296.3886</v>
      </c>
    </row>
    <row r="286" spans="1:28" x14ac:dyDescent="0.25">
      <c r="A286" s="21">
        <f t="shared" ca="1" si="83"/>
        <v>45705</v>
      </c>
      <c r="B286" vm="847">
        <f ca="1"/>
        <v>45708</v>
      </c>
      <c r="C286" vm="848">
        <f ca="1"/>
        <v>303.05</v>
      </c>
      <c r="D286" vm="849">
        <f ca="1"/>
        <v>3020024</v>
      </c>
      <c r="E286">
        <f t="shared" ca="1" si="84"/>
        <v>915218273.20000005</v>
      </c>
      <c r="F286">
        <f ca="1">SUM($E$2:E286)/SUM($D$2:D286)</f>
        <v>282.27496550488519</v>
      </c>
      <c r="G286">
        <f ca="1">_xlfn.STDEV.P($C$2:C286)</f>
        <v>16.434723746700094</v>
      </c>
      <c r="H286">
        <f t="shared" ca="1" si="85"/>
        <v>298.7096892515853</v>
      </c>
      <c r="I286">
        <f t="shared" ca="1" si="86"/>
        <v>265.84024175818507</v>
      </c>
      <c r="J286">
        <f t="shared" ca="1" si="95"/>
        <v>296.75950000000006</v>
      </c>
      <c r="K286">
        <f t="shared" ca="1" si="96"/>
        <v>8.9578460022485356</v>
      </c>
      <c r="L286">
        <f t="shared" ca="1" si="97"/>
        <v>314.67519200449715</v>
      </c>
      <c r="M286">
        <f t="shared" ca="1" si="98"/>
        <v>278.84380799550297</v>
      </c>
      <c r="N286">
        <f t="shared" ca="1" si="87"/>
        <v>1.1100000000000136</v>
      </c>
      <c r="O286">
        <f t="shared" ca="1" si="88"/>
        <v>1.1100000000000136</v>
      </c>
      <c r="P286">
        <f t="shared" ca="1" si="89"/>
        <v>0</v>
      </c>
      <c r="Q286">
        <f t="shared" ca="1" si="93"/>
        <v>1.5341469663329175</v>
      </c>
      <c r="R286">
        <f t="shared" ca="1" si="94"/>
        <v>1.0744440421293944</v>
      </c>
      <c r="S286">
        <f t="shared" ca="1" si="91"/>
        <v>1.427851899380872</v>
      </c>
      <c r="T286">
        <f t="shared" ca="1" si="92"/>
        <v>58.811326166352629</v>
      </c>
      <c r="U286">
        <f>70</f>
        <v>70</v>
      </c>
      <c r="V286">
        <f>30</f>
        <v>30</v>
      </c>
      <c r="W286">
        <f t="shared" ca="1" si="90"/>
        <v>301.73385103082376</v>
      </c>
      <c r="X286">
        <f t="shared" ca="1" si="100"/>
        <v>297.25977410598239</v>
      </c>
      <c r="Y286">
        <f t="shared" ca="1" si="99"/>
        <v>4.3880546202574919</v>
      </c>
      <c r="Z286">
        <f t="shared" ca="1" si="80"/>
        <v>3.7836624825677392</v>
      </c>
      <c r="AA286">
        <f t="shared" ca="1" si="81"/>
        <v>0.60439213768975275</v>
      </c>
      <c r="AB286">
        <f t="shared" ca="1" si="82"/>
        <v>296.4144</v>
      </c>
    </row>
    <row r="287" spans="1:28" x14ac:dyDescent="0.25">
      <c r="A287" s="21">
        <f t="shared" ca="1" si="83"/>
        <v>45705</v>
      </c>
      <c r="B287" vm="850">
        <f ca="1"/>
        <v>45709</v>
      </c>
      <c r="C287" vm="851">
        <f ca="1"/>
        <v>304.81</v>
      </c>
      <c r="D287" vm="852">
        <f ca="1"/>
        <v>3036654</v>
      </c>
      <c r="E287">
        <f t="shared" ca="1" si="84"/>
        <v>925602505.74000001</v>
      </c>
      <c r="F287">
        <f ca="1">SUM($E$2:E287)/SUM($D$2:D287)</f>
        <v>282.34503538865317</v>
      </c>
      <c r="G287">
        <f ca="1">_xlfn.STDEV.P($C$2:C287)</f>
        <v>16.453707074961294</v>
      </c>
      <c r="H287">
        <f t="shared" ca="1" si="85"/>
        <v>298.79874246361447</v>
      </c>
      <c r="I287">
        <f t="shared" ca="1" si="86"/>
        <v>265.89132831369187</v>
      </c>
      <c r="J287">
        <f t="shared" ca="1" si="95"/>
        <v>297.77850000000001</v>
      </c>
      <c r="K287">
        <f t="shared" ca="1" si="96"/>
        <v>8.634825006607656</v>
      </c>
      <c r="L287">
        <f t="shared" ca="1" si="97"/>
        <v>315.04815001321532</v>
      </c>
      <c r="M287">
        <f t="shared" ca="1" si="98"/>
        <v>280.5088499867847</v>
      </c>
      <c r="N287">
        <f t="shared" ca="1" si="87"/>
        <v>1.7599999999999909</v>
      </c>
      <c r="O287">
        <f t="shared" ca="1" si="88"/>
        <v>1.7599999999999909</v>
      </c>
      <c r="P287">
        <f t="shared" ca="1" si="89"/>
        <v>0</v>
      </c>
      <c r="Q287">
        <f t="shared" ca="1" si="93"/>
        <v>1.5502793258805656</v>
      </c>
      <c r="R287">
        <f t="shared" ca="1" si="94"/>
        <v>0.99769803912015198</v>
      </c>
      <c r="S287">
        <f t="shared" ca="1" si="91"/>
        <v>1.5538562421629323</v>
      </c>
      <c r="T287">
        <f t="shared" ca="1" si="92"/>
        <v>60.843528171614231</v>
      </c>
      <c r="U287">
        <f>70</f>
        <v>70</v>
      </c>
      <c r="V287">
        <f>30</f>
        <v>30</v>
      </c>
      <c r="W287">
        <f t="shared" ca="1" si="90"/>
        <v>302.20710471838936</v>
      </c>
      <c r="X287">
        <f t="shared" ca="1" si="100"/>
        <v>297.81905009813187</v>
      </c>
      <c r="Y287">
        <f t="shared" ca="1" si="99"/>
        <v>4.490822847489369</v>
      </c>
      <c r="Z287">
        <f t="shared" ca="1" si="80"/>
        <v>3.9250945555520653</v>
      </c>
      <c r="AA287">
        <f t="shared" ca="1" si="81"/>
        <v>0.56572829193730367</v>
      </c>
      <c r="AB287">
        <f t="shared" ca="1" si="82"/>
        <v>296.42600000000004</v>
      </c>
    </row>
    <row r="288" spans="1:28" x14ac:dyDescent="0.25">
      <c r="A288" s="21">
        <f t="shared" ca="1" si="83"/>
        <v>45712</v>
      </c>
      <c r="B288" vm="853">
        <f ca="1"/>
        <v>45712</v>
      </c>
      <c r="C288" vm="854">
        <f ca="1"/>
        <v>307.57</v>
      </c>
      <c r="D288" vm="855">
        <f ca="1"/>
        <v>3397553</v>
      </c>
      <c r="E288">
        <f t="shared" ca="1" si="84"/>
        <v>1044985376.2099999</v>
      </c>
      <c r="F288">
        <f ca="1">SUM($E$2:E288)/SUM($D$2:D288)</f>
        <v>282.43248671737962</v>
      </c>
      <c r="G288">
        <f ca="1">_xlfn.STDEV.P($C$2:C288)</f>
        <v>16.485304919950096</v>
      </c>
      <c r="H288">
        <f t="shared" ca="1" si="85"/>
        <v>298.91779163732974</v>
      </c>
      <c r="I288">
        <f t="shared" ca="1" si="86"/>
        <v>265.94718179742949</v>
      </c>
      <c r="J288">
        <f t="shared" ca="1" si="95"/>
        <v>298.88400000000001</v>
      </c>
      <c r="K288">
        <f t="shared" ca="1" si="96"/>
        <v>8.3864843647383047</v>
      </c>
      <c r="L288">
        <f t="shared" ca="1" si="97"/>
        <v>315.6569687294766</v>
      </c>
      <c r="M288">
        <f t="shared" ca="1" si="98"/>
        <v>282.11103127052343</v>
      </c>
      <c r="N288">
        <f t="shared" ca="1" si="87"/>
        <v>2.7599999999999909</v>
      </c>
      <c r="O288">
        <f t="shared" ca="1" si="88"/>
        <v>2.7599999999999909</v>
      </c>
      <c r="P288">
        <f t="shared" ca="1" si="89"/>
        <v>0</v>
      </c>
      <c r="Q288">
        <f t="shared" ca="1" si="93"/>
        <v>1.6366879454605245</v>
      </c>
      <c r="R288">
        <f t="shared" ca="1" si="94"/>
        <v>0.92643389346871252</v>
      </c>
      <c r="S288">
        <f t="shared" ca="1" si="91"/>
        <v>1.7666537860920766</v>
      </c>
      <c r="T288">
        <f t="shared" ca="1" si="92"/>
        <v>63.855253410203197</v>
      </c>
      <c r="U288">
        <f>70</f>
        <v>70</v>
      </c>
      <c r="V288">
        <f>30</f>
        <v>30</v>
      </c>
      <c r="W288">
        <f t="shared" ca="1" si="90"/>
        <v>303.03216553094484</v>
      </c>
      <c r="X288">
        <f t="shared" ca="1" si="100"/>
        <v>298.54134268345547</v>
      </c>
      <c r="Y288">
        <f t="shared" ca="1" si="99"/>
        <v>4.7714438477709109</v>
      </c>
      <c r="Z288">
        <f t="shared" ca="1" si="80"/>
        <v>4.0943644139958346</v>
      </c>
      <c r="AA288">
        <f t="shared" ca="1" si="81"/>
        <v>0.67707943377507629</v>
      </c>
      <c r="AB288">
        <f t="shared" ca="1" si="82"/>
        <v>296.46480000000003</v>
      </c>
    </row>
    <row r="289" spans="1:28" x14ac:dyDescent="0.25">
      <c r="A289" s="21">
        <f t="shared" ca="1" si="83"/>
        <v>45712</v>
      </c>
      <c r="B289" vm="856">
        <f ca="1"/>
        <v>45713</v>
      </c>
      <c r="C289" vm="857">
        <f ca="1"/>
        <v>310.72000000000003</v>
      </c>
      <c r="D289" vm="858">
        <f ca="1"/>
        <v>3891555</v>
      </c>
      <c r="E289">
        <f t="shared" ca="1" si="84"/>
        <v>1209183969.6000001</v>
      </c>
      <c r="F289">
        <f ca="1">SUM($E$2:E289)/SUM($D$2:D289)</f>
        <v>282.54437031177702</v>
      </c>
      <c r="G289">
        <f ca="1">_xlfn.STDEV.P($C$2:C289)</f>
        <v>16.532959053497404</v>
      </c>
      <c r="H289">
        <f t="shared" ca="1" si="85"/>
        <v>299.07732936527441</v>
      </c>
      <c r="I289">
        <f t="shared" ca="1" si="86"/>
        <v>266.01141125827962</v>
      </c>
      <c r="J289">
        <f t="shared" ca="1" si="95"/>
        <v>299.76550000000003</v>
      </c>
      <c r="K289">
        <f t="shared" ca="1" si="96"/>
        <v>8.6672672042272794</v>
      </c>
      <c r="L289">
        <f t="shared" ca="1" si="97"/>
        <v>317.10003440845458</v>
      </c>
      <c r="M289">
        <f t="shared" ca="1" si="98"/>
        <v>282.43096559154549</v>
      </c>
      <c r="N289">
        <f t="shared" ca="1" si="87"/>
        <v>3.1500000000000341</v>
      </c>
      <c r="O289">
        <f t="shared" ca="1" si="88"/>
        <v>3.1500000000000341</v>
      </c>
      <c r="P289">
        <f t="shared" ca="1" si="89"/>
        <v>0</v>
      </c>
      <c r="Q289">
        <f t="shared" ca="1" si="93"/>
        <v>1.744781663641918</v>
      </c>
      <c r="R289">
        <f t="shared" ca="1" si="94"/>
        <v>0.86026004393523314</v>
      </c>
      <c r="S289">
        <f t="shared" ca="1" si="91"/>
        <v>2.0282026068076671</v>
      </c>
      <c r="T289">
        <f t="shared" ca="1" si="92"/>
        <v>66.977110522528733</v>
      </c>
      <c r="U289">
        <f>70</f>
        <v>70</v>
      </c>
      <c r="V289">
        <f>30</f>
        <v>30</v>
      </c>
      <c r="W289">
        <f t="shared" ca="1" si="90"/>
        <v>304.21490929541483</v>
      </c>
      <c r="X289">
        <f t="shared" ca="1" si="100"/>
        <v>299.44346544764392</v>
      </c>
      <c r="Y289">
        <f t="shared" ca="1" si="99"/>
        <v>4.4223982628316776</v>
      </c>
      <c r="Z289">
        <f t="shared" ca="1" si="80"/>
        <v>4.1599711837630036</v>
      </c>
      <c r="AA289">
        <f t="shared" ca="1" si="81"/>
        <v>0.26242707906867402</v>
      </c>
      <c r="AB289">
        <f t="shared" ca="1" si="82"/>
        <v>296.52690000000001</v>
      </c>
    </row>
    <row r="290" spans="1:28" x14ac:dyDescent="0.25">
      <c r="A290" s="21">
        <f t="shared" ca="1" si="83"/>
        <v>45712</v>
      </c>
      <c r="B290" vm="859">
        <f ca="1"/>
        <v>45714</v>
      </c>
      <c r="C290" vm="860">
        <f ca="1"/>
        <v>304.27</v>
      </c>
      <c r="D290" vm="861">
        <f ca="1"/>
        <v>4140908</v>
      </c>
      <c r="E290">
        <f t="shared" ca="1" si="84"/>
        <v>1259954077.1599998</v>
      </c>
      <c r="F290">
        <f ca="1">SUM($E$2:E290)/SUM($D$2:D290)</f>
        <v>282.6354229340584</v>
      </c>
      <c r="G290">
        <f ca="1">_xlfn.STDEV.P($C$2:C290)</f>
        <v>16.54786466296834</v>
      </c>
      <c r="H290">
        <f t="shared" ca="1" si="85"/>
        <v>299.18328759702672</v>
      </c>
      <c r="I290">
        <f t="shared" ca="1" si="86"/>
        <v>266.08755827109007</v>
      </c>
      <c r="J290">
        <f t="shared" ca="1" si="95"/>
        <v>300.42150000000004</v>
      </c>
      <c r="K290">
        <f t="shared" ca="1" si="96"/>
        <v>8.4752452378739633</v>
      </c>
      <c r="L290">
        <f t="shared" ca="1" si="97"/>
        <v>317.37199047574796</v>
      </c>
      <c r="M290">
        <f t="shared" ca="1" si="98"/>
        <v>283.47100952425211</v>
      </c>
      <c r="N290">
        <f t="shared" ca="1" si="87"/>
        <v>-6.4500000000000455</v>
      </c>
      <c r="O290">
        <f t="shared" ca="1" si="88"/>
        <v>0</v>
      </c>
      <c r="P290">
        <f t="shared" ca="1" si="89"/>
        <v>6.4500000000000455</v>
      </c>
      <c r="Q290">
        <f t="shared" ca="1" si="93"/>
        <v>1.6201544019532095</v>
      </c>
      <c r="R290">
        <f t="shared" ca="1" si="94"/>
        <v>1.2595271836541484</v>
      </c>
      <c r="S290">
        <f t="shared" ca="1" si="91"/>
        <v>1.2863195197207313</v>
      </c>
      <c r="T290">
        <f t="shared" ca="1" si="92"/>
        <v>56.261581490493164</v>
      </c>
      <c r="U290">
        <f>70</f>
        <v>70</v>
      </c>
      <c r="V290">
        <f>30</f>
        <v>30</v>
      </c>
      <c r="W290">
        <f t="shared" ca="1" si="90"/>
        <v>304.22338478842789</v>
      </c>
      <c r="X290">
        <f t="shared" ca="1" si="100"/>
        <v>299.80098652559622</v>
      </c>
      <c r="Y290">
        <f t="shared" ca="1" si="99"/>
        <v>4.5516372118070763</v>
      </c>
      <c r="Z290">
        <f t="shared" ca="1" si="80"/>
        <v>4.2383043893718186</v>
      </c>
      <c r="AA290">
        <f t="shared" ca="1" si="81"/>
        <v>0.31333282243525762</v>
      </c>
      <c r="AB290">
        <f t="shared" ca="1" si="82"/>
        <v>296.53980000000001</v>
      </c>
    </row>
    <row r="291" spans="1:28" x14ac:dyDescent="0.25">
      <c r="A291" s="21">
        <f t="shared" ca="1" si="83"/>
        <v>45712</v>
      </c>
      <c r="B291" vm="862">
        <f ca="1"/>
        <v>45715</v>
      </c>
      <c r="C291" vm="863">
        <f ca="1"/>
        <v>309.95</v>
      </c>
      <c r="D291" vm="864">
        <f ca="1"/>
        <v>3350723</v>
      </c>
      <c r="E291">
        <f t="shared" ca="1" si="84"/>
        <v>1038556593.8499999</v>
      </c>
      <c r="F291">
        <f ca="1">SUM($E$2:E291)/SUM($D$2:D291)</f>
        <v>282.72774110471795</v>
      </c>
      <c r="G291">
        <f ca="1">_xlfn.STDEV.P($C$2:C291)</f>
        <v>16.589670567585799</v>
      </c>
      <c r="H291">
        <f t="shared" ca="1" si="85"/>
        <v>299.31741167230376</v>
      </c>
      <c r="I291">
        <f t="shared" ca="1" si="86"/>
        <v>266.13807053713214</v>
      </c>
      <c r="J291">
        <f t="shared" ca="1" si="95"/>
        <v>301.4135</v>
      </c>
      <c r="K291">
        <f t="shared" ca="1" si="96"/>
        <v>8.3651842871448316</v>
      </c>
      <c r="L291">
        <f t="shared" ca="1" si="97"/>
        <v>318.14386857428968</v>
      </c>
      <c r="M291">
        <f t="shared" ca="1" si="98"/>
        <v>284.68313142571031</v>
      </c>
      <c r="N291">
        <f t="shared" ca="1" si="87"/>
        <v>5.6800000000000068</v>
      </c>
      <c r="O291">
        <f t="shared" ca="1" si="88"/>
        <v>5.6800000000000068</v>
      </c>
      <c r="P291">
        <f t="shared" ca="1" si="89"/>
        <v>0</v>
      </c>
      <c r="Q291">
        <f t="shared" ca="1" si="93"/>
        <v>1.9101433732422666</v>
      </c>
      <c r="R291">
        <f t="shared" ca="1" si="94"/>
        <v>1.1695609562502807</v>
      </c>
      <c r="S291">
        <f t="shared" ca="1" si="91"/>
        <v>1.6332140390239778</v>
      </c>
      <c r="T291">
        <f t="shared" ca="1" si="92"/>
        <v>62.023596062450807</v>
      </c>
      <c r="U291">
        <f>70</f>
        <v>70</v>
      </c>
      <c r="V291">
        <f>30</f>
        <v>30</v>
      </c>
      <c r="W291">
        <f t="shared" ca="1" si="90"/>
        <v>305.10440251328509</v>
      </c>
      <c r="X291">
        <f t="shared" ca="1" si="100"/>
        <v>300.55276530147802</v>
      </c>
      <c r="Y291">
        <f t="shared" ca="1" si="99"/>
        <v>4.4717915198442029</v>
      </c>
      <c r="Z291">
        <f t="shared" ca="1" si="80"/>
        <v>4.2850018154662957</v>
      </c>
      <c r="AA291">
        <f t="shared" ca="1" si="81"/>
        <v>0.18678970437790721</v>
      </c>
      <c r="AB291">
        <f t="shared" ca="1" si="82"/>
        <v>296.60169999999999</v>
      </c>
    </row>
    <row r="292" spans="1:28" x14ac:dyDescent="0.25">
      <c r="A292" s="21">
        <f t="shared" ca="1" si="83"/>
        <v>45712</v>
      </c>
      <c r="B292" vm="865">
        <f ca="1"/>
        <v>45716</v>
      </c>
      <c r="C292" vm="866">
        <f ca="1"/>
        <v>308.33</v>
      </c>
      <c r="D292" vm="867">
        <f ca="1"/>
        <v>4972872</v>
      </c>
      <c r="E292">
        <f t="shared" ca="1" si="84"/>
        <v>1533285623.76</v>
      </c>
      <c r="F292">
        <f ca="1">SUM($E$2:E292)/SUM($D$2:D292)</f>
        <v>282.85552224320077</v>
      </c>
      <c r="G292">
        <f ca="1">_xlfn.STDEV.P($C$2:C292)</f>
        <v>16.622217714087057</v>
      </c>
      <c r="H292">
        <f t="shared" ca="1" si="85"/>
        <v>299.47773995728784</v>
      </c>
      <c r="I292">
        <f t="shared" ca="1" si="86"/>
        <v>266.2333045291137</v>
      </c>
      <c r="J292">
        <f t="shared" ca="1" si="95"/>
        <v>302.31399999999996</v>
      </c>
      <c r="K292">
        <f t="shared" ca="1" si="96"/>
        <v>8.072383330316951</v>
      </c>
      <c r="L292">
        <f t="shared" ca="1" si="97"/>
        <v>318.45876666063384</v>
      </c>
      <c r="M292">
        <f t="shared" ca="1" si="98"/>
        <v>286.16923333936609</v>
      </c>
      <c r="N292">
        <f t="shared" ca="1" si="87"/>
        <v>-1.6200000000000045</v>
      </c>
      <c r="O292">
        <f t="shared" ca="1" si="88"/>
        <v>0</v>
      </c>
      <c r="P292">
        <f t="shared" ca="1" si="89"/>
        <v>1.6200000000000045</v>
      </c>
      <c r="Q292">
        <f t="shared" ca="1" si="93"/>
        <v>1.7737045608678188</v>
      </c>
      <c r="R292">
        <f t="shared" ca="1" si="94"/>
        <v>1.2017351736609752</v>
      </c>
      <c r="S292">
        <f t="shared" ca="1" si="91"/>
        <v>1.4759529385034074</v>
      </c>
      <c r="T292">
        <f t="shared" ca="1" si="92"/>
        <v>59.611510200817825</v>
      </c>
      <c r="U292">
        <f>70</f>
        <v>70</v>
      </c>
      <c r="V292">
        <f>30</f>
        <v>30</v>
      </c>
      <c r="W292">
        <f t="shared" ca="1" si="90"/>
        <v>305.600648280472</v>
      </c>
      <c r="X292">
        <f t="shared" ca="1" si="100"/>
        <v>301.1288567606278</v>
      </c>
      <c r="Y292">
        <f t="shared" ca="1" si="99"/>
        <v>4.0359945643764377</v>
      </c>
      <c r="Z292">
        <f t="shared" ca="1" si="80"/>
        <v>4.2352003652483248</v>
      </c>
      <c r="AA292">
        <f t="shared" ca="1" si="81"/>
        <v>-0.19920580087188711</v>
      </c>
      <c r="AB292">
        <f t="shared" ca="1" si="82"/>
        <v>296.65049999999997</v>
      </c>
    </row>
    <row r="293" spans="1:28" x14ac:dyDescent="0.25">
      <c r="A293" s="21">
        <f t="shared" ca="1" si="83"/>
        <v>45719</v>
      </c>
      <c r="B293" vm="868">
        <f ca="1"/>
        <v>45719</v>
      </c>
      <c r="C293" vm="869">
        <f ca="1"/>
        <v>304.29000000000002</v>
      </c>
      <c r="D293" vm="870">
        <f ca="1"/>
        <v>4371634</v>
      </c>
      <c r="E293">
        <f t="shared" ca="1" si="84"/>
        <v>1330244509.8600001</v>
      </c>
      <c r="F293">
        <f ca="1">SUM($E$2:E293)/SUM($D$2:D293)</f>
        <v>282.94915688547218</v>
      </c>
      <c r="G293">
        <f ca="1">_xlfn.STDEV.P($C$2:C293)</f>
        <v>16.635654188648349</v>
      </c>
      <c r="H293">
        <f t="shared" ca="1" si="85"/>
        <v>299.58481107412052</v>
      </c>
      <c r="I293">
        <f t="shared" ca="1" si="86"/>
        <v>266.31350269682383</v>
      </c>
      <c r="J293">
        <f t="shared" ca="1" si="95"/>
        <v>303.09349999999995</v>
      </c>
      <c r="K293">
        <f t="shared" ca="1" si="96"/>
        <v>7.4144782085635104</v>
      </c>
      <c r="L293">
        <f t="shared" ca="1" si="97"/>
        <v>317.92245641712697</v>
      </c>
      <c r="M293">
        <f t="shared" ca="1" si="98"/>
        <v>288.26454358287293</v>
      </c>
      <c r="N293">
        <f t="shared" ca="1" si="87"/>
        <v>-4.0399999999999636</v>
      </c>
      <c r="O293">
        <f t="shared" ca="1" si="88"/>
        <v>0</v>
      </c>
      <c r="P293">
        <f t="shared" ca="1" si="89"/>
        <v>4.0399999999999636</v>
      </c>
      <c r="Q293">
        <f t="shared" ca="1" si="93"/>
        <v>1.6470113779486888</v>
      </c>
      <c r="R293">
        <f t="shared" ca="1" si="94"/>
        <v>1.4044683755423313</v>
      </c>
      <c r="S293">
        <f t="shared" ca="1" si="91"/>
        <v>1.1726938154180226</v>
      </c>
      <c r="T293">
        <f t="shared" ca="1" si="92"/>
        <v>53.974186656963369</v>
      </c>
      <c r="U293">
        <f>70</f>
        <v>70</v>
      </c>
      <c r="V293">
        <f>30</f>
        <v>30</v>
      </c>
      <c r="W293">
        <f t="shared" ca="1" si="90"/>
        <v>305.3990100834763</v>
      </c>
      <c r="X293">
        <f t="shared" ca="1" si="100"/>
        <v>301.36301551909986</v>
      </c>
      <c r="Y293">
        <f t="shared" ca="1" si="99"/>
        <v>3.7666266412678056</v>
      </c>
      <c r="Z293">
        <f t="shared" ca="1" si="80"/>
        <v>4.1414856204522215</v>
      </c>
      <c r="AA293">
        <f t="shared" ca="1" si="81"/>
        <v>-0.37485897918441591</v>
      </c>
      <c r="AB293">
        <f t="shared" ca="1" si="82"/>
        <v>296.6558</v>
      </c>
    </row>
    <row r="294" spans="1:28" x14ac:dyDescent="0.25">
      <c r="A294" s="21">
        <f t="shared" ca="1" si="83"/>
        <v>45719</v>
      </c>
      <c r="B294" vm="871">
        <f ca="1"/>
        <v>45720</v>
      </c>
      <c r="C294" vm="872">
        <f ca="1"/>
        <v>305.77</v>
      </c>
      <c r="D294" vm="873">
        <f ca="1"/>
        <v>3954691</v>
      </c>
      <c r="E294">
        <f t="shared" ca="1" si="84"/>
        <v>1209225867.0699999</v>
      </c>
      <c r="F294">
        <f ca="1">SUM($E$2:E294)/SUM($D$2:D294)</f>
        <v>283.03898478452896</v>
      </c>
      <c r="G294">
        <f ca="1">_xlfn.STDEV.P($C$2:C294)</f>
        <v>16.65501403585618</v>
      </c>
      <c r="H294">
        <f t="shared" ca="1" si="85"/>
        <v>299.69399882038516</v>
      </c>
      <c r="I294">
        <f t="shared" ca="1" si="86"/>
        <v>266.38397074867277</v>
      </c>
      <c r="J294">
        <f t="shared" ca="1" si="95"/>
        <v>303.87950000000001</v>
      </c>
      <c r="K294">
        <f t="shared" ca="1" si="96"/>
        <v>6.7636415565332255</v>
      </c>
      <c r="L294">
        <f t="shared" ca="1" si="97"/>
        <v>317.40678311306647</v>
      </c>
      <c r="M294">
        <f t="shared" ca="1" si="98"/>
        <v>290.35221688693355</v>
      </c>
      <c r="N294">
        <f t="shared" ca="1" si="87"/>
        <v>1.4799999999999613</v>
      </c>
      <c r="O294">
        <f t="shared" ca="1" si="88"/>
        <v>1.4799999999999613</v>
      </c>
      <c r="P294">
        <f t="shared" ca="1" si="89"/>
        <v>0</v>
      </c>
      <c r="Q294">
        <f t="shared" ca="1" si="93"/>
        <v>1.635081993809494</v>
      </c>
      <c r="R294">
        <f t="shared" ca="1" si="94"/>
        <v>1.304149205860736</v>
      </c>
      <c r="S294">
        <f t="shared" ca="1" si="91"/>
        <v>1.2537537779125074</v>
      </c>
      <c r="T294">
        <f t="shared" ca="1" si="92"/>
        <v>55.629580755435086</v>
      </c>
      <c r="U294">
        <f>70</f>
        <v>70</v>
      </c>
      <c r="V294">
        <f>30</f>
        <v>30</v>
      </c>
      <c r="W294">
        <f t="shared" ca="1" si="90"/>
        <v>305.45608545524914</v>
      </c>
      <c r="X294">
        <f t="shared" ca="1" si="100"/>
        <v>301.68945881398133</v>
      </c>
      <c r="Y294">
        <f t="shared" ca="1" si="99"/>
        <v>3.6466759705557479</v>
      </c>
      <c r="Z294">
        <f t="shared" ref="Z294:Z357" ca="1" si="101">Y294*(2/(9+1)) + Z293*(1-(2/(9+1)))</f>
        <v>4.0425236904729269</v>
      </c>
      <c r="AA294">
        <f t="shared" ref="AA294:AA357" ca="1" si="102">Y294-Z294</f>
        <v>-0.39584771991717904</v>
      </c>
      <c r="AB294">
        <f t="shared" ref="AB294:AB357" ca="1" si="103">AVERAGE(C195:C294)</f>
        <v>296.70500000000004</v>
      </c>
    </row>
    <row r="295" spans="1:28" x14ac:dyDescent="0.25">
      <c r="A295" s="21">
        <f t="shared" ca="1" si="83"/>
        <v>45719</v>
      </c>
      <c r="B295" vm="874">
        <f ca="1"/>
        <v>45721</v>
      </c>
      <c r="C295" vm="875">
        <f ca="1"/>
        <v>307.45</v>
      </c>
      <c r="D295" vm="876">
        <f ca="1"/>
        <v>2327472</v>
      </c>
      <c r="E295">
        <f t="shared" ca="1" si="84"/>
        <v>715581266.39999998</v>
      </c>
      <c r="F295">
        <f ca="1">SUM($E$2:E295)/SUM($D$2:D295)</f>
        <v>283.09540469385195</v>
      </c>
      <c r="G295">
        <f ca="1">_xlfn.STDEV.P($C$2:C295)</f>
        <v>16.681539052827038</v>
      </c>
      <c r="H295">
        <f t="shared" ca="1" si="85"/>
        <v>299.77694374667897</v>
      </c>
      <c r="I295">
        <f t="shared" ca="1" si="86"/>
        <v>266.41386564102493</v>
      </c>
      <c r="J295">
        <f t="shared" ca="1" si="95"/>
        <v>304.76350000000008</v>
      </c>
      <c r="K295">
        <f t="shared" ca="1" si="96"/>
        <v>5.9259973844071165</v>
      </c>
      <c r="L295">
        <f t="shared" ca="1" si="97"/>
        <v>316.6154947688143</v>
      </c>
      <c r="M295">
        <f t="shared" ca="1" si="98"/>
        <v>292.91150523118586</v>
      </c>
      <c r="N295">
        <f t="shared" ca="1" si="87"/>
        <v>1.6800000000000068</v>
      </c>
      <c r="O295">
        <f t="shared" ca="1" si="88"/>
        <v>1.6800000000000068</v>
      </c>
      <c r="P295">
        <f t="shared" ca="1" si="89"/>
        <v>0</v>
      </c>
      <c r="Q295">
        <f t="shared" ca="1" si="93"/>
        <v>1.6382904228231021</v>
      </c>
      <c r="R295">
        <f t="shared" ca="1" si="94"/>
        <v>1.2109956911563977</v>
      </c>
      <c r="S295">
        <f t="shared" ca="1" si="91"/>
        <v>1.3528457902758302</v>
      </c>
      <c r="T295">
        <f t="shared" ca="1" si="92"/>
        <v>57.498277017008945</v>
      </c>
      <c r="U295">
        <f>70</f>
        <v>70</v>
      </c>
      <c r="V295">
        <f>30</f>
        <v>30</v>
      </c>
      <c r="W295">
        <f t="shared" ca="1" si="90"/>
        <v>305.76284153905698</v>
      </c>
      <c r="X295">
        <f t="shared" ca="1" si="100"/>
        <v>302.11616556850123</v>
      </c>
      <c r="Y295">
        <f t="shared" ca="1" si="99"/>
        <v>3.744074436857602</v>
      </c>
      <c r="Z295">
        <f t="shared" ca="1" si="101"/>
        <v>3.9828338397498624</v>
      </c>
      <c r="AA295">
        <f t="shared" ca="1" si="102"/>
        <v>-0.23875940289226039</v>
      </c>
      <c r="AB295">
        <f t="shared" ca="1" si="103"/>
        <v>296.76050000000009</v>
      </c>
    </row>
    <row r="296" spans="1:28" x14ac:dyDescent="0.25">
      <c r="A296" s="21">
        <f t="shared" ca="1" si="83"/>
        <v>45719</v>
      </c>
      <c r="B296" vm="877">
        <f ca="1"/>
        <v>45722</v>
      </c>
      <c r="C296" vm="878">
        <f ca="1"/>
        <v>310.37</v>
      </c>
      <c r="D296" vm="879">
        <f ca="1"/>
        <v>2954920</v>
      </c>
      <c r="E296">
        <f t="shared" ca="1" si="84"/>
        <v>917118520.39999998</v>
      </c>
      <c r="F296">
        <f ca="1">SUM($E$2:E296)/SUM($D$2:D296)</f>
        <v>283.17520299145815</v>
      </c>
      <c r="G296">
        <f ca="1">_xlfn.STDEV.P($C$2:C296)</f>
        <v>16.7219924042681</v>
      </c>
      <c r="H296">
        <f t="shared" ca="1" si="85"/>
        <v>299.89719539572627</v>
      </c>
      <c r="I296">
        <f t="shared" ca="1" si="86"/>
        <v>266.45321058719003</v>
      </c>
      <c r="J296">
        <f t="shared" ca="1" si="95"/>
        <v>305.84050000000008</v>
      </c>
      <c r="K296">
        <f t="shared" ca="1" si="96"/>
        <v>4.7105106159691283</v>
      </c>
      <c r="L296">
        <f t="shared" ca="1" si="97"/>
        <v>315.26152123193833</v>
      </c>
      <c r="M296">
        <f t="shared" ca="1" si="98"/>
        <v>296.41947876806182</v>
      </c>
      <c r="N296">
        <f t="shared" ca="1" si="87"/>
        <v>2.9200000000000159</v>
      </c>
      <c r="O296">
        <f t="shared" ca="1" si="88"/>
        <v>2.9200000000000159</v>
      </c>
      <c r="P296">
        <f t="shared" ca="1" si="89"/>
        <v>0</v>
      </c>
      <c r="Q296">
        <f t="shared" ca="1" si="93"/>
        <v>1.7298411069071675</v>
      </c>
      <c r="R296">
        <f t="shared" ca="1" si="94"/>
        <v>1.1244959989309407</v>
      </c>
      <c r="S296">
        <f t="shared" ca="1" si="91"/>
        <v>1.5383257108533326</v>
      </c>
      <c r="T296">
        <f t="shared" ca="1" si="92"/>
        <v>60.603952608437289</v>
      </c>
      <c r="U296">
        <f>70</f>
        <v>70</v>
      </c>
      <c r="V296">
        <f>30</f>
        <v>30</v>
      </c>
      <c r="W296">
        <f t="shared" ca="1" si="90"/>
        <v>306.47163514843282</v>
      </c>
      <c r="X296">
        <f t="shared" ca="1" si="100"/>
        <v>302.72756071157522</v>
      </c>
      <c r="Y296">
        <f t="shared" ca="1" si="99"/>
        <v>4.6488273727139813</v>
      </c>
      <c r="Z296">
        <f t="shared" ca="1" si="101"/>
        <v>4.1160325463426863</v>
      </c>
      <c r="AA296">
        <f t="shared" ca="1" si="102"/>
        <v>0.53279482637129494</v>
      </c>
      <c r="AB296">
        <f t="shared" ca="1" si="103"/>
        <v>296.82590000000005</v>
      </c>
    </row>
    <row r="297" spans="1:28" x14ac:dyDescent="0.25">
      <c r="A297" s="21">
        <f t="shared" ca="1" si="83"/>
        <v>45719</v>
      </c>
      <c r="B297" vm="880">
        <f ca="1"/>
        <v>45723</v>
      </c>
      <c r="C297" vm="881">
        <f ca="1"/>
        <v>321.29000000000002</v>
      </c>
      <c r="D297" vm="882">
        <f ca="1"/>
        <v>7607616</v>
      </c>
      <c r="E297">
        <f t="shared" ca="1" si="84"/>
        <v>2444250944.6400003</v>
      </c>
      <c r="F297">
        <f ca="1">SUM($E$2:E297)/SUM($D$2:D297)</f>
        <v>283.46015565510129</v>
      </c>
      <c r="G297">
        <f ca="1">_xlfn.STDEV.P($C$2:C297)</f>
        <v>16.830423627263681</v>
      </c>
      <c r="H297">
        <f t="shared" ca="1" si="85"/>
        <v>300.29057928236494</v>
      </c>
      <c r="I297">
        <f t="shared" ca="1" si="86"/>
        <v>266.62973202783763</v>
      </c>
      <c r="J297">
        <f t="shared" ca="1" si="95"/>
        <v>307.18700000000001</v>
      </c>
      <c r="K297">
        <f t="shared" ca="1" si="96"/>
        <v>5.0897896761426624</v>
      </c>
      <c r="L297">
        <f t="shared" ca="1" si="97"/>
        <v>317.36657935228533</v>
      </c>
      <c r="M297">
        <f t="shared" ca="1" si="98"/>
        <v>297.0074206477147</v>
      </c>
      <c r="N297">
        <f t="shared" ca="1" si="87"/>
        <v>10.920000000000016</v>
      </c>
      <c r="O297">
        <f t="shared" ca="1" si="88"/>
        <v>10.920000000000016</v>
      </c>
      <c r="P297">
        <f t="shared" ca="1" si="89"/>
        <v>0</v>
      </c>
      <c r="Q297">
        <f t="shared" ca="1" si="93"/>
        <v>2.3862810278423714</v>
      </c>
      <c r="R297">
        <f t="shared" ca="1" si="94"/>
        <v>1.0441748561501591</v>
      </c>
      <c r="S297">
        <f t="shared" ca="1" si="91"/>
        <v>2.2853270348229957</v>
      </c>
      <c r="T297">
        <f t="shared" ca="1" si="92"/>
        <v>69.561629956456457</v>
      </c>
      <c r="U297">
        <f>70</f>
        <v>70</v>
      </c>
      <c r="V297">
        <f>30</f>
        <v>30</v>
      </c>
      <c r="W297">
        <f t="shared" ca="1" si="90"/>
        <v>308.75138358713548</v>
      </c>
      <c r="X297">
        <f t="shared" ca="1" si="100"/>
        <v>304.1025562144215</v>
      </c>
      <c r="Y297">
        <f t="shared" ca="1" si="99"/>
        <v>4.9824220959893069</v>
      </c>
      <c r="Z297">
        <f t="shared" ca="1" si="101"/>
        <v>4.2893104562720108</v>
      </c>
      <c r="AA297">
        <f t="shared" ca="1" si="102"/>
        <v>0.69311163971729606</v>
      </c>
      <c r="AB297">
        <f t="shared" ca="1" si="103"/>
        <v>296.99840000000012</v>
      </c>
    </row>
    <row r="298" spans="1:28" x14ac:dyDescent="0.25">
      <c r="A298" s="21">
        <f t="shared" ca="1" si="83"/>
        <v>45726</v>
      </c>
      <c r="B298" vm="883">
        <f ca="1"/>
        <v>45726</v>
      </c>
      <c r="C298" vm="884">
        <f ca="1"/>
        <v>317.25</v>
      </c>
      <c r="D298" vm="885">
        <f ca="1"/>
        <v>4707592</v>
      </c>
      <c r="E298">
        <f t="shared" ca="1" si="84"/>
        <v>1493483562</v>
      </c>
      <c r="F298">
        <f ca="1">SUM($E$2:E298)/SUM($D$2:D298)</f>
        <v>283.61575616332675</v>
      </c>
      <c r="G298">
        <f ca="1">_xlfn.STDEV.P($C$2:C298)</f>
        <v>16.908692067149719</v>
      </c>
      <c r="H298">
        <f t="shared" ca="1" si="85"/>
        <v>300.52444823047648</v>
      </c>
      <c r="I298">
        <f t="shared" ca="1" si="86"/>
        <v>266.70706409617702</v>
      </c>
      <c r="J298">
        <f t="shared" ca="1" si="95"/>
        <v>308.33449999999999</v>
      </c>
      <c r="K298">
        <f t="shared" ca="1" si="96"/>
        <v>4.5944319561834881</v>
      </c>
      <c r="L298">
        <f t="shared" ca="1" si="97"/>
        <v>317.52336391236696</v>
      </c>
      <c r="M298">
        <f t="shared" ca="1" si="98"/>
        <v>299.14563608763302</v>
      </c>
      <c r="N298">
        <f t="shared" ca="1" si="87"/>
        <v>-4.0400000000000205</v>
      </c>
      <c r="O298">
        <f t="shared" ca="1" si="88"/>
        <v>0</v>
      </c>
      <c r="P298">
        <f t="shared" ca="1" si="89"/>
        <v>4.0400000000000205</v>
      </c>
      <c r="Q298">
        <f t="shared" ca="1" si="93"/>
        <v>2.2158323829964877</v>
      </c>
      <c r="R298">
        <f t="shared" ca="1" si="94"/>
        <v>1.2581623664251491</v>
      </c>
      <c r="S298">
        <f t="shared" ca="1" si="91"/>
        <v>1.7611656826871975</v>
      </c>
      <c r="T298">
        <f t="shared" ca="1" si="92"/>
        <v>63.783411974511118</v>
      </c>
      <c r="U298">
        <f>70</f>
        <v>70</v>
      </c>
      <c r="V298">
        <f>30</f>
        <v>30</v>
      </c>
      <c r="W298">
        <f t="shared" ca="1" si="90"/>
        <v>310.05886303526847</v>
      </c>
      <c r="X298">
        <f t="shared" ca="1" si="100"/>
        <v>305.07644093927917</v>
      </c>
      <c r="Y298">
        <f t="shared" ca="1" si="99"/>
        <v>4.3501966273760786</v>
      </c>
      <c r="Z298">
        <f t="shared" ca="1" si="101"/>
        <v>4.3014876904928245</v>
      </c>
      <c r="AA298">
        <f t="shared" ca="1" si="102"/>
        <v>4.8708936883254061E-2</v>
      </c>
      <c r="AB298">
        <f t="shared" ca="1" si="103"/>
        <v>297.12050000000011</v>
      </c>
    </row>
    <row r="299" spans="1:28" x14ac:dyDescent="0.25">
      <c r="A299" s="21">
        <f t="shared" ca="1" si="83"/>
        <v>45726</v>
      </c>
      <c r="B299" vm="886">
        <f ca="1"/>
        <v>45727</v>
      </c>
      <c r="C299" vm="887">
        <f ca="1"/>
        <v>306.76</v>
      </c>
      <c r="D299" vm="888">
        <f ca="1"/>
        <v>4513135</v>
      </c>
      <c r="E299">
        <f t="shared" ca="1" si="84"/>
        <v>1384449292.5999999</v>
      </c>
      <c r="F299">
        <f ca="1">SUM($E$2:E299)/SUM($D$2:D299)</f>
        <v>283.71748269806398</v>
      </c>
      <c r="G299">
        <f ca="1">_xlfn.STDEV.P($C$2:C299)</f>
        <v>16.928736422315236</v>
      </c>
      <c r="H299">
        <f t="shared" ca="1" si="85"/>
        <v>300.64621912037921</v>
      </c>
      <c r="I299">
        <f t="shared" ca="1" si="86"/>
        <v>266.78874627574874</v>
      </c>
      <c r="J299">
        <f t="shared" ca="1" si="95"/>
        <v>308.25149999999996</v>
      </c>
      <c r="K299">
        <f t="shared" ca="1" si="96"/>
        <v>4.6077809192712307</v>
      </c>
      <c r="L299">
        <f t="shared" ca="1" si="97"/>
        <v>317.46706183854241</v>
      </c>
      <c r="M299">
        <f t="shared" ca="1" si="98"/>
        <v>299.03593816145752</v>
      </c>
      <c r="N299">
        <f t="shared" ca="1" si="87"/>
        <v>-10.490000000000009</v>
      </c>
      <c r="O299">
        <f t="shared" ca="1" si="88"/>
        <v>0</v>
      </c>
      <c r="P299">
        <f t="shared" ca="1" si="89"/>
        <v>10.490000000000009</v>
      </c>
      <c r="Q299">
        <f t="shared" ca="1" si="93"/>
        <v>2.0575586413538813</v>
      </c>
      <c r="R299">
        <f t="shared" ca="1" si="94"/>
        <v>1.9175793402519248</v>
      </c>
      <c r="S299">
        <f t="shared" ca="1" si="91"/>
        <v>1.0729979188676315</v>
      </c>
      <c r="T299">
        <f t="shared" ca="1" si="92"/>
        <v>51.760684808297022</v>
      </c>
      <c r="U299">
        <f>70</f>
        <v>70</v>
      </c>
      <c r="V299">
        <f>30</f>
        <v>30</v>
      </c>
      <c r="W299">
        <f t="shared" ca="1" si="90"/>
        <v>309.55134564522717</v>
      </c>
      <c r="X299">
        <f t="shared" ca="1" si="100"/>
        <v>305.20114901785109</v>
      </c>
      <c r="Y299">
        <f t="shared" ca="1" si="99"/>
        <v>3.2181658855580508</v>
      </c>
      <c r="Z299">
        <f t="shared" ca="1" si="101"/>
        <v>4.0848233295058698</v>
      </c>
      <c r="AA299">
        <f t="shared" ca="1" si="102"/>
        <v>-0.86665744394781896</v>
      </c>
      <c r="AB299">
        <f t="shared" ca="1" si="103"/>
        <v>297.08970000000011</v>
      </c>
    </row>
    <row r="300" spans="1:28" x14ac:dyDescent="0.25">
      <c r="A300" s="21">
        <f t="shared" ca="1" si="83"/>
        <v>45726</v>
      </c>
      <c r="B300" vm="889">
        <f ca="1"/>
        <v>45728</v>
      </c>
      <c r="C300" vm="890">
        <f ca="1"/>
        <v>299.39999999999998</v>
      </c>
      <c r="D300" vm="891">
        <f ca="1"/>
        <v>4546240</v>
      </c>
      <c r="E300">
        <f t="shared" ca="1" si="84"/>
        <v>1361144256</v>
      </c>
      <c r="F300">
        <f ca="1">SUM($E$2:E300)/SUM($D$2:D300)</f>
        <v>283.78661204271521</v>
      </c>
      <c r="G300">
        <f ca="1">_xlfn.STDEV.P($C$2:C300)</f>
        <v>16.921683273216395</v>
      </c>
      <c r="H300">
        <f t="shared" ca="1" si="85"/>
        <v>300.70829531593159</v>
      </c>
      <c r="I300">
        <f t="shared" ca="1" si="86"/>
        <v>266.86492876949882</v>
      </c>
      <c r="J300">
        <f t="shared" ca="1" si="95"/>
        <v>307.71099999999996</v>
      </c>
      <c r="K300">
        <f t="shared" ca="1" si="96"/>
        <v>4.9845644902934891</v>
      </c>
      <c r="L300">
        <f t="shared" ca="1" si="97"/>
        <v>317.68012898058691</v>
      </c>
      <c r="M300">
        <f t="shared" ca="1" si="98"/>
        <v>297.741871019413</v>
      </c>
      <c r="N300">
        <f t="shared" ca="1" si="87"/>
        <v>-7.3600000000000136</v>
      </c>
      <c r="O300">
        <f t="shared" ca="1" si="88"/>
        <v>0</v>
      </c>
      <c r="P300">
        <f t="shared" ca="1" si="89"/>
        <v>7.3600000000000136</v>
      </c>
      <c r="Q300">
        <f t="shared" ca="1" si="93"/>
        <v>1.9105901669714613</v>
      </c>
      <c r="R300">
        <f t="shared" ca="1" si="94"/>
        <v>2.3063236730910739</v>
      </c>
      <c r="S300">
        <f t="shared" ca="1" si="91"/>
        <v>0.82841371714785084</v>
      </c>
      <c r="T300">
        <f t="shared" ca="1" si="92"/>
        <v>45.307782881879511</v>
      </c>
      <c r="U300">
        <f>70</f>
        <v>70</v>
      </c>
      <c r="V300">
        <f>30</f>
        <v>30</v>
      </c>
      <c r="W300">
        <f t="shared" ca="1" si="90"/>
        <v>307.98960016134606</v>
      </c>
      <c r="X300">
        <f t="shared" ca="1" si="100"/>
        <v>304.77143427578801</v>
      </c>
      <c r="Y300">
        <f t="shared" ca="1" si="99"/>
        <v>2.1430060065204657</v>
      </c>
      <c r="Z300">
        <f t="shared" ca="1" si="101"/>
        <v>3.696459864908789</v>
      </c>
      <c r="AA300">
        <f t="shared" ca="1" si="102"/>
        <v>-1.5534538583883233</v>
      </c>
      <c r="AB300">
        <f t="shared" ca="1" si="103"/>
        <v>296.95030000000014</v>
      </c>
    </row>
    <row r="301" spans="1:28" x14ac:dyDescent="0.25">
      <c r="A301" s="21">
        <f t="shared" ca="1" si="83"/>
        <v>45726</v>
      </c>
      <c r="B301" vm="892">
        <f ca="1"/>
        <v>45729</v>
      </c>
      <c r="C301" vm="893">
        <f ca="1"/>
        <v>297.5</v>
      </c>
      <c r="D301" vm="894">
        <f ca="1"/>
        <v>4178882</v>
      </c>
      <c r="E301">
        <f t="shared" ca="1" si="84"/>
        <v>1243217395</v>
      </c>
      <c r="F301">
        <f ca="1">SUM($E$2:E301)/SUM($D$2:D301)</f>
        <v>283.84195253668008</v>
      </c>
      <c r="G301">
        <f ca="1">_xlfn.STDEV.P($C$2:C301)</f>
        <v>16.909421360590674</v>
      </c>
      <c r="H301">
        <f t="shared" ca="1" si="85"/>
        <v>300.75137389727075</v>
      </c>
      <c r="I301">
        <f t="shared" ca="1" si="86"/>
        <v>266.93253117608941</v>
      </c>
      <c r="J301">
        <f t="shared" ca="1" si="95"/>
        <v>307.20599999999996</v>
      </c>
      <c r="K301">
        <f t="shared" ca="1" si="96"/>
        <v>5.4831007362814868</v>
      </c>
      <c r="L301">
        <f t="shared" ca="1" si="97"/>
        <v>318.17220147256296</v>
      </c>
      <c r="M301">
        <f t="shared" ca="1" si="98"/>
        <v>296.23979852743696</v>
      </c>
      <c r="N301">
        <f t="shared" ca="1" si="87"/>
        <v>-1.8999999999999773</v>
      </c>
      <c r="O301">
        <f t="shared" ca="1" si="88"/>
        <v>0</v>
      </c>
      <c r="P301">
        <f t="shared" ca="1" si="89"/>
        <v>1.8999999999999773</v>
      </c>
      <c r="Q301">
        <f t="shared" ca="1" si="93"/>
        <v>1.7741194407592142</v>
      </c>
      <c r="R301">
        <f t="shared" ca="1" si="94"/>
        <v>2.277300553584567</v>
      </c>
      <c r="S301">
        <f t="shared" ca="1" si="91"/>
        <v>0.77904492578578421</v>
      </c>
      <c r="T301">
        <f t="shared" ca="1" si="92"/>
        <v>43.790064797924586</v>
      </c>
      <c r="U301">
        <f>70</f>
        <v>70</v>
      </c>
      <c r="V301">
        <f>30</f>
        <v>30</v>
      </c>
      <c r="W301">
        <f t="shared" ca="1" si="90"/>
        <v>306.37581552113897</v>
      </c>
      <c r="X301">
        <f t="shared" ca="1" si="100"/>
        <v>304.23280951461851</v>
      </c>
      <c r="Y301">
        <f t="shared" ca="1" si="99"/>
        <v>1.4620915029266826</v>
      </c>
      <c r="Z301">
        <f t="shared" ca="1" si="101"/>
        <v>3.2495861925123681</v>
      </c>
      <c r="AA301">
        <f t="shared" ca="1" si="102"/>
        <v>-1.7874946895856856</v>
      </c>
      <c r="AB301">
        <f t="shared" ca="1" si="103"/>
        <v>296.79610000000014</v>
      </c>
    </row>
    <row r="302" spans="1:28" x14ac:dyDescent="0.25">
      <c r="A302" s="21">
        <f t="shared" ca="1" si="83"/>
        <v>45726</v>
      </c>
      <c r="B302" vm="895">
        <f ca="1"/>
        <v>45730</v>
      </c>
      <c r="C302" vm="896">
        <f ca="1"/>
        <v>299.83</v>
      </c>
      <c r="D302" vm="897">
        <f ca="1"/>
        <v>2696979</v>
      </c>
      <c r="E302">
        <f t="shared" ca="1" si="84"/>
        <v>808635213.56999993</v>
      </c>
      <c r="F302">
        <f ca="1">SUM($E$2:E302)/SUM($D$2:D302)</f>
        <v>283.88348441063596</v>
      </c>
      <c r="G302">
        <f ca="1">_xlfn.STDEV.P($C$2:C302)</f>
        <v>16.903457010458744</v>
      </c>
      <c r="H302">
        <f t="shared" ca="1" si="85"/>
        <v>300.7869414210947</v>
      </c>
      <c r="I302">
        <f t="shared" ca="1" si="86"/>
        <v>266.98002740017722</v>
      </c>
      <c r="J302">
        <f t="shared" ca="1" si="95"/>
        <v>306.69649999999996</v>
      </c>
      <c r="K302">
        <f t="shared" ca="1" si="96"/>
        <v>5.6778352759702972</v>
      </c>
      <c r="L302">
        <f t="shared" ca="1" si="97"/>
        <v>318.05217055194055</v>
      </c>
      <c r="M302">
        <f t="shared" ca="1" si="98"/>
        <v>295.34082944805937</v>
      </c>
      <c r="N302">
        <f t="shared" ca="1" si="87"/>
        <v>2.3299999999999841</v>
      </c>
      <c r="O302">
        <f t="shared" ca="1" si="88"/>
        <v>2.3299999999999841</v>
      </c>
      <c r="P302">
        <f t="shared" ca="1" si="89"/>
        <v>0</v>
      </c>
      <c r="Q302">
        <f t="shared" ca="1" si="93"/>
        <v>1.8138251949906976</v>
      </c>
      <c r="R302">
        <f t="shared" ca="1" si="94"/>
        <v>2.1146362283285263</v>
      </c>
      <c r="S302">
        <f t="shared" ca="1" si="91"/>
        <v>0.85774809430196941</v>
      </c>
      <c r="T302">
        <f t="shared" ca="1" si="92"/>
        <v>46.171388733102688</v>
      </c>
      <c r="U302">
        <f>70</f>
        <v>70</v>
      </c>
      <c r="V302">
        <f>30</f>
        <v>30</v>
      </c>
      <c r="W302">
        <f t="shared" ca="1" si="90"/>
        <v>305.36876697942529</v>
      </c>
      <c r="X302">
        <f t="shared" ca="1" si="100"/>
        <v>303.90667547649861</v>
      </c>
      <c r="Y302">
        <f t="shared" ca="1" si="99"/>
        <v>1.2422058775705977</v>
      </c>
      <c r="Z302">
        <f t="shared" ca="1" si="101"/>
        <v>2.8481101295240139</v>
      </c>
      <c r="AA302">
        <f t="shared" ca="1" si="102"/>
        <v>-1.6059042519534161</v>
      </c>
      <c r="AB302">
        <f t="shared" ca="1" si="103"/>
        <v>296.64740000000012</v>
      </c>
    </row>
    <row r="303" spans="1:28" x14ac:dyDescent="0.25">
      <c r="A303" s="21">
        <f t="shared" ca="1" si="83"/>
        <v>45733</v>
      </c>
      <c r="B303" vm="898">
        <f ca="1"/>
        <v>45733</v>
      </c>
      <c r="C303" vm="899">
        <f ca="1"/>
        <v>303.97000000000003</v>
      </c>
      <c r="D303" vm="900">
        <f ca="1"/>
        <v>2758628</v>
      </c>
      <c r="E303">
        <f t="shared" ca="1" si="84"/>
        <v>838540153.16000009</v>
      </c>
      <c r="F303">
        <f ca="1">SUM($E$2:E303)/SUM($D$2:D303)</f>
        <v>283.93671409154496</v>
      </c>
      <c r="G303">
        <f ca="1">_xlfn.STDEV.P($C$2:C303)</f>
        <v>16.911166999575499</v>
      </c>
      <c r="H303">
        <f t="shared" ca="1" si="85"/>
        <v>300.84788109112048</v>
      </c>
      <c r="I303">
        <f t="shared" ca="1" si="86"/>
        <v>267.02554709196943</v>
      </c>
      <c r="J303">
        <f t="shared" ca="1" si="95"/>
        <v>306.46749999999997</v>
      </c>
      <c r="K303">
        <f t="shared" ca="1" si="96"/>
        <v>5.6914893758830418</v>
      </c>
      <c r="L303">
        <f t="shared" ca="1" si="97"/>
        <v>317.85047875176605</v>
      </c>
      <c r="M303">
        <f t="shared" ca="1" si="98"/>
        <v>295.0845212482339</v>
      </c>
      <c r="N303">
        <f t="shared" ca="1" si="87"/>
        <v>4.1400000000000432</v>
      </c>
      <c r="O303">
        <f t="shared" ca="1" si="88"/>
        <v>4.1400000000000432</v>
      </c>
      <c r="P303">
        <f t="shared" ca="1" si="89"/>
        <v>0</v>
      </c>
      <c r="Q303">
        <f t="shared" ca="1" si="93"/>
        <v>1.9799805382056508</v>
      </c>
      <c r="R303">
        <f t="shared" ca="1" si="94"/>
        <v>1.9635907834479174</v>
      </c>
      <c r="S303">
        <f t="shared" ca="1" si="91"/>
        <v>1.0083468281150487</v>
      </c>
      <c r="T303">
        <f t="shared" ca="1" si="92"/>
        <v>50.207803453024169</v>
      </c>
      <c r="U303">
        <f>70</f>
        <v>70</v>
      </c>
      <c r="V303">
        <f>30</f>
        <v>30</v>
      </c>
      <c r="W303">
        <f t="shared" ca="1" si="90"/>
        <v>305.15357205951375</v>
      </c>
      <c r="X303">
        <f t="shared" ca="1" si="100"/>
        <v>303.91136618194315</v>
      </c>
      <c r="Y303">
        <f t="shared" ca="1" si="99"/>
        <v>1.026258953116951</v>
      </c>
      <c r="Z303">
        <f t="shared" ca="1" si="101"/>
        <v>2.4837398942426017</v>
      </c>
      <c r="AA303">
        <f t="shared" ca="1" si="102"/>
        <v>-1.4574809411256506</v>
      </c>
      <c r="AB303">
        <f t="shared" ca="1" si="103"/>
        <v>296.52150000000012</v>
      </c>
    </row>
    <row r="304" spans="1:28" x14ac:dyDescent="0.25">
      <c r="A304" s="21">
        <f t="shared" ca="1" si="83"/>
        <v>45733</v>
      </c>
      <c r="B304" vm="901">
        <f ca="1"/>
        <v>45734</v>
      </c>
      <c r="C304" vm="902">
        <f ca="1"/>
        <v>303.60000000000002</v>
      </c>
      <c r="D304" vm="903">
        <f ca="1"/>
        <v>2435418</v>
      </c>
      <c r="E304">
        <f t="shared" ca="1" si="84"/>
        <v>739392904.80000007</v>
      </c>
      <c r="F304">
        <f ca="1">SUM($E$2:E304)/SUM($D$2:D304)</f>
        <v>283.98260967143511</v>
      </c>
      <c r="G304">
        <f ca="1">_xlfn.STDEV.P($C$2:C304)</f>
        <v>16.917230148095395</v>
      </c>
      <c r="H304">
        <f t="shared" ca="1" si="85"/>
        <v>300.89983981953048</v>
      </c>
      <c r="I304">
        <f t="shared" ca="1" si="86"/>
        <v>267.06537952333974</v>
      </c>
      <c r="J304">
        <f t="shared" ca="1" si="95"/>
        <v>306.40600000000001</v>
      </c>
      <c r="K304">
        <f t="shared" ca="1" si="96"/>
        <v>5.716704424201434</v>
      </c>
      <c r="L304">
        <f t="shared" ca="1" si="97"/>
        <v>317.83940884840285</v>
      </c>
      <c r="M304">
        <f t="shared" ca="1" si="98"/>
        <v>294.97259115159716</v>
      </c>
      <c r="N304">
        <f t="shared" ca="1" si="87"/>
        <v>-0.37000000000000455</v>
      </c>
      <c r="O304">
        <f t="shared" ca="1" si="88"/>
        <v>0</v>
      </c>
      <c r="P304">
        <f t="shared" ca="1" si="89"/>
        <v>0.37000000000000455</v>
      </c>
      <c r="Q304">
        <f t="shared" ca="1" si="93"/>
        <v>1.8385533569052472</v>
      </c>
      <c r="R304">
        <f t="shared" ca="1" si="94"/>
        <v>1.849762870344495</v>
      </c>
      <c r="S304">
        <f t="shared" ca="1" si="91"/>
        <v>0.99394002678994187</v>
      </c>
      <c r="T304">
        <f t="shared" ca="1" si="92"/>
        <v>49.848040233692132</v>
      </c>
      <c r="U304">
        <f>70</f>
        <v>70</v>
      </c>
      <c r="V304">
        <f>30</f>
        <v>30</v>
      </c>
      <c r="W304">
        <f t="shared" ca="1" si="90"/>
        <v>304.91456097343467</v>
      </c>
      <c r="X304">
        <f t="shared" ca="1" si="100"/>
        <v>303.88830202031772</v>
      </c>
      <c r="Y304">
        <f t="shared" ca="1" si="99"/>
        <v>1.1102178134098608</v>
      </c>
      <c r="Z304">
        <f t="shared" ca="1" si="101"/>
        <v>2.2090354780760535</v>
      </c>
      <c r="AA304">
        <f t="shared" ca="1" si="102"/>
        <v>-1.0988176646661927</v>
      </c>
      <c r="AB304">
        <f t="shared" ca="1" si="103"/>
        <v>296.40860000000009</v>
      </c>
    </row>
    <row r="305" spans="1:28" x14ac:dyDescent="0.25">
      <c r="A305" s="21">
        <f t="shared" ca="1" si="83"/>
        <v>45733</v>
      </c>
      <c r="B305" vm="904">
        <f ca="1"/>
        <v>45735</v>
      </c>
      <c r="C305" vm="905">
        <f ca="1"/>
        <v>306.92</v>
      </c>
      <c r="D305" vm="906">
        <f ca="1"/>
        <v>2812212</v>
      </c>
      <c r="E305">
        <f t="shared" ca="1" si="84"/>
        <v>863124107.04000008</v>
      </c>
      <c r="F305">
        <f ca="1">SUM($E$2:E305)/SUM($D$2:D305)</f>
        <v>284.04426411559393</v>
      </c>
      <c r="G305">
        <f ca="1">_xlfn.STDEV.P($C$2:C305)</f>
        <v>16.936072872503658</v>
      </c>
      <c r="H305">
        <f t="shared" ca="1" si="85"/>
        <v>300.98033698809758</v>
      </c>
      <c r="I305">
        <f t="shared" ca="1" si="86"/>
        <v>267.10819124309029</v>
      </c>
      <c r="J305">
        <f t="shared" ca="1" si="95"/>
        <v>306.65500000000003</v>
      </c>
      <c r="K305">
        <f t="shared" ca="1" si="96"/>
        <v>5.6195734057985174</v>
      </c>
      <c r="L305">
        <f t="shared" ca="1" si="97"/>
        <v>317.89414681159707</v>
      </c>
      <c r="M305">
        <f t="shared" ca="1" si="98"/>
        <v>295.41585318840299</v>
      </c>
      <c r="N305">
        <f t="shared" ca="1" si="87"/>
        <v>3.3199999999999932</v>
      </c>
      <c r="O305">
        <f t="shared" ca="1" si="88"/>
        <v>3.3199999999999932</v>
      </c>
      <c r="P305">
        <f t="shared" ca="1" si="89"/>
        <v>0</v>
      </c>
      <c r="Q305">
        <f t="shared" ca="1" si="93"/>
        <v>1.9443709742691575</v>
      </c>
      <c r="R305">
        <f t="shared" ca="1" si="94"/>
        <v>1.717636951034174</v>
      </c>
      <c r="S305">
        <f t="shared" ca="1" si="91"/>
        <v>1.1320034615571521</v>
      </c>
      <c r="T305">
        <f t="shared" ca="1" si="92"/>
        <v>53.095760957647336</v>
      </c>
      <c r="U305">
        <f>70</f>
        <v>70</v>
      </c>
      <c r="V305">
        <f>30</f>
        <v>30</v>
      </c>
      <c r="W305">
        <f t="shared" ca="1" si="90"/>
        <v>305.22309005444475</v>
      </c>
      <c r="X305">
        <f t="shared" ca="1" si="100"/>
        <v>304.11287224103489</v>
      </c>
      <c r="Y305">
        <f t="shared" ca="1" si="99"/>
        <v>1.1697272587855423</v>
      </c>
      <c r="Z305">
        <f t="shared" ca="1" si="101"/>
        <v>2.0011738342179513</v>
      </c>
      <c r="AA305">
        <f t="shared" ca="1" si="102"/>
        <v>-0.83144657543240896</v>
      </c>
      <c r="AB305">
        <f t="shared" ca="1" si="103"/>
        <v>296.33090000000004</v>
      </c>
    </row>
    <row r="306" spans="1:28" x14ac:dyDescent="0.25">
      <c r="A306" s="21">
        <f t="shared" ca="1" si="83"/>
        <v>45733</v>
      </c>
      <c r="B306" vm="907">
        <f ca="1"/>
        <v>45736</v>
      </c>
      <c r="C306" vm="908">
        <f ca="1"/>
        <v>307</v>
      </c>
      <c r="D306" vm="909">
        <f ca="1"/>
        <v>2723487</v>
      </c>
      <c r="E306">
        <f t="shared" ca="1" si="84"/>
        <v>836110509</v>
      </c>
      <c r="F306">
        <f ca="1">SUM($E$2:E306)/SUM($D$2:D306)</f>
        <v>284.10386597241325</v>
      </c>
      <c r="G306">
        <f ca="1">_xlfn.STDEV.P($C$2:C306)</f>
        <v>16.954804824247486</v>
      </c>
      <c r="H306">
        <f t="shared" ca="1" si="85"/>
        <v>301.05867079666075</v>
      </c>
      <c r="I306">
        <f t="shared" ca="1" si="86"/>
        <v>267.14906114816574</v>
      </c>
      <c r="J306">
        <f t="shared" ca="1" si="95"/>
        <v>306.85250000000002</v>
      </c>
      <c r="K306">
        <f t="shared" ca="1" si="96"/>
        <v>5.5552505983552498</v>
      </c>
      <c r="L306">
        <f t="shared" ca="1" si="97"/>
        <v>317.96300119671054</v>
      </c>
      <c r="M306">
        <f t="shared" ca="1" si="98"/>
        <v>295.7419988032895</v>
      </c>
      <c r="N306">
        <f t="shared" ca="1" si="87"/>
        <v>7.9999999999984084E-2</v>
      </c>
      <c r="O306">
        <f t="shared" ca="1" si="88"/>
        <v>7.9999999999984084E-2</v>
      </c>
      <c r="P306">
        <f t="shared" ca="1" si="89"/>
        <v>0</v>
      </c>
      <c r="Q306">
        <f t="shared" ca="1" si="93"/>
        <v>1.8112016189642166</v>
      </c>
      <c r="R306">
        <f t="shared" ca="1" si="94"/>
        <v>1.594948597388876</v>
      </c>
      <c r="S306">
        <f t="shared" ca="1" si="91"/>
        <v>1.1355862012916109</v>
      </c>
      <c r="T306">
        <f t="shared" ca="1" si="92"/>
        <v>53.174449273216126</v>
      </c>
      <c r="U306">
        <f>70</f>
        <v>70</v>
      </c>
      <c r="V306">
        <f>30</f>
        <v>30</v>
      </c>
      <c r="W306">
        <f t="shared" ca="1" si="90"/>
        <v>305.49646081529937</v>
      </c>
      <c r="X306">
        <f t="shared" ca="1" si="100"/>
        <v>304.32673355651383</v>
      </c>
      <c r="Y306">
        <f t="shared" ca="1" si="99"/>
        <v>1.0785767985097436</v>
      </c>
      <c r="Z306">
        <f t="shared" ca="1" si="101"/>
        <v>1.8166544270763099</v>
      </c>
      <c r="AA306">
        <f t="shared" ca="1" si="102"/>
        <v>-0.73807762856656622</v>
      </c>
      <c r="AB306">
        <f t="shared" ca="1" si="103"/>
        <v>296.41520000000003</v>
      </c>
    </row>
    <row r="307" spans="1:28" x14ac:dyDescent="0.25">
      <c r="A307" s="21">
        <f t="shared" ca="1" si="83"/>
        <v>45733</v>
      </c>
      <c r="B307" vm="910">
        <f ca="1"/>
        <v>45737</v>
      </c>
      <c r="C307" vm="911">
        <f ca="1"/>
        <v>305.44</v>
      </c>
      <c r="D307" vm="912">
        <f ca="1"/>
        <v>6016138</v>
      </c>
      <c r="E307">
        <f t="shared" ca="1" si="84"/>
        <v>1837569190.72</v>
      </c>
      <c r="F307">
        <f ca="1">SUM($E$2:E307)/SUM($D$2:D307)</f>
        <v>284.22553864925055</v>
      </c>
      <c r="G307">
        <f ca="1">_xlfn.STDEV.P($C$2:C307)</f>
        <v>16.96677249413521</v>
      </c>
      <c r="H307">
        <f t="shared" ca="1" si="85"/>
        <v>301.19231114338578</v>
      </c>
      <c r="I307">
        <f t="shared" ca="1" si="86"/>
        <v>267.25876615511532</v>
      </c>
      <c r="J307">
        <f t="shared" ca="1" si="95"/>
        <v>306.88400000000001</v>
      </c>
      <c r="K307">
        <f t="shared" ca="1" si="96"/>
        <v>5.5448358145689367</v>
      </c>
      <c r="L307">
        <f t="shared" ca="1" si="97"/>
        <v>317.97367162913787</v>
      </c>
      <c r="M307">
        <f t="shared" ca="1" si="98"/>
        <v>295.79432837086216</v>
      </c>
      <c r="N307">
        <f t="shared" ca="1" si="87"/>
        <v>-1.5600000000000023</v>
      </c>
      <c r="O307">
        <f t="shared" ca="1" si="88"/>
        <v>0</v>
      </c>
      <c r="P307">
        <f t="shared" ca="1" si="89"/>
        <v>1.5600000000000023</v>
      </c>
      <c r="Q307">
        <f t="shared" ca="1" si="93"/>
        <v>1.6818300747524868</v>
      </c>
      <c r="R307">
        <f t="shared" ca="1" si="94"/>
        <v>1.5924522690039564</v>
      </c>
      <c r="S307">
        <f t="shared" ca="1" si="91"/>
        <v>1.0561258930570234</v>
      </c>
      <c r="T307">
        <f t="shared" ca="1" si="92"/>
        <v>51.364845733584346</v>
      </c>
      <c r="U307">
        <f>70</f>
        <v>70</v>
      </c>
      <c r="V307">
        <f>30</f>
        <v>30</v>
      </c>
      <c r="W307">
        <f t="shared" ca="1" si="90"/>
        <v>305.48777453602253</v>
      </c>
      <c r="X307">
        <f t="shared" ca="1" si="100"/>
        <v>304.40919773751278</v>
      </c>
      <c r="Y307">
        <f t="shared" ca="1" si="99"/>
        <v>1.0132187250912921</v>
      </c>
      <c r="Z307">
        <f t="shared" ca="1" si="101"/>
        <v>1.6559672866793065</v>
      </c>
      <c r="AA307">
        <f t="shared" ca="1" si="102"/>
        <v>-0.64274856158801441</v>
      </c>
      <c r="AB307">
        <f t="shared" ca="1" si="103"/>
        <v>296.4538</v>
      </c>
    </row>
    <row r="308" spans="1:28" x14ac:dyDescent="0.25">
      <c r="A308" s="21">
        <f t="shared" ca="1" si="83"/>
        <v>45740</v>
      </c>
      <c r="B308" vm="913">
        <f ca="1"/>
        <v>45740</v>
      </c>
      <c r="C308" vm="914">
        <f ca="1"/>
        <v>305.67</v>
      </c>
      <c r="D308" vm="915">
        <f ca="1"/>
        <v>3443511</v>
      </c>
      <c r="E308">
        <f t="shared" ca="1" si="84"/>
        <v>1052578007.37</v>
      </c>
      <c r="F308">
        <f ca="1">SUM($E$2:E308)/SUM($D$2:D308)</f>
        <v>284.295307391645</v>
      </c>
      <c r="G308">
        <f ca="1">_xlfn.STDEV.P($C$2:C308)</f>
        <v>16.979292550575909</v>
      </c>
      <c r="H308">
        <f t="shared" ca="1" si="85"/>
        <v>301.2745999422209</v>
      </c>
      <c r="I308">
        <f t="shared" ca="1" si="86"/>
        <v>267.31601484106909</v>
      </c>
      <c r="J308">
        <f t="shared" ca="1" si="95"/>
        <v>306.78900000000004</v>
      </c>
      <c r="K308">
        <f t="shared" ca="1" si="96"/>
        <v>5.5487389748055698</v>
      </c>
      <c r="L308">
        <f t="shared" ca="1" si="97"/>
        <v>317.88647794961116</v>
      </c>
      <c r="M308">
        <f t="shared" ca="1" si="98"/>
        <v>295.69152205038893</v>
      </c>
      <c r="N308">
        <f t="shared" ca="1" si="87"/>
        <v>0.23000000000001819</v>
      </c>
      <c r="O308">
        <f t="shared" ca="1" si="88"/>
        <v>0.23000000000001819</v>
      </c>
      <c r="P308">
        <f t="shared" ca="1" si="89"/>
        <v>0</v>
      </c>
      <c r="Q308">
        <f t="shared" ca="1" si="93"/>
        <v>1.5781279265558819</v>
      </c>
      <c r="R308">
        <f t="shared" ca="1" si="94"/>
        <v>1.4787056783608166</v>
      </c>
      <c r="S308">
        <f t="shared" ca="1" si="91"/>
        <v>1.067235995404628</v>
      </c>
      <c r="T308">
        <f t="shared" ca="1" si="92"/>
        <v>51.626229311846608</v>
      </c>
      <c r="U308">
        <f>70</f>
        <v>70</v>
      </c>
      <c r="V308">
        <f>30</f>
        <v>30</v>
      </c>
      <c r="W308">
        <f t="shared" ca="1" si="90"/>
        <v>305.51580922278833</v>
      </c>
      <c r="X308">
        <f t="shared" ca="1" si="100"/>
        <v>304.50259049769704</v>
      </c>
      <c r="Y308">
        <f t="shared" ca="1" si="99"/>
        <v>1.0501807048905789</v>
      </c>
      <c r="Z308">
        <f t="shared" ca="1" si="101"/>
        <v>1.534809970321561</v>
      </c>
      <c r="AA308">
        <f t="shared" ca="1" si="102"/>
        <v>-0.48462926543098206</v>
      </c>
      <c r="AB308">
        <f t="shared" ca="1" si="103"/>
        <v>296.58439999999996</v>
      </c>
    </row>
    <row r="309" spans="1:28" x14ac:dyDescent="0.25">
      <c r="A309" s="21">
        <f t="shared" ca="1" si="83"/>
        <v>45740</v>
      </c>
      <c r="B309" vm="916">
        <f ca="1"/>
        <v>45741</v>
      </c>
      <c r="C309" vm="905">
        <f ca="1"/>
        <v>306.92</v>
      </c>
      <c r="D309" vm="917">
        <f ca="1"/>
        <v>2657170</v>
      </c>
      <c r="E309">
        <f t="shared" ca="1" si="84"/>
        <v>815538616.4000001</v>
      </c>
      <c r="F309">
        <f ca="1">SUM($E$2:E309)/SUM($D$2:D309)</f>
        <v>284.35196488643692</v>
      </c>
      <c r="G309">
        <f ca="1">_xlfn.STDEV.P($C$2:C309)</f>
        <v>16.996472265257079</v>
      </c>
      <c r="H309">
        <f t="shared" ca="1" si="85"/>
        <v>301.34843715169399</v>
      </c>
      <c r="I309">
        <f t="shared" ca="1" si="86"/>
        <v>267.35549262117985</v>
      </c>
      <c r="J309">
        <f t="shared" ca="1" si="95"/>
        <v>306.59899999999999</v>
      </c>
      <c r="K309">
        <f t="shared" ca="1" si="96"/>
        <v>5.471572370948441</v>
      </c>
      <c r="L309">
        <f t="shared" ca="1" si="97"/>
        <v>317.54214474189689</v>
      </c>
      <c r="M309">
        <f t="shared" ca="1" si="98"/>
        <v>295.65585525810309</v>
      </c>
      <c r="N309">
        <f t="shared" ca="1" si="87"/>
        <v>1.25</v>
      </c>
      <c r="O309">
        <f t="shared" ca="1" si="88"/>
        <v>1.25</v>
      </c>
      <c r="P309">
        <f t="shared" ca="1" si="89"/>
        <v>0</v>
      </c>
      <c r="Q309">
        <f t="shared" ca="1" si="93"/>
        <v>1.5546902175161761</v>
      </c>
      <c r="R309">
        <f t="shared" ca="1" si="94"/>
        <v>1.3730838441921869</v>
      </c>
      <c r="S309">
        <f t="shared" ca="1" si="91"/>
        <v>1.1322616780411046</v>
      </c>
      <c r="T309">
        <f t="shared" ca="1" si="92"/>
        <v>53.101441052080737</v>
      </c>
      <c r="U309">
        <f>70</f>
        <v>70</v>
      </c>
      <c r="V309">
        <f>30</f>
        <v>30</v>
      </c>
      <c r="W309">
        <f t="shared" ca="1" si="90"/>
        <v>305.73183857312858</v>
      </c>
      <c r="X309">
        <f t="shared" ca="1" si="100"/>
        <v>304.68165786823801</v>
      </c>
      <c r="Y309">
        <f t="shared" ca="1" si="99"/>
        <v>1.5984537009738347</v>
      </c>
      <c r="Z309">
        <f t="shared" ca="1" si="101"/>
        <v>1.5475387164520158</v>
      </c>
      <c r="AA309">
        <f t="shared" ca="1" si="102"/>
        <v>5.0914984521818862E-2</v>
      </c>
      <c r="AB309">
        <f t="shared" ca="1" si="103"/>
        <v>296.68569999999994</v>
      </c>
    </row>
    <row r="310" spans="1:28" x14ac:dyDescent="0.25">
      <c r="A310" s="21">
        <f t="shared" ca="1" si="83"/>
        <v>45740</v>
      </c>
      <c r="B310" vm="918">
        <f ca="1"/>
        <v>45742</v>
      </c>
      <c r="C310" vm="919">
        <f ca="1"/>
        <v>313.58</v>
      </c>
      <c r="D310" vm="920">
        <f ca="1"/>
        <v>2624998</v>
      </c>
      <c r="E310">
        <f t="shared" ca="1" si="84"/>
        <v>823146872.83999991</v>
      </c>
      <c r="F310">
        <f ca="1">SUM($E$2:E310)/SUM($D$2:D310)</f>
        <v>284.42409404356579</v>
      </c>
      <c r="G310">
        <f ca="1">_xlfn.STDEV.P($C$2:C310)</f>
        <v>17.044686852874356</v>
      </c>
      <c r="H310">
        <f t="shared" ca="1" si="85"/>
        <v>301.46878089644014</v>
      </c>
      <c r="I310">
        <f t="shared" ca="1" si="86"/>
        <v>267.37940719069144</v>
      </c>
      <c r="J310">
        <f t="shared" ca="1" si="95"/>
        <v>307.06450000000001</v>
      </c>
      <c r="K310">
        <f t="shared" ca="1" si="96"/>
        <v>5.6559251418778826</v>
      </c>
      <c r="L310">
        <f t="shared" ca="1" si="97"/>
        <v>318.37635028375576</v>
      </c>
      <c r="M310">
        <f t="shared" ca="1" si="98"/>
        <v>295.75264971624426</v>
      </c>
      <c r="N310">
        <f t="shared" ca="1" si="87"/>
        <v>6.6599999999999682</v>
      </c>
      <c r="O310">
        <f t="shared" ca="1" si="88"/>
        <v>6.6599999999999682</v>
      </c>
      <c r="P310">
        <f t="shared" ca="1" si="89"/>
        <v>0</v>
      </c>
      <c r="Q310">
        <f t="shared" ca="1" si="93"/>
        <v>1.9193552019793041</v>
      </c>
      <c r="R310">
        <f t="shared" ca="1" si="94"/>
        <v>1.275006426749888</v>
      </c>
      <c r="S310">
        <f t="shared" ca="1" si="91"/>
        <v>1.5053690410580298</v>
      </c>
      <c r="T310">
        <f t="shared" ca="1" si="92"/>
        <v>60.085720562041629</v>
      </c>
      <c r="U310">
        <f>70</f>
        <v>70</v>
      </c>
      <c r="V310">
        <f>30</f>
        <v>30</v>
      </c>
      <c r="W310">
        <f t="shared" ca="1" si="90"/>
        <v>306.93924802341644</v>
      </c>
      <c r="X310">
        <f t="shared" ca="1" si="100"/>
        <v>305.3407943224426</v>
      </c>
      <c r="Y310">
        <f t="shared" ca="1" si="99"/>
        <v>1.9387991685493944</v>
      </c>
      <c r="Z310">
        <f t="shared" ca="1" si="101"/>
        <v>1.6257908068714917</v>
      </c>
      <c r="AA310">
        <f t="shared" ca="1" si="102"/>
        <v>0.31300836167790269</v>
      </c>
      <c r="AB310">
        <f t="shared" ca="1" si="103"/>
        <v>296.87150000000003</v>
      </c>
    </row>
    <row r="311" spans="1:28" x14ac:dyDescent="0.25">
      <c r="A311" s="21">
        <f t="shared" ca="1" si="83"/>
        <v>45740</v>
      </c>
      <c r="B311" vm="921">
        <f ca="1"/>
        <v>45743</v>
      </c>
      <c r="C311" vm="922">
        <f ca="1"/>
        <v>312.69</v>
      </c>
      <c r="D311" vm="923">
        <f ca="1"/>
        <v>3119455</v>
      </c>
      <c r="E311">
        <f t="shared" ca="1" si="84"/>
        <v>975422383.95000005</v>
      </c>
      <c r="F311">
        <f ca="1">SUM($E$2:E311)/SUM($D$2:D311)</f>
        <v>284.50674580675741</v>
      </c>
      <c r="G311">
        <f ca="1">_xlfn.STDEV.P($C$2:C311)</f>
        <v>17.087328699425381</v>
      </c>
      <c r="H311">
        <f t="shared" ca="1" si="85"/>
        <v>301.59407450618278</v>
      </c>
      <c r="I311">
        <f t="shared" ca="1" si="86"/>
        <v>267.41941710733204</v>
      </c>
      <c r="J311">
        <f t="shared" ca="1" si="95"/>
        <v>307.20149999999995</v>
      </c>
      <c r="K311">
        <f t="shared" ca="1" si="96"/>
        <v>5.7616931676283114</v>
      </c>
      <c r="L311">
        <f t="shared" ca="1" si="97"/>
        <v>318.7248863352566</v>
      </c>
      <c r="M311">
        <f t="shared" ca="1" si="98"/>
        <v>295.67811366474331</v>
      </c>
      <c r="N311">
        <f t="shared" ca="1" si="87"/>
        <v>-0.88999999999998636</v>
      </c>
      <c r="O311">
        <f t="shared" ca="1" si="88"/>
        <v>0</v>
      </c>
      <c r="P311">
        <f t="shared" ca="1" si="89"/>
        <v>0.88999999999998636</v>
      </c>
      <c r="Q311">
        <f t="shared" ca="1" si="93"/>
        <v>1.7822584018379253</v>
      </c>
      <c r="R311">
        <f t="shared" ca="1" si="94"/>
        <v>1.2475059676963236</v>
      </c>
      <c r="S311">
        <f t="shared" ca="1" si="91"/>
        <v>1.4286572152669452</v>
      </c>
      <c r="T311">
        <f t="shared" ca="1" si="92"/>
        <v>58.824983875294016</v>
      </c>
      <c r="U311">
        <f>70</f>
        <v>70</v>
      </c>
      <c r="V311">
        <f>30</f>
        <v>30</v>
      </c>
      <c r="W311">
        <f t="shared" ca="1" si="90"/>
        <v>307.82397909673699</v>
      </c>
      <c r="X311">
        <f t="shared" ca="1" si="100"/>
        <v>305.8851799281876</v>
      </c>
      <c r="Y311">
        <f t="shared" ca="1" si="99"/>
        <v>1.7366333762675481</v>
      </c>
      <c r="Z311">
        <f t="shared" ca="1" si="101"/>
        <v>1.6479593207507031</v>
      </c>
      <c r="AA311">
        <f t="shared" ca="1" si="102"/>
        <v>8.8674055516845041E-2</v>
      </c>
      <c r="AB311">
        <f t="shared" ca="1" si="103"/>
        <v>297.08319999999998</v>
      </c>
    </row>
    <row r="312" spans="1:28" x14ac:dyDescent="0.25">
      <c r="A312" s="21">
        <f t="shared" ca="1" si="83"/>
        <v>45740</v>
      </c>
      <c r="B312" vm="924">
        <f ca="1"/>
        <v>45744</v>
      </c>
      <c r="C312" vm="925">
        <f ca="1"/>
        <v>307.08999999999997</v>
      </c>
      <c r="D312" vm="926">
        <f ca="1"/>
        <v>3211862</v>
      </c>
      <c r="E312">
        <f t="shared" ca="1" si="84"/>
        <v>986330701.57999992</v>
      </c>
      <c r="F312">
        <f ca="1">SUM($E$2:E312)/SUM($D$2:D312)</f>
        <v>284.57453310462046</v>
      </c>
      <c r="G312">
        <f ca="1">_xlfn.STDEV.P($C$2:C312)</f>
        <v>17.10356725460473</v>
      </c>
      <c r="H312">
        <f t="shared" ca="1" si="85"/>
        <v>301.6781003592252</v>
      </c>
      <c r="I312">
        <f t="shared" ca="1" si="86"/>
        <v>267.47096585001572</v>
      </c>
      <c r="J312">
        <f t="shared" ca="1" si="95"/>
        <v>307.13949999999994</v>
      </c>
      <c r="K312">
        <f t="shared" ca="1" si="96"/>
        <v>5.7555789639728117</v>
      </c>
      <c r="L312">
        <f t="shared" ca="1" si="97"/>
        <v>318.65065792794559</v>
      </c>
      <c r="M312">
        <f t="shared" ca="1" si="98"/>
        <v>295.62834207205429</v>
      </c>
      <c r="N312">
        <f t="shared" ca="1" si="87"/>
        <v>-5.6000000000000227</v>
      </c>
      <c r="O312">
        <f t="shared" ca="1" si="88"/>
        <v>0</v>
      </c>
      <c r="P312">
        <f t="shared" ca="1" si="89"/>
        <v>5.6000000000000227</v>
      </c>
      <c r="Q312">
        <f t="shared" ca="1" si="93"/>
        <v>1.6549542302780735</v>
      </c>
      <c r="R312">
        <f t="shared" ca="1" si="94"/>
        <v>1.5583983985751593</v>
      </c>
      <c r="S312">
        <f t="shared" ca="1" si="91"/>
        <v>1.0619583745666032</v>
      </c>
      <c r="T312">
        <f t="shared" ca="1" si="92"/>
        <v>51.502415745410623</v>
      </c>
      <c r="U312">
        <f>70</f>
        <v>70</v>
      </c>
      <c r="V312">
        <f>30</f>
        <v>30</v>
      </c>
      <c r="W312">
        <f t="shared" ca="1" si="90"/>
        <v>307.71105923570053</v>
      </c>
      <c r="X312">
        <f t="shared" ca="1" si="100"/>
        <v>305.97442585943298</v>
      </c>
      <c r="Y312">
        <f t="shared" ca="1" si="99"/>
        <v>1.9796472612174512</v>
      </c>
      <c r="Z312">
        <f t="shared" ca="1" si="101"/>
        <v>1.7142969088440527</v>
      </c>
      <c r="AA312">
        <f t="shared" ca="1" si="102"/>
        <v>0.26535035237339843</v>
      </c>
      <c r="AB312">
        <f t="shared" ca="1" si="103"/>
        <v>297.233</v>
      </c>
    </row>
    <row r="313" spans="1:28" x14ac:dyDescent="0.25">
      <c r="A313" s="21">
        <f t="shared" ca="1" si="83"/>
        <v>45747</v>
      </c>
      <c r="B313" vm="927">
        <f ca="1"/>
        <v>45747</v>
      </c>
      <c r="C313" vm="928">
        <f ca="1"/>
        <v>312.37</v>
      </c>
      <c r="D313" vm="929">
        <f ca="1"/>
        <v>4418823</v>
      </c>
      <c r="E313">
        <f t="shared" ca="1" si="84"/>
        <v>1380307740.51</v>
      </c>
      <c r="F313">
        <f ca="1">SUM($E$2:E313)/SUM($D$2:D313)</f>
        <v>284.68884612966707</v>
      </c>
      <c r="G313">
        <f ca="1">_xlfn.STDEV.P($C$2:C313)</f>
        <v>17.14319847160699</v>
      </c>
      <c r="H313">
        <f t="shared" ca="1" si="85"/>
        <v>301.83204460127405</v>
      </c>
      <c r="I313">
        <f t="shared" ca="1" si="86"/>
        <v>267.54564765806009</v>
      </c>
      <c r="J313">
        <f t="shared" ca="1" si="95"/>
        <v>307.54349999999999</v>
      </c>
      <c r="K313">
        <f t="shared" ca="1" si="96"/>
        <v>5.8281587550172516</v>
      </c>
      <c r="L313">
        <f t="shared" ca="1" si="97"/>
        <v>319.19981751003451</v>
      </c>
      <c r="M313">
        <f t="shared" ca="1" si="98"/>
        <v>295.88718248996548</v>
      </c>
      <c r="N313">
        <f t="shared" ca="1" si="87"/>
        <v>5.2800000000000296</v>
      </c>
      <c r="O313">
        <f t="shared" ca="1" si="88"/>
        <v>5.2800000000000296</v>
      </c>
      <c r="P313">
        <f t="shared" ca="1" si="89"/>
        <v>0</v>
      </c>
      <c r="Q313">
        <f t="shared" ca="1" si="93"/>
        <v>1.913886070972499</v>
      </c>
      <c r="R313">
        <f t="shared" ca="1" si="94"/>
        <v>1.4470842272483622</v>
      </c>
      <c r="S313">
        <f t="shared" ca="1" si="91"/>
        <v>1.3225809769288708</v>
      </c>
      <c r="T313">
        <f t="shared" ca="1" si="92"/>
        <v>56.944450594687481</v>
      </c>
      <c r="U313">
        <f>70</f>
        <v>70</v>
      </c>
      <c r="V313">
        <f>30</f>
        <v>30</v>
      </c>
      <c r="W313">
        <f t="shared" ca="1" si="90"/>
        <v>308.42781935328503</v>
      </c>
      <c r="X313">
        <f t="shared" ca="1" si="100"/>
        <v>306.44817209206758</v>
      </c>
      <c r="Y313">
        <f t="shared" ca="1" si="99"/>
        <v>2.2479954928879806</v>
      </c>
      <c r="Z313">
        <f t="shared" ca="1" si="101"/>
        <v>1.8210366256528385</v>
      </c>
      <c r="AA313">
        <f t="shared" ca="1" si="102"/>
        <v>0.42695886723514209</v>
      </c>
      <c r="AB313">
        <f t="shared" ca="1" si="103"/>
        <v>297.40459999999996</v>
      </c>
    </row>
    <row r="314" spans="1:28" x14ac:dyDescent="0.25">
      <c r="A314" s="21">
        <f t="shared" ca="1" si="83"/>
        <v>45747</v>
      </c>
      <c r="B314" vm="930">
        <f ca="1"/>
        <v>45748</v>
      </c>
      <c r="C314" vm="931">
        <f ca="1"/>
        <v>313.63</v>
      </c>
      <c r="D314" vm="932">
        <f ca="1"/>
        <v>2411454</v>
      </c>
      <c r="E314">
        <f t="shared" ca="1" si="84"/>
        <v>756304318.01999998</v>
      </c>
      <c r="F314">
        <f ca="1">SUM($E$2:E314)/SUM($D$2:D314)</f>
        <v>284.75365528149376</v>
      </c>
      <c r="G314">
        <f ca="1">_xlfn.STDEV.P($C$2:C314)</f>
        <v>17.188445563953131</v>
      </c>
      <c r="H314">
        <f t="shared" ca="1" si="85"/>
        <v>301.94210084544687</v>
      </c>
      <c r="I314">
        <f t="shared" ca="1" si="86"/>
        <v>267.56520971754065</v>
      </c>
      <c r="J314">
        <f t="shared" ca="1" si="95"/>
        <v>307.93649999999997</v>
      </c>
      <c r="K314">
        <f t="shared" ca="1" si="96"/>
        <v>5.9656581010771479</v>
      </c>
      <c r="L314">
        <f t="shared" ca="1" si="97"/>
        <v>319.86781620215424</v>
      </c>
      <c r="M314">
        <f t="shared" ca="1" si="98"/>
        <v>296.00518379784569</v>
      </c>
      <c r="N314">
        <f t="shared" ca="1" si="87"/>
        <v>1.2599999999999909</v>
      </c>
      <c r="O314">
        <f t="shared" ca="1" si="88"/>
        <v>1.2599999999999909</v>
      </c>
      <c r="P314">
        <f t="shared" ca="1" si="89"/>
        <v>0</v>
      </c>
      <c r="Q314">
        <f t="shared" ca="1" si="93"/>
        <v>1.8671799230458912</v>
      </c>
      <c r="R314">
        <f t="shared" ca="1" si="94"/>
        <v>1.3437210681591936</v>
      </c>
      <c r="S314">
        <f t="shared" ca="1" si="91"/>
        <v>1.3895591632002917</v>
      </c>
      <c r="T314">
        <f t="shared" ca="1" si="92"/>
        <v>58.151276796146838</v>
      </c>
      <c r="U314">
        <f>70</f>
        <v>70</v>
      </c>
      <c r="V314">
        <f>30</f>
        <v>30</v>
      </c>
      <c r="W314">
        <f t="shared" ca="1" si="90"/>
        <v>309.22815483739498</v>
      </c>
      <c r="X314">
        <f t="shared" ca="1" si="100"/>
        <v>306.980159344507</v>
      </c>
      <c r="Y314">
        <f t="shared" ca="1" si="99"/>
        <v>2.2690888881525666</v>
      </c>
      <c r="Z314">
        <f t="shared" ca="1" si="101"/>
        <v>1.9106470781527842</v>
      </c>
      <c r="AA314">
        <f t="shared" ca="1" si="102"/>
        <v>0.35844180999978237</v>
      </c>
      <c r="AB314">
        <f t="shared" ca="1" si="103"/>
        <v>297.61239999999998</v>
      </c>
    </row>
    <row r="315" spans="1:28" x14ac:dyDescent="0.25">
      <c r="A315" s="21">
        <f t="shared" ca="1" si="83"/>
        <v>45747</v>
      </c>
      <c r="B315" vm="933">
        <f ca="1"/>
        <v>45749</v>
      </c>
      <c r="C315" vm="934">
        <f ca="1"/>
        <v>311.58</v>
      </c>
      <c r="D315" vm="935">
        <f ca="1"/>
        <v>2776755</v>
      </c>
      <c r="E315">
        <f t="shared" ca="1" si="84"/>
        <v>865181322.89999998</v>
      </c>
      <c r="F315">
        <f ca="1">SUM($E$2:E315)/SUM($D$2:D315)</f>
        <v>284.82265100281745</v>
      </c>
      <c r="G315">
        <f ca="1">_xlfn.STDEV.P($C$2:C315)</f>
        <v>17.222680895101416</v>
      </c>
      <c r="H315">
        <f t="shared" ca="1" si="85"/>
        <v>302.04533189791886</v>
      </c>
      <c r="I315">
        <f t="shared" ca="1" si="86"/>
        <v>267.59997010771605</v>
      </c>
      <c r="J315">
        <f t="shared" ca="1" si="95"/>
        <v>308.14299999999997</v>
      </c>
      <c r="K315">
        <f t="shared" ca="1" si="96"/>
        <v>6.019171214150929</v>
      </c>
      <c r="L315">
        <f t="shared" ca="1" si="97"/>
        <v>320.18134242830183</v>
      </c>
      <c r="M315">
        <f t="shared" ca="1" si="98"/>
        <v>296.10465757169811</v>
      </c>
      <c r="N315">
        <f t="shared" ca="1" si="87"/>
        <v>-2.0500000000000114</v>
      </c>
      <c r="O315">
        <f t="shared" ca="1" si="88"/>
        <v>0</v>
      </c>
      <c r="P315">
        <f t="shared" ca="1" si="89"/>
        <v>2.0500000000000114</v>
      </c>
      <c r="Q315">
        <f t="shared" ca="1" si="93"/>
        <v>1.7338099285426132</v>
      </c>
      <c r="R315">
        <f t="shared" ca="1" si="94"/>
        <v>1.3941695632906808</v>
      </c>
      <c r="S315">
        <f t="shared" ca="1" si="91"/>
        <v>1.2436148185951454</v>
      </c>
      <c r="T315">
        <f t="shared" ca="1" si="92"/>
        <v>55.429069566131822</v>
      </c>
      <c r="U315">
        <f>70</f>
        <v>70</v>
      </c>
      <c r="V315">
        <f>30</f>
        <v>30</v>
      </c>
      <c r="W315">
        <f t="shared" ca="1" si="90"/>
        <v>309.58997717010345</v>
      </c>
      <c r="X315">
        <f t="shared" ca="1" si="100"/>
        <v>307.32088828195089</v>
      </c>
      <c r="Y315">
        <f t="shared" ca="1" si="99"/>
        <v>2.7934317033808611</v>
      </c>
      <c r="Z315">
        <f t="shared" ca="1" si="101"/>
        <v>2.0872040031983996</v>
      </c>
      <c r="AA315">
        <f t="shared" ca="1" si="102"/>
        <v>0.7062277001824615</v>
      </c>
      <c r="AB315">
        <f t="shared" ca="1" si="103"/>
        <v>297.755</v>
      </c>
    </row>
    <row r="316" spans="1:28" x14ac:dyDescent="0.25">
      <c r="A316" s="21">
        <f t="shared" ca="1" si="83"/>
        <v>45747</v>
      </c>
      <c r="B316" vm="936">
        <f ca="1"/>
        <v>45750</v>
      </c>
      <c r="C316" vm="937">
        <f ca="1"/>
        <v>318.27</v>
      </c>
      <c r="D316" vm="938">
        <f ca="1"/>
        <v>7023851</v>
      </c>
      <c r="E316">
        <f t="shared" ca="1" si="84"/>
        <v>2235481057.77</v>
      </c>
      <c r="F316">
        <f ca="1">SUM($E$2:E316)/SUM($D$2:D316)</f>
        <v>285.0388450944053</v>
      </c>
      <c r="G316">
        <f ca="1">_xlfn.STDEV.P($C$2:C316)</f>
        <v>17.291905321384895</v>
      </c>
      <c r="H316">
        <f t="shared" ca="1" si="85"/>
        <v>302.33075041579019</v>
      </c>
      <c r="I316">
        <f t="shared" ca="1" si="86"/>
        <v>267.74693977302042</v>
      </c>
      <c r="J316">
        <f t="shared" ca="1" si="95"/>
        <v>308.53800000000001</v>
      </c>
      <c r="K316">
        <f t="shared" ca="1" si="96"/>
        <v>6.4189444943115559</v>
      </c>
      <c r="L316">
        <f t="shared" ca="1" si="97"/>
        <v>321.3758889886231</v>
      </c>
      <c r="M316">
        <f t="shared" ca="1" si="98"/>
        <v>295.70011101137692</v>
      </c>
      <c r="N316">
        <f t="shared" ca="1" si="87"/>
        <v>6.6899999999999977</v>
      </c>
      <c r="O316">
        <f t="shared" ca="1" si="88"/>
        <v>6.6899999999999977</v>
      </c>
      <c r="P316">
        <f t="shared" ca="1" si="89"/>
        <v>0</v>
      </c>
      <c r="Q316">
        <f t="shared" ca="1" si="93"/>
        <v>2.0878235050752836</v>
      </c>
      <c r="R316">
        <f t="shared" ca="1" si="94"/>
        <v>1.2945860230556323</v>
      </c>
      <c r="S316">
        <f t="shared" ca="1" si="91"/>
        <v>1.6127344710144174</v>
      </c>
      <c r="T316">
        <f t="shared" ca="1" si="92"/>
        <v>61.725923124069276</v>
      </c>
      <c r="U316">
        <f>70</f>
        <v>70</v>
      </c>
      <c r="V316">
        <f>30</f>
        <v>30</v>
      </c>
      <c r="W316">
        <f t="shared" ca="1" si="90"/>
        <v>310.92536529777988</v>
      </c>
      <c r="X316">
        <f t="shared" ca="1" si="100"/>
        <v>308.13193359439902</v>
      </c>
      <c r="Y316">
        <f t="shared" ca="1" si="99"/>
        <v>1.7237466531650512</v>
      </c>
      <c r="Z316">
        <f t="shared" ca="1" si="101"/>
        <v>2.0145125331917297</v>
      </c>
      <c r="AA316">
        <f t="shared" ca="1" si="102"/>
        <v>-0.29076588002667858</v>
      </c>
      <c r="AB316">
        <f t="shared" ca="1" si="103"/>
        <v>297.99770000000001</v>
      </c>
    </row>
    <row r="317" spans="1:28" x14ac:dyDescent="0.25">
      <c r="A317" s="21">
        <f t="shared" ca="1" si="83"/>
        <v>45747</v>
      </c>
      <c r="B317" vm="939">
        <f ca="1"/>
        <v>45751</v>
      </c>
      <c r="C317" vm="940">
        <f ca="1"/>
        <v>300.11</v>
      </c>
      <c r="D317" vm="941">
        <f ca="1"/>
        <v>8831090</v>
      </c>
      <c r="E317">
        <f t="shared" ca="1" si="84"/>
        <v>2650298419.9000001</v>
      </c>
      <c r="F317">
        <f ca="1">SUM($E$2:E317)/SUM($D$2:D317)</f>
        <v>285.16033844256282</v>
      </c>
      <c r="G317">
        <f ca="1">_xlfn.STDEV.P($C$2:C317)</f>
        <v>17.282884212446984</v>
      </c>
      <c r="H317">
        <f t="shared" ca="1" si="85"/>
        <v>302.44322265500978</v>
      </c>
      <c r="I317">
        <f t="shared" ca="1" si="86"/>
        <v>267.87745423011586</v>
      </c>
      <c r="J317">
        <f t="shared" ca="1" si="95"/>
        <v>307.47899999999993</v>
      </c>
      <c r="K317">
        <f t="shared" ca="1" si="96"/>
        <v>5.933145877188589</v>
      </c>
      <c r="L317">
        <f t="shared" ca="1" si="97"/>
        <v>319.34529175437712</v>
      </c>
      <c r="M317">
        <f t="shared" ca="1" si="98"/>
        <v>295.61270824562274</v>
      </c>
      <c r="N317">
        <f t="shared" ca="1" si="87"/>
        <v>-18.159999999999968</v>
      </c>
      <c r="O317">
        <f t="shared" ca="1" si="88"/>
        <v>0</v>
      </c>
      <c r="P317">
        <f t="shared" ca="1" si="89"/>
        <v>18.159999999999968</v>
      </c>
      <c r="Q317">
        <f t="shared" ca="1" si="93"/>
        <v>1.9386932547127633</v>
      </c>
      <c r="R317">
        <f t="shared" ca="1" si="94"/>
        <v>2.4992584499802279</v>
      </c>
      <c r="S317">
        <f t="shared" ca="1" si="91"/>
        <v>0.77570739221791996</v>
      </c>
      <c r="T317">
        <f t="shared" ca="1" si="92"/>
        <v>43.684415327518273</v>
      </c>
      <c r="U317">
        <f>70</f>
        <v>70</v>
      </c>
      <c r="V317">
        <f>30</f>
        <v>30</v>
      </c>
      <c r="W317">
        <f t="shared" ca="1" si="90"/>
        <v>309.26146294427525</v>
      </c>
      <c r="X317">
        <f t="shared" ca="1" si="100"/>
        <v>307.5377162911102</v>
      </c>
      <c r="Y317">
        <f t="shared" ca="1" si="99"/>
        <v>0.84848062632175925</v>
      </c>
      <c r="Z317">
        <f t="shared" ca="1" si="101"/>
        <v>1.7813061518177358</v>
      </c>
      <c r="AA317">
        <f t="shared" ca="1" si="102"/>
        <v>-0.93282552549597653</v>
      </c>
      <c r="AB317">
        <f t="shared" ca="1" si="103"/>
        <v>298.05220000000003</v>
      </c>
    </row>
    <row r="318" spans="1:28" x14ac:dyDescent="0.25">
      <c r="A318" s="21">
        <f t="shared" ca="1" si="83"/>
        <v>45754</v>
      </c>
      <c r="B318" vm="942">
        <f ca="1"/>
        <v>45754</v>
      </c>
      <c r="C318" vm="943">
        <f ca="1"/>
        <v>299.89</v>
      </c>
      <c r="D318" vm="944">
        <f ca="1"/>
        <v>7725857</v>
      </c>
      <c r="E318">
        <f t="shared" ca="1" si="84"/>
        <v>2316907255.73</v>
      </c>
      <c r="F318">
        <f ca="1">SUM($E$2:E318)/SUM($D$2:D318)</f>
        <v>285.26349076521609</v>
      </c>
      <c r="G318">
        <f ca="1">_xlfn.STDEV.P($C$2:C318)</f>
        <v>17.273238141117254</v>
      </c>
      <c r="H318">
        <f t="shared" ca="1" si="85"/>
        <v>302.53672890633334</v>
      </c>
      <c r="I318">
        <f t="shared" ca="1" si="86"/>
        <v>267.99025262409884</v>
      </c>
      <c r="J318">
        <f t="shared" ca="1" si="95"/>
        <v>306.61099999999999</v>
      </c>
      <c r="K318">
        <f t="shared" ca="1" si="96"/>
        <v>5.6934596826441748</v>
      </c>
      <c r="L318">
        <f t="shared" ca="1" si="97"/>
        <v>317.99791936528834</v>
      </c>
      <c r="M318">
        <f t="shared" ca="1" si="98"/>
        <v>295.22408063471164</v>
      </c>
      <c r="N318">
        <f t="shared" ca="1" si="87"/>
        <v>-0.22000000000002728</v>
      </c>
      <c r="O318">
        <f t="shared" ca="1" si="88"/>
        <v>0</v>
      </c>
      <c r="P318">
        <f t="shared" ca="1" si="89"/>
        <v>0.22000000000002728</v>
      </c>
      <c r="Q318">
        <f t="shared" ca="1" si="93"/>
        <v>1.800215165090423</v>
      </c>
      <c r="R318">
        <f t="shared" ca="1" si="94"/>
        <v>2.3364542749816422</v>
      </c>
      <c r="S318">
        <f t="shared" ca="1" si="91"/>
        <v>0.77049021860467082</v>
      </c>
      <c r="T318">
        <f t="shared" ca="1" si="92"/>
        <v>43.518467964872279</v>
      </c>
      <c r="U318">
        <f>70</f>
        <v>70</v>
      </c>
      <c r="V318">
        <f>30</f>
        <v>30</v>
      </c>
      <c r="W318">
        <f t="shared" ca="1" si="90"/>
        <v>307.81969941438678</v>
      </c>
      <c r="X318">
        <f t="shared" ca="1" si="100"/>
        <v>306.97121878806502</v>
      </c>
      <c r="Y318">
        <f t="shared" ca="1" si="99"/>
        <v>0.14827527051778588</v>
      </c>
      <c r="Z318">
        <f t="shared" ca="1" si="101"/>
        <v>1.4546999755577459</v>
      </c>
      <c r="AA318">
        <f t="shared" ca="1" si="102"/>
        <v>-1.30642470503996</v>
      </c>
      <c r="AB318">
        <f t="shared" ca="1" si="103"/>
        <v>298.06140000000005</v>
      </c>
    </row>
    <row r="319" spans="1:28" x14ac:dyDescent="0.25">
      <c r="A319" s="21">
        <f t="shared" ca="1" si="83"/>
        <v>45754</v>
      </c>
      <c r="B319" vm="945">
        <f ca="1"/>
        <v>45755</v>
      </c>
      <c r="C319" vm="896">
        <f ca="1"/>
        <v>299.83</v>
      </c>
      <c r="D319" vm="946">
        <f ca="1"/>
        <v>5562462</v>
      </c>
      <c r="E319">
        <f t="shared" ca="1" si="84"/>
        <v>1667792981.4599998</v>
      </c>
      <c r="F319">
        <f ca="1">SUM($E$2:E319)/SUM($D$2:D319)</f>
        <v>285.33656729124021</v>
      </c>
      <c r="G319">
        <f ca="1">_xlfn.STDEV.P($C$2:C319)</f>
        <v>17.263386020675576</v>
      </c>
      <c r="H319">
        <f t="shared" ca="1" si="85"/>
        <v>302.59995331191578</v>
      </c>
      <c r="I319">
        <f t="shared" ca="1" si="86"/>
        <v>268.07318127056465</v>
      </c>
      <c r="J319">
        <f t="shared" ca="1" si="95"/>
        <v>306.26450000000006</v>
      </c>
      <c r="K319">
        <f t="shared" ca="1" si="96"/>
        <v>5.8913526951751365</v>
      </c>
      <c r="L319">
        <f t="shared" ca="1" si="97"/>
        <v>318.04720539035031</v>
      </c>
      <c r="M319">
        <f t="shared" ca="1" si="98"/>
        <v>294.4817946096498</v>
      </c>
      <c r="N319">
        <f t="shared" ca="1" si="87"/>
        <v>-6.0000000000002274E-2</v>
      </c>
      <c r="O319">
        <f t="shared" ca="1" si="88"/>
        <v>0</v>
      </c>
      <c r="P319">
        <f t="shared" ca="1" si="89"/>
        <v>6.0000000000002274E-2</v>
      </c>
      <c r="Q319">
        <f t="shared" ca="1" si="93"/>
        <v>1.671628367583964</v>
      </c>
      <c r="R319">
        <f t="shared" ca="1" si="94"/>
        <v>2.1738503981972395</v>
      </c>
      <c r="S319">
        <f t="shared" ca="1" si="91"/>
        <v>0.76897120840064936</v>
      </c>
      <c r="T319">
        <f t="shared" ca="1" si="92"/>
        <v>43.469967444856636</v>
      </c>
      <c r="U319">
        <f>70</f>
        <v>70</v>
      </c>
      <c r="V319">
        <f>30</f>
        <v>30</v>
      </c>
      <c r="W319">
        <f t="shared" ca="1" si="90"/>
        <v>306.59051488909648</v>
      </c>
      <c r="X319">
        <f t="shared" ca="1" si="100"/>
        <v>306.4422396185787</v>
      </c>
      <c r="Y319">
        <f t="shared" ca="1" si="99"/>
        <v>-7.2549726428576378E-2</v>
      </c>
      <c r="Z319">
        <f t="shared" ca="1" si="101"/>
        <v>1.1492500351604813</v>
      </c>
      <c r="AA319">
        <f t="shared" ca="1" si="102"/>
        <v>-1.2217997615890577</v>
      </c>
      <c r="AB319">
        <f t="shared" ca="1" si="103"/>
        <v>298.0444</v>
      </c>
    </row>
    <row r="320" spans="1:28" x14ac:dyDescent="0.25">
      <c r="A320" s="21">
        <f t="shared" ca="1" si="83"/>
        <v>45754</v>
      </c>
      <c r="B320" vm="947">
        <f ca="1"/>
        <v>45756</v>
      </c>
      <c r="C320" vm="948">
        <f ca="1"/>
        <v>303.95999999999998</v>
      </c>
      <c r="D320" vm="949">
        <f ca="1"/>
        <v>8265701</v>
      </c>
      <c r="E320">
        <f t="shared" ca="1" si="84"/>
        <v>2512442475.96</v>
      </c>
      <c r="F320">
        <f ca="1">SUM($E$2:E320)/SUM($D$2:D320)</f>
        <v>285.47437363480418</v>
      </c>
      <c r="G320">
        <f ca="1">_xlfn.STDEV.P($C$2:C320)</f>
        <v>17.265321463459163</v>
      </c>
      <c r="H320">
        <f t="shared" ca="1" si="85"/>
        <v>302.73969509826333</v>
      </c>
      <c r="I320">
        <f t="shared" ca="1" si="86"/>
        <v>268.20905217134504</v>
      </c>
      <c r="J320">
        <f t="shared" ca="1" si="95"/>
        <v>306.49249999999995</v>
      </c>
      <c r="K320">
        <f t="shared" ca="1" si="96"/>
        <v>5.6967320964696366</v>
      </c>
      <c r="L320">
        <f t="shared" ca="1" si="97"/>
        <v>317.88596419293924</v>
      </c>
      <c r="M320">
        <f t="shared" ca="1" si="98"/>
        <v>295.09903580706066</v>
      </c>
      <c r="N320">
        <f t="shared" ca="1" si="87"/>
        <v>4.1299999999999955</v>
      </c>
      <c r="O320">
        <f t="shared" ca="1" si="88"/>
        <v>4.1299999999999955</v>
      </c>
      <c r="P320">
        <f t="shared" ca="1" si="89"/>
        <v>0</v>
      </c>
      <c r="Q320">
        <f t="shared" ca="1" si="93"/>
        <v>1.8472263413279661</v>
      </c>
      <c r="R320">
        <f t="shared" ca="1" si="94"/>
        <v>2.0185753697545796</v>
      </c>
      <c r="S320">
        <f t="shared" ca="1" si="91"/>
        <v>0.91511388130756477</v>
      </c>
      <c r="T320">
        <f t="shared" ca="1" si="92"/>
        <v>47.783784047492823</v>
      </c>
      <c r="U320">
        <f>70</f>
        <v>70</v>
      </c>
      <c r="V320">
        <f>30</f>
        <v>30</v>
      </c>
      <c r="W320">
        <f t="shared" ca="1" si="90"/>
        <v>306.18582029077396</v>
      </c>
      <c r="X320">
        <f t="shared" ca="1" si="100"/>
        <v>306.25837001720254</v>
      </c>
      <c r="Y320">
        <f t="shared" ca="1" si="99"/>
        <v>-1.9776721455684765E-2</v>
      </c>
      <c r="Z320">
        <f t="shared" ca="1" si="101"/>
        <v>0.91544468383724809</v>
      </c>
      <c r="AA320">
        <f t="shared" ca="1" si="102"/>
        <v>-0.93522140529293285</v>
      </c>
      <c r="AB320">
        <f t="shared" ca="1" si="103"/>
        <v>298.09750000000003</v>
      </c>
    </row>
    <row r="321" spans="1:28" x14ac:dyDescent="0.25">
      <c r="A321" s="21">
        <f t="shared" ca="1" si="83"/>
        <v>45754</v>
      </c>
      <c r="B321" vm="950">
        <f ca="1"/>
        <v>45757</v>
      </c>
      <c r="C321" vm="951">
        <f ca="1"/>
        <v>306.77999999999997</v>
      </c>
      <c r="D321" vm="952">
        <f ca="1"/>
        <v>6049543</v>
      </c>
      <c r="E321">
        <f t="shared" ca="1" si="84"/>
        <v>1855878801.5399997</v>
      </c>
      <c r="F321">
        <f ca="1">SUM($E$2:E321)/SUM($D$2:D321)</f>
        <v>285.58913640117584</v>
      </c>
      <c r="G321">
        <f ca="1">_xlfn.STDEV.P($C$2:C321)</f>
        <v>17.276856113992316</v>
      </c>
      <c r="H321">
        <f t="shared" ca="1" si="85"/>
        <v>302.86599251516816</v>
      </c>
      <c r="I321">
        <f t="shared" ca="1" si="86"/>
        <v>268.31228028718351</v>
      </c>
      <c r="J321">
        <f t="shared" ca="1" si="95"/>
        <v>306.95649999999995</v>
      </c>
      <c r="K321">
        <f t="shared" ca="1" si="96"/>
        <v>5.2890853601892633</v>
      </c>
      <c r="L321">
        <f t="shared" ca="1" si="97"/>
        <v>317.53467072037847</v>
      </c>
      <c r="M321">
        <f t="shared" ca="1" si="98"/>
        <v>296.37832927962143</v>
      </c>
      <c r="N321">
        <f t="shared" ca="1" si="87"/>
        <v>2.8199999999999932</v>
      </c>
      <c r="O321">
        <f t="shared" ca="1" si="88"/>
        <v>2.8199999999999932</v>
      </c>
      <c r="P321">
        <f t="shared" ca="1" si="89"/>
        <v>0</v>
      </c>
      <c r="Q321">
        <f t="shared" ca="1" si="93"/>
        <v>1.9167101740902537</v>
      </c>
      <c r="R321">
        <f t="shared" ca="1" si="94"/>
        <v>1.8743914147721097</v>
      </c>
      <c r="S321">
        <f t="shared" ca="1" si="91"/>
        <v>1.0225773330930932</v>
      </c>
      <c r="T321">
        <f t="shared" ca="1" si="92"/>
        <v>50.558132752792353</v>
      </c>
      <c r="U321">
        <f>70</f>
        <v>70</v>
      </c>
      <c r="V321">
        <f>30</f>
        <v>30</v>
      </c>
      <c r="W321">
        <f t="shared" ca="1" si="90"/>
        <v>306.27723255373184</v>
      </c>
      <c r="X321">
        <f t="shared" ca="1" si="100"/>
        <v>306.29700927518752</v>
      </c>
      <c r="Y321">
        <f t="shared" ca="1" si="99"/>
        <v>0.27068391459374652</v>
      </c>
      <c r="Z321">
        <f t="shared" ca="1" si="101"/>
        <v>0.78649252998854791</v>
      </c>
      <c r="AA321">
        <f t="shared" ca="1" si="102"/>
        <v>-0.51580861539480138</v>
      </c>
      <c r="AB321">
        <f t="shared" ca="1" si="103"/>
        <v>298.19180000000006</v>
      </c>
    </row>
    <row r="322" spans="1:28" x14ac:dyDescent="0.25">
      <c r="A322" s="21">
        <f t="shared" ca="1" si="83"/>
        <v>45754</v>
      </c>
      <c r="B322" vm="953">
        <f ca="1"/>
        <v>45758</v>
      </c>
      <c r="C322" vm="954">
        <f ca="1"/>
        <v>309.89999999999998</v>
      </c>
      <c r="D322" vm="955">
        <f ca="1"/>
        <v>4440059</v>
      </c>
      <c r="E322">
        <f t="shared" ca="1" si="84"/>
        <v>1375974284.0999999</v>
      </c>
      <c r="F322">
        <f ca="1">SUM($E$2:E322)/SUM($D$2:D322)</f>
        <v>285.6848689668571</v>
      </c>
      <c r="G322">
        <f ca="1">_xlfn.STDEV.P($C$2:C322)</f>
        <v>17.300486430262382</v>
      </c>
      <c r="H322">
        <f t="shared" ca="1" si="85"/>
        <v>302.98535539711946</v>
      </c>
      <c r="I322">
        <f t="shared" ca="1" si="86"/>
        <v>268.38438253659473</v>
      </c>
      <c r="J322">
        <f t="shared" ca="1" si="95"/>
        <v>307.45999999999992</v>
      </c>
      <c r="K322">
        <f t="shared" ca="1" si="96"/>
        <v>5.0488195597949801</v>
      </c>
      <c r="L322">
        <f t="shared" ca="1" si="97"/>
        <v>317.55763911958991</v>
      </c>
      <c r="M322">
        <f t="shared" ca="1" si="98"/>
        <v>297.36236088040994</v>
      </c>
      <c r="N322">
        <f t="shared" ca="1" si="87"/>
        <v>3.1200000000000045</v>
      </c>
      <c r="O322">
        <f t="shared" ca="1" si="88"/>
        <v>3.1200000000000045</v>
      </c>
      <c r="P322">
        <f t="shared" ca="1" si="89"/>
        <v>0</v>
      </c>
      <c r="Q322">
        <f t="shared" ca="1" si="93"/>
        <v>2.0026594473695214</v>
      </c>
      <c r="R322">
        <f t="shared" ca="1" si="94"/>
        <v>1.7405063137169592</v>
      </c>
      <c r="S322">
        <f t="shared" ca="1" si="91"/>
        <v>1.15061889266734</v>
      </c>
      <c r="T322">
        <f t="shared" ca="1" si="92"/>
        <v>53.501756940313406</v>
      </c>
      <c r="U322">
        <f>70</f>
        <v>70</v>
      </c>
      <c r="V322">
        <f>30</f>
        <v>30</v>
      </c>
      <c r="W322">
        <f t="shared" ca="1" si="90"/>
        <v>306.83458139161922</v>
      </c>
      <c r="X322">
        <f t="shared" ca="1" si="100"/>
        <v>306.56389747702548</v>
      </c>
      <c r="Y322">
        <f t="shared" ca="1" si="99"/>
        <v>0.98736180420974051</v>
      </c>
      <c r="Z322">
        <f t="shared" ca="1" si="101"/>
        <v>0.82666638483278643</v>
      </c>
      <c r="AA322">
        <f t="shared" ca="1" si="102"/>
        <v>0.16069541937695409</v>
      </c>
      <c r="AB322">
        <f t="shared" ca="1" si="103"/>
        <v>298.30520000000001</v>
      </c>
    </row>
    <row r="323" spans="1:28" x14ac:dyDescent="0.25">
      <c r="A323" s="21">
        <f t="shared" ref="A323:A386" ca="1" si="104">B323 - WEEKDAY(B323, 2) + 1</f>
        <v>45761</v>
      </c>
      <c r="B323" vm="956">
        <f ca="1"/>
        <v>45761</v>
      </c>
      <c r="C323" vm="957">
        <f ca="1"/>
        <v>316.07</v>
      </c>
      <c r="D323" vm="958">
        <f ca="1"/>
        <v>4068713</v>
      </c>
      <c r="E323">
        <f t="shared" ref="E323:E386" ca="1" si="105">C323*D323</f>
        <v>1285998117.9100001</v>
      </c>
      <c r="F323">
        <f ca="1">SUM($E$2:E323)/SUM($D$2:D323)</f>
        <v>285.79411971169748</v>
      </c>
      <c r="G323">
        <f ca="1">_xlfn.STDEV.P($C$2:C323)</f>
        <v>17.353073323981249</v>
      </c>
      <c r="H323">
        <f t="shared" ref="H323:H386" ca="1" si="106">F323 + G323</f>
        <v>303.1471930356787</v>
      </c>
      <c r="I323">
        <f t="shared" ref="I323:I386" ca="1" si="107">F323 - G323</f>
        <v>268.44104638771626</v>
      </c>
      <c r="J323">
        <f t="shared" ca="1" si="95"/>
        <v>308.06499999999994</v>
      </c>
      <c r="K323">
        <f t="shared" ca="1" si="96"/>
        <v>5.3259666777620334</v>
      </c>
      <c r="L323">
        <f t="shared" ca="1" si="97"/>
        <v>318.71693335552402</v>
      </c>
      <c r="M323">
        <f t="shared" ca="1" si="98"/>
        <v>297.41306664447586</v>
      </c>
      <c r="N323">
        <f t="shared" ca="1" si="87"/>
        <v>6.1700000000000159</v>
      </c>
      <c r="O323">
        <f t="shared" ca="1" si="88"/>
        <v>6.1700000000000159</v>
      </c>
      <c r="P323">
        <f t="shared" ca="1" si="89"/>
        <v>0</v>
      </c>
      <c r="Q323">
        <f t="shared" ca="1" si="93"/>
        <v>2.3003266297002711</v>
      </c>
      <c r="R323">
        <f t="shared" ca="1" si="94"/>
        <v>1.6161844341657479</v>
      </c>
      <c r="S323">
        <f t="shared" ca="1" si="91"/>
        <v>1.4233070069677216</v>
      </c>
      <c r="T323">
        <f t="shared" ca="1" si="92"/>
        <v>58.734077146448826</v>
      </c>
      <c r="U323">
        <f>70</f>
        <v>70</v>
      </c>
      <c r="V323">
        <f>30</f>
        <v>30</v>
      </c>
      <c r="W323">
        <f t="shared" ca="1" si="90"/>
        <v>308.25541502367781</v>
      </c>
      <c r="X323">
        <f t="shared" ca="1" si="100"/>
        <v>307.26805321946807</v>
      </c>
      <c r="Y323">
        <f t="shared" ca="1" si="99"/>
        <v>1.251227822521912</v>
      </c>
      <c r="Z323">
        <f t="shared" ca="1" si="101"/>
        <v>0.91157867237061163</v>
      </c>
      <c r="AA323">
        <f t="shared" ca="1" si="102"/>
        <v>0.33964915015130037</v>
      </c>
      <c r="AB323">
        <f t="shared" ca="1" si="103"/>
        <v>298.53960000000006</v>
      </c>
    </row>
    <row r="324" spans="1:28" x14ac:dyDescent="0.25">
      <c r="A324" s="21">
        <f t="shared" ca="1" si="104"/>
        <v>45761</v>
      </c>
      <c r="B324" vm="959">
        <f ca="1"/>
        <v>45762</v>
      </c>
      <c r="C324" vm="960">
        <f ca="1"/>
        <v>312.48</v>
      </c>
      <c r="D324" vm="961">
        <f ca="1"/>
        <v>2901367</v>
      </c>
      <c r="E324">
        <f t="shared" ca="1" si="105"/>
        <v>906619160.16000009</v>
      </c>
      <c r="F324">
        <f ca="1">SUM($E$2:E324)/SUM($D$2:D324)</f>
        <v>285.86236589281765</v>
      </c>
      <c r="G324">
        <f ca="1">_xlfn.STDEV.P($C$2:C324)</f>
        <v>17.386901869563783</v>
      </c>
      <c r="H324">
        <f t="shared" ca="1" si="106"/>
        <v>303.24926776238141</v>
      </c>
      <c r="I324">
        <f t="shared" ca="1" si="107"/>
        <v>268.47546402325389</v>
      </c>
      <c r="J324">
        <f t="shared" ca="1" si="95"/>
        <v>308.50900000000001</v>
      </c>
      <c r="K324">
        <f t="shared" ca="1" si="96"/>
        <v>5.3042474539402455</v>
      </c>
      <c r="L324">
        <f t="shared" ca="1" si="97"/>
        <v>319.11749490788048</v>
      </c>
      <c r="M324">
        <f t="shared" ca="1" si="98"/>
        <v>297.90050509211954</v>
      </c>
      <c r="N324">
        <f t="shared" ref="N324:N387" ca="1" si="108">C324-C323</f>
        <v>-3.589999999999975</v>
      </c>
      <c r="O324">
        <f t="shared" ref="O324:O387" ca="1" si="109">MAX(N324,0)</f>
        <v>0</v>
      </c>
      <c r="P324">
        <f t="shared" ref="P324:P387" ca="1" si="110">MAX(-N324,0)</f>
        <v>3.589999999999975</v>
      </c>
      <c r="Q324">
        <f t="shared" ca="1" si="93"/>
        <v>2.1360175847216802</v>
      </c>
      <c r="R324">
        <f t="shared" ca="1" si="94"/>
        <v>1.757171260296764</v>
      </c>
      <c r="S324">
        <f t="shared" ca="1" si="91"/>
        <v>1.2156001142204738</v>
      </c>
      <c r="T324">
        <f t="shared" ca="1" si="92"/>
        <v>54.865501514390594</v>
      </c>
      <c r="U324">
        <f>70</f>
        <v>70</v>
      </c>
      <c r="V324">
        <f>30</f>
        <v>30</v>
      </c>
      <c r="W324">
        <f t="shared" ca="1" si="90"/>
        <v>308.90535117388123</v>
      </c>
      <c r="X324">
        <f t="shared" ca="1" si="100"/>
        <v>307.65412335135932</v>
      </c>
      <c r="Y324">
        <f t="shared" ca="1" si="99"/>
        <v>1.1740718217975541</v>
      </c>
      <c r="Z324">
        <f t="shared" ca="1" si="101"/>
        <v>0.96407730225600019</v>
      </c>
      <c r="AA324">
        <f t="shared" ca="1" si="102"/>
        <v>0.2099945195415539</v>
      </c>
      <c r="AB324">
        <f t="shared" ca="1" si="103"/>
        <v>298.75340000000006</v>
      </c>
    </row>
    <row r="325" spans="1:28" x14ac:dyDescent="0.25">
      <c r="A325" s="21">
        <f t="shared" ca="1" si="104"/>
        <v>45761</v>
      </c>
      <c r="B325" vm="962">
        <f ca="1"/>
        <v>45763</v>
      </c>
      <c r="C325" vm="963">
        <f ca="1"/>
        <v>309.10000000000002</v>
      </c>
      <c r="D325" vm="964">
        <f ca="1"/>
        <v>3099078</v>
      </c>
      <c r="E325">
        <f t="shared" ca="1" si="105"/>
        <v>957925009.80000007</v>
      </c>
      <c r="F325">
        <f ca="1">SUM($E$2:E325)/SUM($D$2:D325)</f>
        <v>285.92567028489043</v>
      </c>
      <c r="G325">
        <f ca="1">_xlfn.STDEV.P($C$2:C325)</f>
        <v>17.405535011236999</v>
      </c>
      <c r="H325">
        <f t="shared" ca="1" si="106"/>
        <v>303.33120529612745</v>
      </c>
      <c r="I325">
        <f t="shared" ca="1" si="107"/>
        <v>268.52013527365341</v>
      </c>
      <c r="J325">
        <f t="shared" ca="1" si="95"/>
        <v>308.61800000000005</v>
      </c>
      <c r="K325">
        <f t="shared" ca="1" si="96"/>
        <v>5.2922610827907048</v>
      </c>
      <c r="L325">
        <f t="shared" ca="1" si="97"/>
        <v>319.20252216558146</v>
      </c>
      <c r="M325">
        <f t="shared" ca="1" si="98"/>
        <v>298.03347783441865</v>
      </c>
      <c r="N325">
        <f t="shared" ca="1" si="108"/>
        <v>-3.3799999999999955</v>
      </c>
      <c r="O325">
        <f t="shared" ca="1" si="109"/>
        <v>0</v>
      </c>
      <c r="P325">
        <f t="shared" ca="1" si="110"/>
        <v>3.3799999999999955</v>
      </c>
      <c r="Q325">
        <f t="shared" ca="1" si="93"/>
        <v>1.9834449000987031</v>
      </c>
      <c r="R325">
        <f t="shared" ca="1" si="94"/>
        <v>1.8730875988469948</v>
      </c>
      <c r="S325">
        <f t="shared" ca="1" si="91"/>
        <v>1.0589173198945101</v>
      </c>
      <c r="T325">
        <f t="shared" ca="1" si="92"/>
        <v>51.430784017532304</v>
      </c>
      <c r="U325">
        <f>70</f>
        <v>70</v>
      </c>
      <c r="V325">
        <f>30</f>
        <v>30</v>
      </c>
      <c r="W325">
        <f t="shared" ca="1" si="90"/>
        <v>308.93529714713026</v>
      </c>
      <c r="X325">
        <f t="shared" ca="1" si="100"/>
        <v>307.7612253253327</v>
      </c>
      <c r="Y325">
        <f t="shared" ca="1" si="99"/>
        <v>1.2757408033178876</v>
      </c>
      <c r="Z325">
        <f t="shared" ca="1" si="101"/>
        <v>1.0264100024683778</v>
      </c>
      <c r="AA325">
        <f t="shared" ca="1" si="102"/>
        <v>0.24933080084950987</v>
      </c>
      <c r="AB325">
        <f t="shared" ca="1" si="103"/>
        <v>298.93710000000004</v>
      </c>
    </row>
    <row r="326" spans="1:28" x14ac:dyDescent="0.25">
      <c r="A326" s="21">
        <f t="shared" ca="1" si="104"/>
        <v>45761</v>
      </c>
      <c r="B326" vm="965">
        <f ca="1"/>
        <v>45764</v>
      </c>
      <c r="C326" vm="966">
        <f ca="1"/>
        <v>311.3</v>
      </c>
      <c r="D326" vm="967">
        <f ca="1"/>
        <v>2728460</v>
      </c>
      <c r="E326">
        <f t="shared" ca="1" si="105"/>
        <v>849369598</v>
      </c>
      <c r="F326">
        <f ca="1">SUM($E$2:E326)/SUM($D$2:D326)</f>
        <v>285.98638321857021</v>
      </c>
      <c r="G326">
        <f ca="1">_xlfn.STDEV.P($C$2:C326)</f>
        <v>17.432932277929151</v>
      </c>
      <c r="H326">
        <f t="shared" ca="1" si="106"/>
        <v>303.41931549649934</v>
      </c>
      <c r="I326">
        <f t="shared" ca="1" si="107"/>
        <v>268.55345094064108</v>
      </c>
      <c r="J326">
        <f t="shared" ca="1" si="95"/>
        <v>308.83299999999997</v>
      </c>
      <c r="K326">
        <f t="shared" ca="1" si="96"/>
        <v>5.3103831757872433</v>
      </c>
      <c r="L326">
        <f t="shared" ca="1" si="97"/>
        <v>319.45376635157447</v>
      </c>
      <c r="M326">
        <f t="shared" ca="1" si="98"/>
        <v>298.21223364842547</v>
      </c>
      <c r="N326">
        <f t="shared" ca="1" si="108"/>
        <v>2.1999999999999886</v>
      </c>
      <c r="O326">
        <f t="shared" ca="1" si="109"/>
        <v>2.1999999999999886</v>
      </c>
      <c r="P326">
        <f t="shared" ca="1" si="110"/>
        <v>0</v>
      </c>
      <c r="Q326">
        <f t="shared" ca="1" si="93"/>
        <v>1.9989131215202234</v>
      </c>
      <c r="R326">
        <f t="shared" ca="1" si="94"/>
        <v>1.7392956275007809</v>
      </c>
      <c r="S326">
        <f t="shared" ca="1" si="91"/>
        <v>1.1492658809201346</v>
      </c>
      <c r="T326">
        <f t="shared" ca="1" si="92"/>
        <v>53.472485238918686</v>
      </c>
      <c r="U326">
        <f>70</f>
        <v>70</v>
      </c>
      <c r="V326">
        <f>30</f>
        <v>30</v>
      </c>
      <c r="W326">
        <f t="shared" ca="1" si="90"/>
        <v>309.29909758603333</v>
      </c>
      <c r="X326">
        <f t="shared" ca="1" si="100"/>
        <v>308.02335678271544</v>
      </c>
      <c r="Y326">
        <f t="shared" ca="1" si="99"/>
        <v>1.1350456657247605</v>
      </c>
      <c r="Z326">
        <f t="shared" ca="1" si="101"/>
        <v>1.0481371351196545</v>
      </c>
      <c r="AA326">
        <f t="shared" ca="1" si="102"/>
        <v>8.690853060510606E-2</v>
      </c>
      <c r="AB326">
        <f t="shared" ca="1" si="103"/>
        <v>299.14100000000002</v>
      </c>
    </row>
    <row r="327" spans="1:28" x14ac:dyDescent="0.25">
      <c r="A327" s="21">
        <f t="shared" ca="1" si="104"/>
        <v>45768</v>
      </c>
      <c r="B327" vm="968">
        <f ca="1"/>
        <v>45768</v>
      </c>
      <c r="C327" vm="969">
        <f ca="1"/>
        <v>308.72000000000003</v>
      </c>
      <c r="D327" vm="970">
        <f ca="1"/>
        <v>2669905</v>
      </c>
      <c r="E327">
        <f t="shared" ca="1" si="105"/>
        <v>824253071.60000002</v>
      </c>
      <c r="F327">
        <f ca="1">SUM($E$2:E327)/SUM($D$2:D327)</f>
        <v>286.039486058629</v>
      </c>
      <c r="G327">
        <f ca="1">_xlfn.STDEV.P($C$2:C327)</f>
        <v>17.449195758699826</v>
      </c>
      <c r="H327">
        <f t="shared" ca="1" si="106"/>
        <v>303.48868181732882</v>
      </c>
      <c r="I327">
        <f t="shared" ca="1" si="107"/>
        <v>268.59029029992917</v>
      </c>
      <c r="J327">
        <f t="shared" ca="1" si="95"/>
        <v>308.99700000000001</v>
      </c>
      <c r="K327">
        <f t="shared" ca="1" si="96"/>
        <v>5.2503915643452128</v>
      </c>
      <c r="L327">
        <f t="shared" ca="1" si="97"/>
        <v>319.49778312869046</v>
      </c>
      <c r="M327">
        <f t="shared" ca="1" si="98"/>
        <v>298.49621687130957</v>
      </c>
      <c r="N327">
        <f t="shared" ca="1" si="108"/>
        <v>-2.5799999999999841</v>
      </c>
      <c r="O327">
        <f t="shared" ca="1" si="109"/>
        <v>0</v>
      </c>
      <c r="P327">
        <f t="shared" ca="1" si="110"/>
        <v>2.5799999999999841</v>
      </c>
      <c r="Q327">
        <f t="shared" ca="1" si="93"/>
        <v>1.8561336128402073</v>
      </c>
      <c r="R327">
        <f t="shared" ca="1" si="94"/>
        <v>1.7993459398221527</v>
      </c>
      <c r="S327">
        <f t="shared" ca="1" si="91"/>
        <v>1.0315601751510148</v>
      </c>
      <c r="T327">
        <f t="shared" ca="1" si="92"/>
        <v>50.77674723931495</v>
      </c>
      <c r="U327">
        <f>70</f>
        <v>70</v>
      </c>
      <c r="V327">
        <f>30</f>
        <v>30</v>
      </c>
      <c r="W327">
        <f t="shared" ca="1" si="90"/>
        <v>309.21000564972053</v>
      </c>
      <c r="X327">
        <f t="shared" ca="1" si="100"/>
        <v>308.07495998399577</v>
      </c>
      <c r="Y327">
        <f t="shared" ca="1" si="99"/>
        <v>1.8383181856648889</v>
      </c>
      <c r="Z327">
        <f t="shared" ca="1" si="101"/>
        <v>1.2061733452287013</v>
      </c>
      <c r="AA327">
        <f t="shared" ca="1" si="102"/>
        <v>0.63214484043618757</v>
      </c>
      <c r="AB327">
        <f t="shared" ca="1" si="103"/>
        <v>299.34350000000006</v>
      </c>
    </row>
    <row r="328" spans="1:28" x14ac:dyDescent="0.25">
      <c r="A328" s="21">
        <f t="shared" ca="1" si="104"/>
        <v>45768</v>
      </c>
      <c r="B328" vm="971">
        <f ca="1"/>
        <v>45769</v>
      </c>
      <c r="C328" vm="972">
        <f ca="1"/>
        <v>319.08</v>
      </c>
      <c r="D328" vm="973">
        <f ca="1"/>
        <v>4200708</v>
      </c>
      <c r="E328">
        <f t="shared" ca="1" si="105"/>
        <v>1340361908.6399999</v>
      </c>
      <c r="F328">
        <f ca="1">SUM($E$2:E328)/SUM($D$2:D328)</f>
        <v>286.16047049861902</v>
      </c>
      <c r="G328">
        <f ca="1">_xlfn.STDEV.P($C$2:C328)</f>
        <v>17.514305252169681</v>
      </c>
      <c r="H328">
        <f t="shared" ca="1" si="106"/>
        <v>303.67477575078868</v>
      </c>
      <c r="I328">
        <f t="shared" ca="1" si="107"/>
        <v>268.64616524644936</v>
      </c>
      <c r="J328">
        <f t="shared" ca="1" si="95"/>
        <v>309.66750000000002</v>
      </c>
      <c r="K328">
        <f t="shared" ca="1" si="96"/>
        <v>5.6446163218639249</v>
      </c>
      <c r="L328">
        <f t="shared" ca="1" si="97"/>
        <v>320.95673264372789</v>
      </c>
      <c r="M328">
        <f t="shared" ca="1" si="98"/>
        <v>298.37826735627215</v>
      </c>
      <c r="N328">
        <f t="shared" ca="1" si="108"/>
        <v>10.359999999999957</v>
      </c>
      <c r="O328">
        <f t="shared" ca="1" si="109"/>
        <v>10.359999999999957</v>
      </c>
      <c r="P328">
        <f t="shared" ca="1" si="110"/>
        <v>0</v>
      </c>
      <c r="Q328">
        <f t="shared" ca="1" si="93"/>
        <v>2.4635526404944748</v>
      </c>
      <c r="R328">
        <f t="shared" ca="1" si="94"/>
        <v>1.6708212298348559</v>
      </c>
      <c r="S328">
        <f t="shared" ca="1" si="91"/>
        <v>1.474456151564445</v>
      </c>
      <c r="T328">
        <f t="shared" ca="1" si="92"/>
        <v>59.587079392465206</v>
      </c>
      <c r="U328">
        <f>70</f>
        <v>70</v>
      </c>
      <c r="V328">
        <f>30</f>
        <v>30</v>
      </c>
      <c r="W328">
        <f t="shared" ca="1" si="90"/>
        <v>310.72846631899426</v>
      </c>
      <c r="X328">
        <f t="shared" ca="1" si="100"/>
        <v>308.89014813332938</v>
      </c>
      <c r="Y328">
        <f t="shared" ca="1" si="99"/>
        <v>2.3205024313653553</v>
      </c>
      <c r="Z328">
        <f t="shared" ca="1" si="101"/>
        <v>1.4290391624560321</v>
      </c>
      <c r="AA328">
        <f t="shared" ca="1" si="102"/>
        <v>0.89146326890932315</v>
      </c>
      <c r="AB328">
        <f t="shared" ca="1" si="103"/>
        <v>299.63150000000002</v>
      </c>
    </row>
    <row r="329" spans="1:28" x14ac:dyDescent="0.25">
      <c r="A329" s="21">
        <f t="shared" ca="1" si="104"/>
        <v>45768</v>
      </c>
      <c r="B329" vm="974">
        <f ca="1"/>
        <v>45770</v>
      </c>
      <c r="C329" vm="975">
        <f ca="1"/>
        <v>318.48</v>
      </c>
      <c r="D329" vm="976">
        <f ca="1"/>
        <v>3210134</v>
      </c>
      <c r="E329">
        <f t="shared" ca="1" si="105"/>
        <v>1022363476.3200001</v>
      </c>
      <c r="F329">
        <f ca="1">SUM($E$2:E329)/SUM($D$2:D329)</f>
        <v>286.25065561357195</v>
      </c>
      <c r="G329">
        <f ca="1">_xlfn.STDEV.P($C$2:C329)</f>
        <v>17.574900122855279</v>
      </c>
      <c r="H329">
        <f t="shared" ca="1" si="106"/>
        <v>303.82555573642725</v>
      </c>
      <c r="I329">
        <f t="shared" ca="1" si="107"/>
        <v>268.67575549071665</v>
      </c>
      <c r="J329">
        <f t="shared" ca="1" si="95"/>
        <v>310.24549999999999</v>
      </c>
      <c r="K329">
        <f t="shared" ca="1" si="96"/>
        <v>5.9329671949912317</v>
      </c>
      <c r="L329">
        <f t="shared" ca="1" si="97"/>
        <v>322.11143438998243</v>
      </c>
      <c r="M329">
        <f t="shared" ca="1" si="98"/>
        <v>298.37956561001755</v>
      </c>
      <c r="N329">
        <f t="shared" ca="1" si="108"/>
        <v>-0.59999999999996589</v>
      </c>
      <c r="O329">
        <f t="shared" ca="1" si="109"/>
        <v>0</v>
      </c>
      <c r="P329">
        <f t="shared" ca="1" si="110"/>
        <v>0.59999999999996589</v>
      </c>
      <c r="Q329">
        <f t="shared" ca="1" si="93"/>
        <v>2.2875845947448696</v>
      </c>
      <c r="R329">
        <f t="shared" ca="1" si="94"/>
        <v>1.5943339991323637</v>
      </c>
      <c r="S329">
        <f t="shared" ca="1" si="91"/>
        <v>1.4348214338963936</v>
      </c>
      <c r="T329">
        <f t="shared" ca="1" si="92"/>
        <v>58.92922634578089</v>
      </c>
      <c r="U329">
        <f>70</f>
        <v>70</v>
      </c>
      <c r="V329">
        <f>30</f>
        <v>30</v>
      </c>
      <c r="W329">
        <f t="shared" ca="1" si="90"/>
        <v>311.92100996222587</v>
      </c>
      <c r="X329">
        <f t="shared" ca="1" si="100"/>
        <v>309.60050753086051</v>
      </c>
      <c r="Y329">
        <f t="shared" ca="1" si="99"/>
        <v>2.491552738607993</v>
      </c>
      <c r="Z329">
        <f t="shared" ca="1" si="101"/>
        <v>1.6415418776864243</v>
      </c>
      <c r="AA329">
        <f t="shared" ca="1" si="102"/>
        <v>0.85001086092156863</v>
      </c>
      <c r="AB329">
        <f t="shared" ca="1" si="103"/>
        <v>299.8544</v>
      </c>
    </row>
    <row r="330" spans="1:28" x14ac:dyDescent="0.25">
      <c r="A330" s="21">
        <f t="shared" ca="1" si="104"/>
        <v>45768</v>
      </c>
      <c r="B330" vm="977">
        <f ca="1"/>
        <v>45771</v>
      </c>
      <c r="C330" vm="978">
        <f ca="1"/>
        <v>316.22000000000003</v>
      </c>
      <c r="D330" vm="979">
        <f ca="1"/>
        <v>2479485</v>
      </c>
      <c r="E330">
        <f t="shared" ca="1" si="105"/>
        <v>784062746.70000005</v>
      </c>
      <c r="F330">
        <f ca="1">SUM($E$2:E330)/SUM($D$2:D330)</f>
        <v>286.31510968722864</v>
      </c>
      <c r="G330">
        <f ca="1">_xlfn.STDEV.P($C$2:C330)</f>
        <v>17.622541521602962</v>
      </c>
      <c r="H330">
        <f t="shared" ca="1" si="106"/>
        <v>303.9376512088316</v>
      </c>
      <c r="I330">
        <f t="shared" ca="1" si="107"/>
        <v>268.69256816562569</v>
      </c>
      <c r="J330">
        <f t="shared" ca="1" si="95"/>
        <v>310.3775</v>
      </c>
      <c r="K330">
        <f t="shared" ca="1" si="96"/>
        <v>6.0394718094252378</v>
      </c>
      <c r="L330">
        <f t="shared" ca="1" si="97"/>
        <v>322.45644361885047</v>
      </c>
      <c r="M330">
        <f t="shared" ca="1" si="98"/>
        <v>298.29855638114952</v>
      </c>
      <c r="N330">
        <f t="shared" ca="1" si="108"/>
        <v>-2.2599999999999909</v>
      </c>
      <c r="O330">
        <f t="shared" ca="1" si="109"/>
        <v>0</v>
      </c>
      <c r="P330">
        <f t="shared" ca="1" si="110"/>
        <v>2.2599999999999909</v>
      </c>
      <c r="Q330">
        <f t="shared" ca="1" si="93"/>
        <v>2.1241856951202363</v>
      </c>
      <c r="R330">
        <f t="shared" ca="1" si="94"/>
        <v>1.6418815706229086</v>
      </c>
      <c r="S330">
        <f t="shared" ca="1" si="91"/>
        <v>1.2937508606752604</v>
      </c>
      <c r="T330">
        <f t="shared" ca="1" si="92"/>
        <v>56.403286113400789</v>
      </c>
      <c r="U330">
        <f>70</f>
        <v>70</v>
      </c>
      <c r="V330">
        <f>30</f>
        <v>30</v>
      </c>
      <c r="W330">
        <f t="shared" ca="1" si="90"/>
        <v>312.58239304496033</v>
      </c>
      <c r="X330">
        <f t="shared" ca="1" si="100"/>
        <v>310.09084030635233</v>
      </c>
      <c r="Y330">
        <f t="shared" ca="1" si="99"/>
        <v>2.6386542301672193</v>
      </c>
      <c r="Z330">
        <f t="shared" ca="1" si="101"/>
        <v>1.8409643481825833</v>
      </c>
      <c r="AA330">
        <f t="shared" ca="1" si="102"/>
        <v>0.79768988198463608</v>
      </c>
      <c r="AB330">
        <f t="shared" ca="1" si="103"/>
        <v>300.05330000000004</v>
      </c>
    </row>
    <row r="331" spans="1:28" x14ac:dyDescent="0.25">
      <c r="A331" s="21">
        <f t="shared" ca="1" si="104"/>
        <v>45768</v>
      </c>
      <c r="B331" vm="980">
        <f ca="1"/>
        <v>45772</v>
      </c>
      <c r="C331" vm="981">
        <f ca="1"/>
        <v>316.74</v>
      </c>
      <c r="D331" vm="982">
        <f ca="1"/>
        <v>2283147</v>
      </c>
      <c r="E331">
        <f t="shared" ca="1" si="105"/>
        <v>723163980.77999997</v>
      </c>
      <c r="F331">
        <f ca="1">SUM($E$2:E331)/SUM($D$2:D331)</f>
        <v>286.37524302731873</v>
      </c>
      <c r="G331">
        <f ca="1">_xlfn.STDEV.P($C$2:C331)</f>
        <v>17.671946836620087</v>
      </c>
      <c r="H331">
        <f t="shared" ca="1" si="106"/>
        <v>304.0471898639388</v>
      </c>
      <c r="I331">
        <f t="shared" ca="1" si="107"/>
        <v>268.70329619069867</v>
      </c>
      <c r="J331">
        <f t="shared" ca="1" si="95"/>
        <v>310.58000000000004</v>
      </c>
      <c r="K331">
        <f t="shared" ca="1" si="96"/>
        <v>6.1871802947707968</v>
      </c>
      <c r="L331">
        <f t="shared" ca="1" si="97"/>
        <v>322.95436058954164</v>
      </c>
      <c r="M331">
        <f t="shared" ca="1" si="98"/>
        <v>298.20563941045845</v>
      </c>
      <c r="N331">
        <f t="shared" ca="1" si="108"/>
        <v>0.51999999999998181</v>
      </c>
      <c r="O331">
        <f t="shared" ca="1" si="109"/>
        <v>0.51999999999998181</v>
      </c>
      <c r="P331">
        <f t="shared" ca="1" si="110"/>
        <v>0</v>
      </c>
      <c r="Q331">
        <f t="shared" ca="1" si="93"/>
        <v>2.0096010026116469</v>
      </c>
      <c r="R331">
        <f t="shared" ca="1" si="94"/>
        <v>1.524604315578415</v>
      </c>
      <c r="S331">
        <f t="shared" ca="1" si="91"/>
        <v>1.3181131537393231</v>
      </c>
      <c r="T331">
        <f t="shared" ca="1" si="92"/>
        <v>56.861467336617672</v>
      </c>
      <c r="U331">
        <f>70</f>
        <v>70</v>
      </c>
      <c r="V331">
        <f>30</f>
        <v>30</v>
      </c>
      <c r="W331">
        <f t="shared" ca="1" si="90"/>
        <v>313.2220248841972</v>
      </c>
      <c r="X331">
        <f t="shared" ca="1" si="100"/>
        <v>310.58337065402998</v>
      </c>
      <c r="Y331">
        <f t="shared" ca="1" si="99"/>
        <v>2.7294185984240471</v>
      </c>
      <c r="Z331">
        <f t="shared" ca="1" si="101"/>
        <v>2.018655198230876</v>
      </c>
      <c r="AA331">
        <f t="shared" ca="1" si="102"/>
        <v>0.71076340019317108</v>
      </c>
      <c r="AB331">
        <f t="shared" ca="1" si="103"/>
        <v>300.26990000000006</v>
      </c>
    </row>
    <row r="332" spans="1:28" x14ac:dyDescent="0.25">
      <c r="A332" s="21">
        <f t="shared" ca="1" si="104"/>
        <v>45775</v>
      </c>
      <c r="B332" vm="983">
        <f ca="1"/>
        <v>45775</v>
      </c>
      <c r="C332" vm="984">
        <f ca="1"/>
        <v>316.81</v>
      </c>
      <c r="D332" vm="985">
        <f ca="1"/>
        <v>2578256</v>
      </c>
      <c r="E332">
        <f t="shared" ca="1" si="105"/>
        <v>816817283.36000001</v>
      </c>
      <c r="F332">
        <f ca="1">SUM($E$2:E332)/SUM($D$2:D332)</f>
        <v>286.4430196738503</v>
      </c>
      <c r="G332">
        <f ca="1">_xlfn.STDEV.P($C$2:C332)</f>
        <v>17.720814825889985</v>
      </c>
      <c r="H332">
        <f t="shared" ca="1" si="106"/>
        <v>304.16383449974029</v>
      </c>
      <c r="I332">
        <f t="shared" ca="1" si="107"/>
        <v>268.72220484796031</v>
      </c>
      <c r="J332">
        <f t="shared" ca="1" si="95"/>
        <v>311.06600000000009</v>
      </c>
      <c r="K332">
        <f t="shared" ca="1" si="96"/>
        <v>6.2796734745819771</v>
      </c>
      <c r="L332">
        <f t="shared" ca="1" si="97"/>
        <v>323.62534694916405</v>
      </c>
      <c r="M332">
        <f t="shared" ca="1" si="98"/>
        <v>298.50665305083612</v>
      </c>
      <c r="N332">
        <f t="shared" ca="1" si="108"/>
        <v>6.9999999999993179E-2</v>
      </c>
      <c r="O332">
        <f t="shared" ca="1" si="109"/>
        <v>6.9999999999993179E-2</v>
      </c>
      <c r="P332">
        <f t="shared" ca="1" si="110"/>
        <v>0</v>
      </c>
      <c r="Q332">
        <f t="shared" ca="1" si="93"/>
        <v>1.8710580738536715</v>
      </c>
      <c r="R332">
        <f t="shared" ca="1" si="94"/>
        <v>1.415704007322814</v>
      </c>
      <c r="S332">
        <f t="shared" ca="1" si="91"/>
        <v>1.3216449654557105</v>
      </c>
      <c r="T332">
        <f t="shared" ca="1" si="92"/>
        <v>56.927092002471092</v>
      </c>
      <c r="U332">
        <f>70</f>
        <v>70</v>
      </c>
      <c r="V332">
        <f>30</f>
        <v>30</v>
      </c>
      <c r="W332">
        <f t="shared" ca="1" si="90"/>
        <v>313.77402105585918</v>
      </c>
      <c r="X332">
        <f t="shared" ca="1" si="100"/>
        <v>311.04460245743513</v>
      </c>
      <c r="Y332">
        <f t="shared" ca="1" si="99"/>
        <v>2.5851522932301236</v>
      </c>
      <c r="Z332">
        <f t="shared" ca="1" si="101"/>
        <v>2.1319546172307255</v>
      </c>
      <c r="AA332">
        <f t="shared" ca="1" si="102"/>
        <v>0.45319767599939809</v>
      </c>
      <c r="AB332">
        <f t="shared" ca="1" si="103"/>
        <v>300.47790000000009</v>
      </c>
    </row>
    <row r="333" spans="1:28" x14ac:dyDescent="0.25">
      <c r="A333" s="21">
        <f t="shared" ca="1" si="104"/>
        <v>45775</v>
      </c>
      <c r="B333" vm="986">
        <f ca="1"/>
        <v>45776</v>
      </c>
      <c r="C333" vm="987">
        <f ca="1"/>
        <v>314.5</v>
      </c>
      <c r="D333" vm="988">
        <f ca="1"/>
        <v>3164531</v>
      </c>
      <c r="E333">
        <f t="shared" ca="1" si="105"/>
        <v>995244999.5</v>
      </c>
      <c r="F333">
        <f ca="1">SUM($E$2:E333)/SUM($D$2:D333)</f>
        <v>286.51949987629621</v>
      </c>
      <c r="G333">
        <f ca="1">_xlfn.STDEV.P($C$2:C333)</f>
        <v>17.757655987120508</v>
      </c>
      <c r="H333">
        <f t="shared" ca="1" si="106"/>
        <v>304.27715586341674</v>
      </c>
      <c r="I333">
        <f t="shared" ca="1" si="107"/>
        <v>268.76184388917568</v>
      </c>
      <c r="J333">
        <f t="shared" ca="1" si="95"/>
        <v>311.17250000000001</v>
      </c>
      <c r="K333">
        <f t="shared" ca="1" si="96"/>
        <v>6.3208792484656948</v>
      </c>
      <c r="L333">
        <f t="shared" ca="1" si="97"/>
        <v>323.81425849693142</v>
      </c>
      <c r="M333">
        <f t="shared" ca="1" si="98"/>
        <v>298.53074150306861</v>
      </c>
      <c r="N333">
        <f t="shared" ca="1" si="108"/>
        <v>-2.3100000000000023</v>
      </c>
      <c r="O333">
        <f t="shared" ca="1" si="109"/>
        <v>0</v>
      </c>
      <c r="P333">
        <f t="shared" ca="1" si="110"/>
        <v>2.3100000000000023</v>
      </c>
      <c r="Q333">
        <f t="shared" ca="1" si="93"/>
        <v>1.7374110685784092</v>
      </c>
      <c r="R333">
        <f t="shared" ca="1" si="94"/>
        <v>1.4795822925140418</v>
      </c>
      <c r="S333">
        <f t="shared" ca="1" si="91"/>
        <v>1.1742578140931086</v>
      </c>
      <c r="T333">
        <f t="shared" ca="1" si="92"/>
        <v>54.007294189391978</v>
      </c>
      <c r="U333">
        <f>70</f>
        <v>70</v>
      </c>
      <c r="V333">
        <f>30</f>
        <v>30</v>
      </c>
      <c r="W333">
        <f t="shared" ca="1" si="90"/>
        <v>313.88571012418856</v>
      </c>
      <c r="X333">
        <f t="shared" ca="1" si="100"/>
        <v>311.30055783095844</v>
      </c>
      <c r="Y333">
        <f t="shared" ca="1" si="99"/>
        <v>2.8534889225712732</v>
      </c>
      <c r="Z333">
        <f t="shared" ca="1" si="101"/>
        <v>2.2762614782988351</v>
      </c>
      <c r="AA333">
        <f t="shared" ca="1" si="102"/>
        <v>0.57722744427243811</v>
      </c>
      <c r="AB333">
        <f t="shared" ca="1" si="103"/>
        <v>300.69850000000008</v>
      </c>
    </row>
    <row r="334" spans="1:28" x14ac:dyDescent="0.25">
      <c r="A334" s="21">
        <f t="shared" ca="1" si="104"/>
        <v>45775</v>
      </c>
      <c r="B334" vm="989">
        <f ca="1"/>
        <v>45777</v>
      </c>
      <c r="C334" vm="990">
        <f ca="1"/>
        <v>319.64999999999998</v>
      </c>
      <c r="D334" vm="991">
        <f ca="1"/>
        <v>5564594</v>
      </c>
      <c r="E334">
        <f t="shared" ca="1" si="105"/>
        <v>1778722472.0999999</v>
      </c>
      <c r="F334">
        <f ca="1">SUM($E$2:E334)/SUM($D$2:D334)</f>
        <v>286.67754587409291</v>
      </c>
      <c r="G334">
        <f ca="1">_xlfn.STDEV.P($C$2:C334)</f>
        <v>17.819697063273836</v>
      </c>
      <c r="H334">
        <f t="shared" ca="1" si="106"/>
        <v>304.49724293736676</v>
      </c>
      <c r="I334">
        <f t="shared" ca="1" si="107"/>
        <v>268.85784881081906</v>
      </c>
      <c r="J334">
        <f t="shared" ca="1" si="95"/>
        <v>311.47350000000006</v>
      </c>
      <c r="K334">
        <f t="shared" ca="1" si="96"/>
        <v>6.5820067928446155</v>
      </c>
      <c r="L334">
        <f t="shared" ca="1" si="97"/>
        <v>324.63751358568931</v>
      </c>
      <c r="M334">
        <f t="shared" ca="1" si="98"/>
        <v>298.30948641431081</v>
      </c>
      <c r="N334">
        <f t="shared" ca="1" si="108"/>
        <v>5.1499999999999773</v>
      </c>
      <c r="O334">
        <f t="shared" ca="1" si="109"/>
        <v>5.1499999999999773</v>
      </c>
      <c r="P334">
        <f t="shared" ca="1" si="110"/>
        <v>0</v>
      </c>
      <c r="Q334">
        <f t="shared" ca="1" si="93"/>
        <v>1.9811674208228069</v>
      </c>
      <c r="R334">
        <f t="shared" ca="1" si="94"/>
        <v>1.3738978430487532</v>
      </c>
      <c r="S334">
        <f t="shared" ca="1" si="91"/>
        <v>1.442004899306407</v>
      </c>
      <c r="T334">
        <f t="shared" ca="1" si="92"/>
        <v>59.050041206550155</v>
      </c>
      <c r="U334">
        <f>70</f>
        <v>70</v>
      </c>
      <c r="V334">
        <f>30</f>
        <v>30</v>
      </c>
      <c r="W334">
        <f t="shared" ca="1" si="90"/>
        <v>314.77252395123645</v>
      </c>
      <c r="X334">
        <f t="shared" ca="1" si="100"/>
        <v>311.91903502866518</v>
      </c>
      <c r="Y334">
        <f t="shared" ca="1" si="99"/>
        <v>2.5517755817693342</v>
      </c>
      <c r="Z334">
        <f t="shared" ca="1" si="101"/>
        <v>2.3313642989929351</v>
      </c>
      <c r="AA334">
        <f t="shared" ca="1" si="102"/>
        <v>0.2204112827763991</v>
      </c>
      <c r="AB334">
        <f t="shared" ca="1" si="103"/>
        <v>300.95000000000005</v>
      </c>
    </row>
    <row r="335" spans="1:28" x14ac:dyDescent="0.25">
      <c r="A335" s="21">
        <f t="shared" ca="1" si="104"/>
        <v>45775</v>
      </c>
      <c r="B335" vm="992">
        <f ca="1"/>
        <v>45778</v>
      </c>
      <c r="C335" vm="993">
        <f ca="1"/>
        <v>313.64</v>
      </c>
      <c r="D335" vm="994">
        <f ca="1"/>
        <v>5186858</v>
      </c>
      <c r="E335">
        <f t="shared" ca="1" si="105"/>
        <v>1626806143.1199999</v>
      </c>
      <c r="F335">
        <f ca="1">SUM($E$2:E335)/SUM($D$2:D335)</f>
        <v>286.79690591522456</v>
      </c>
      <c r="G335">
        <f ca="1">_xlfn.STDEV.P($C$2:C335)</f>
        <v>17.85114932153035</v>
      </c>
      <c r="H335">
        <f t="shared" ca="1" si="106"/>
        <v>304.64805523675489</v>
      </c>
      <c r="I335">
        <f t="shared" ca="1" si="107"/>
        <v>268.94575659369423</v>
      </c>
      <c r="J335">
        <f t="shared" ca="1" si="95"/>
        <v>311.57650000000001</v>
      </c>
      <c r="K335">
        <f t="shared" ca="1" si="96"/>
        <v>6.5998550821410609</v>
      </c>
      <c r="L335">
        <f t="shared" ca="1" si="97"/>
        <v>324.77621016428213</v>
      </c>
      <c r="M335">
        <f t="shared" ca="1" si="98"/>
        <v>298.37678983571789</v>
      </c>
      <c r="N335">
        <f t="shared" ca="1" si="108"/>
        <v>-6.0099999999999909</v>
      </c>
      <c r="O335">
        <f t="shared" ca="1" si="109"/>
        <v>0</v>
      </c>
      <c r="P335">
        <f t="shared" ca="1" si="110"/>
        <v>6.0099999999999909</v>
      </c>
      <c r="Q335">
        <f t="shared" ca="1" si="93"/>
        <v>1.8396554621926064</v>
      </c>
      <c r="R335">
        <f t="shared" ca="1" si="94"/>
        <v>1.7050479971166987</v>
      </c>
      <c r="S335">
        <f t="shared" ca="1" si="91"/>
        <v>1.0789464374630708</v>
      </c>
      <c r="T335">
        <f t="shared" ca="1" si="92"/>
        <v>51.898712637334917</v>
      </c>
      <c r="U335">
        <f>70</f>
        <v>70</v>
      </c>
      <c r="V335">
        <f>30</f>
        <v>30</v>
      </c>
      <c r="W335">
        <f t="shared" ref="W335:W398" ca="1" si="111">C335*(2/(12+1)) + W334*(1-(2/(12+1)))</f>
        <v>314.59828949720008</v>
      </c>
      <c r="X335">
        <f t="shared" ca="1" si="100"/>
        <v>312.04651391543075</v>
      </c>
      <c r="Y335">
        <f t="shared" ca="1" si="99"/>
        <v>2.1522933280724601</v>
      </c>
      <c r="Z335">
        <f t="shared" ca="1" si="101"/>
        <v>2.2955501048088403</v>
      </c>
      <c r="AA335">
        <f t="shared" ca="1" si="102"/>
        <v>-0.14325677673638015</v>
      </c>
      <c r="AB335">
        <f t="shared" ca="1" si="103"/>
        <v>301.13550000000009</v>
      </c>
    </row>
    <row r="336" spans="1:28" x14ac:dyDescent="0.25">
      <c r="A336" s="21">
        <f t="shared" ca="1" si="104"/>
        <v>45775</v>
      </c>
      <c r="B336" vm="995">
        <f ca="1"/>
        <v>45779</v>
      </c>
      <c r="C336" vm="996">
        <f ca="1"/>
        <v>311.95999999999998</v>
      </c>
      <c r="D336" vm="997">
        <f ca="1"/>
        <v>3994578</v>
      </c>
      <c r="E336">
        <f t="shared" ca="1" si="105"/>
        <v>1246148552.8799999</v>
      </c>
      <c r="F336">
        <f ca="1">SUM($E$2:E336)/SUM($D$2:D336)</f>
        <v>286.88240313736105</v>
      </c>
      <c r="G336">
        <f ca="1">_xlfn.STDEV.P($C$2:C336)</f>
        <v>17.874901750296633</v>
      </c>
      <c r="H336">
        <f t="shared" ca="1" si="106"/>
        <v>304.75730488765771</v>
      </c>
      <c r="I336">
        <f t="shared" ca="1" si="107"/>
        <v>269.00750138706439</v>
      </c>
      <c r="J336">
        <f t="shared" ca="1" si="95"/>
        <v>311.26100000000002</v>
      </c>
      <c r="K336">
        <f t="shared" ca="1" si="96"/>
        <v>6.4111620590473652</v>
      </c>
      <c r="L336">
        <f t="shared" ca="1" si="97"/>
        <v>324.08332411809477</v>
      </c>
      <c r="M336">
        <f t="shared" ca="1" si="98"/>
        <v>298.43867588190528</v>
      </c>
      <c r="N336">
        <f t="shared" ca="1" si="108"/>
        <v>-1.6800000000000068</v>
      </c>
      <c r="O336">
        <f t="shared" ca="1" si="109"/>
        <v>0</v>
      </c>
      <c r="P336">
        <f t="shared" ca="1" si="110"/>
        <v>1.6800000000000068</v>
      </c>
      <c r="Q336">
        <f t="shared" ca="1" si="93"/>
        <v>1.7082515006074204</v>
      </c>
      <c r="R336">
        <f t="shared" ca="1" si="94"/>
        <v>1.7032588544655065</v>
      </c>
      <c r="S336">
        <f t="shared" ref="S336:S399" ca="1" si="112">IF(R336=0,NA(),Q336/R336)</f>
        <v>1.0029312315792895</v>
      </c>
      <c r="T336">
        <f t="shared" ref="T336:T399" ca="1" si="113">100-(100/(1+S336))</f>
        <v>50.073173545179031</v>
      </c>
      <c r="U336">
        <f>70</f>
        <v>70</v>
      </c>
      <c r="V336">
        <f>30</f>
        <v>30</v>
      </c>
      <c r="W336">
        <f t="shared" ca="1" si="111"/>
        <v>314.19239880532314</v>
      </c>
      <c r="X336">
        <f t="shared" ca="1" si="100"/>
        <v>312.04010547725068</v>
      </c>
      <c r="Y336">
        <f t="shared" ca="1" si="99"/>
        <v>2.1147241170213533</v>
      </c>
      <c r="Z336">
        <f t="shared" ca="1" si="101"/>
        <v>2.2593849072513428</v>
      </c>
      <c r="AA336">
        <f t="shared" ca="1" si="102"/>
        <v>-0.14466079022998946</v>
      </c>
      <c r="AB336">
        <f t="shared" ca="1" si="103"/>
        <v>301.26040000000006</v>
      </c>
    </row>
    <row r="337" spans="1:28" x14ac:dyDescent="0.25">
      <c r="A337" s="21">
        <f t="shared" ca="1" si="104"/>
        <v>45782</v>
      </c>
      <c r="B337" vm="998">
        <f ca="1"/>
        <v>45782</v>
      </c>
      <c r="C337" vm="999">
        <f ca="1"/>
        <v>315.72000000000003</v>
      </c>
      <c r="D337" vm="1000">
        <f ca="1"/>
        <v>3534301</v>
      </c>
      <c r="E337">
        <f t="shared" ca="1" si="105"/>
        <v>1115849511.72</v>
      </c>
      <c r="F337">
        <f ca="1">SUM($E$2:E337)/SUM($D$2:D337)</f>
        <v>286.96883542967947</v>
      </c>
      <c r="G337">
        <f ca="1">_xlfn.STDEV.P($C$2:C337)</f>
        <v>17.914631376819099</v>
      </c>
      <c r="H337">
        <f t="shared" ca="1" si="106"/>
        <v>304.88346680649857</v>
      </c>
      <c r="I337">
        <f t="shared" ca="1" si="107"/>
        <v>269.05420405286037</v>
      </c>
      <c r="J337">
        <f t="shared" ca="1" si="95"/>
        <v>312.04149999999998</v>
      </c>
      <c r="K337">
        <f t="shared" ca="1" si="96"/>
        <v>5.9130153274922224</v>
      </c>
      <c r="L337">
        <f t="shared" ca="1" si="97"/>
        <v>323.86753065498442</v>
      </c>
      <c r="M337">
        <f t="shared" ca="1" si="98"/>
        <v>300.21546934501555</v>
      </c>
      <c r="N337">
        <f t="shared" ca="1" si="108"/>
        <v>3.7600000000000477</v>
      </c>
      <c r="O337">
        <f t="shared" ca="1" si="109"/>
        <v>3.7600000000000477</v>
      </c>
      <c r="P337">
        <f t="shared" ca="1" si="110"/>
        <v>0</v>
      </c>
      <c r="Q337">
        <f t="shared" ref="Q337:Q400" ca="1" si="114">(Q336*13+O337)/14</f>
        <v>1.8548049648497511</v>
      </c>
      <c r="R337">
        <f t="shared" ref="R337:R400" ca="1" si="115">(R336*13+P337)/14</f>
        <v>1.5815975077179705</v>
      </c>
      <c r="S337">
        <f t="shared" ca="1" si="112"/>
        <v>1.172741456532757</v>
      </c>
      <c r="T337">
        <f t="shared" ca="1" si="113"/>
        <v>53.975195852534064</v>
      </c>
      <c r="U337">
        <f>70</f>
        <v>70</v>
      </c>
      <c r="V337">
        <f>30</f>
        <v>30</v>
      </c>
      <c r="W337">
        <f t="shared" ca="1" si="111"/>
        <v>314.42741437373496</v>
      </c>
      <c r="X337">
        <f t="shared" ca="1" si="100"/>
        <v>312.31269025671361</v>
      </c>
      <c r="Y337">
        <f t="shared" ca="1" si="99"/>
        <v>2.1465462551776682</v>
      </c>
      <c r="Z337">
        <f t="shared" ca="1" si="101"/>
        <v>2.2368171768366079</v>
      </c>
      <c r="AA337">
        <f t="shared" ca="1" si="102"/>
        <v>-9.0270921658939685E-2</v>
      </c>
      <c r="AB337">
        <f t="shared" ca="1" si="103"/>
        <v>301.42780000000005</v>
      </c>
    </row>
    <row r="338" spans="1:28" x14ac:dyDescent="0.25">
      <c r="A338" s="21">
        <f t="shared" ca="1" si="104"/>
        <v>45782</v>
      </c>
      <c r="B338" vm="1001">
        <f ca="1"/>
        <v>45783</v>
      </c>
      <c r="C338" vm="1002">
        <f ca="1"/>
        <v>316.79000000000002</v>
      </c>
      <c r="D338" vm="1003">
        <f ca="1"/>
        <v>2691660</v>
      </c>
      <c r="E338">
        <f t="shared" ca="1" si="105"/>
        <v>852690971.4000001</v>
      </c>
      <c r="F338">
        <f ca="1">SUM($E$2:E338)/SUM($D$2:D338)</f>
        <v>287.03675079355645</v>
      </c>
      <c r="G338">
        <f ca="1">_xlfn.STDEV.P($C$2:C338)</f>
        <v>17.958711953773602</v>
      </c>
      <c r="H338">
        <f t="shared" ca="1" si="106"/>
        <v>304.99546274733007</v>
      </c>
      <c r="I338">
        <f t="shared" ca="1" si="107"/>
        <v>269.07803883978283</v>
      </c>
      <c r="J338">
        <f t="shared" ca="1" si="95"/>
        <v>312.88650000000001</v>
      </c>
      <c r="K338">
        <f t="shared" ca="1" si="96"/>
        <v>5.2561745895460454</v>
      </c>
      <c r="L338">
        <f t="shared" ca="1" si="97"/>
        <v>323.39884917909211</v>
      </c>
      <c r="M338">
        <f t="shared" ca="1" si="98"/>
        <v>302.37415082090791</v>
      </c>
      <c r="N338">
        <f t="shared" ca="1" si="108"/>
        <v>1.0699999999999932</v>
      </c>
      <c r="O338">
        <f t="shared" ca="1" si="109"/>
        <v>1.0699999999999932</v>
      </c>
      <c r="P338">
        <f t="shared" ca="1" si="110"/>
        <v>0</v>
      </c>
      <c r="Q338">
        <f t="shared" ca="1" si="114"/>
        <v>1.7987474673604829</v>
      </c>
      <c r="R338">
        <f t="shared" ca="1" si="115"/>
        <v>1.4686262571666868</v>
      </c>
      <c r="S338">
        <f t="shared" ca="1" si="112"/>
        <v>1.2247823151621127</v>
      </c>
      <c r="T338">
        <f t="shared" ca="1" si="113"/>
        <v>55.051782226741892</v>
      </c>
      <c r="U338">
        <f>70</f>
        <v>70</v>
      </c>
      <c r="V338">
        <f>30</f>
        <v>30</v>
      </c>
      <c r="W338">
        <f t="shared" ca="1" si="111"/>
        <v>314.79088908546805</v>
      </c>
      <c r="X338">
        <f t="shared" ca="1" si="100"/>
        <v>312.64434283029038</v>
      </c>
      <c r="Y338">
        <f t="shared" ca="1" si="99"/>
        <v>2.2539106511101181</v>
      </c>
      <c r="Z338">
        <f t="shared" ca="1" si="101"/>
        <v>2.24023587169131</v>
      </c>
      <c r="AA338">
        <f t="shared" ca="1" si="102"/>
        <v>1.3674779418808125E-2</v>
      </c>
      <c r="AB338">
        <f t="shared" ca="1" si="103"/>
        <v>301.58200000000005</v>
      </c>
    </row>
    <row r="339" spans="1:28" x14ac:dyDescent="0.25">
      <c r="A339" s="21">
        <f t="shared" ca="1" si="104"/>
        <v>45782</v>
      </c>
      <c r="B339" vm="1004">
        <f ca="1"/>
        <v>45784</v>
      </c>
      <c r="C339" vm="1005">
        <f ca="1"/>
        <v>318.13</v>
      </c>
      <c r="D339" vm="1006">
        <f ca="1"/>
        <v>2726245</v>
      </c>
      <c r="E339">
        <f t="shared" ca="1" si="105"/>
        <v>867300321.85000002</v>
      </c>
      <c r="F339">
        <f ca="1">SUM($E$2:E339)/SUM($D$2:D339)</f>
        <v>287.10830803582735</v>
      </c>
      <c r="G339">
        <f ca="1">_xlfn.STDEV.P($C$2:C339)</f>
        <v>18.008562009748037</v>
      </c>
      <c r="H339">
        <f t="shared" ca="1" si="106"/>
        <v>305.11687004557541</v>
      </c>
      <c r="I339">
        <f t="shared" ca="1" si="107"/>
        <v>269.09974602607929</v>
      </c>
      <c r="J339">
        <f t="shared" ca="1" si="95"/>
        <v>313.80149999999998</v>
      </c>
      <c r="K339">
        <f t="shared" ca="1" si="96"/>
        <v>4.3841680180538631</v>
      </c>
      <c r="L339">
        <f t="shared" ca="1" si="97"/>
        <v>322.56983603610769</v>
      </c>
      <c r="M339">
        <f t="shared" ca="1" si="98"/>
        <v>305.03316396389226</v>
      </c>
      <c r="N339">
        <f t="shared" ca="1" si="108"/>
        <v>1.339999999999975</v>
      </c>
      <c r="O339">
        <f t="shared" ca="1" si="109"/>
        <v>1.339999999999975</v>
      </c>
      <c r="P339">
        <f t="shared" ca="1" si="110"/>
        <v>0</v>
      </c>
      <c r="Q339">
        <f t="shared" ca="1" si="114"/>
        <v>1.7659797911204467</v>
      </c>
      <c r="R339">
        <f t="shared" ca="1" si="115"/>
        <v>1.3637243816547806</v>
      </c>
      <c r="S339">
        <f t="shared" ca="1" si="112"/>
        <v>1.2949682610921411</v>
      </c>
      <c r="T339">
        <f t="shared" ca="1" si="113"/>
        <v>56.426412645719338</v>
      </c>
      <c r="U339">
        <f>70</f>
        <v>70</v>
      </c>
      <c r="V339">
        <f>30</f>
        <v>30</v>
      </c>
      <c r="W339">
        <f t="shared" ca="1" si="111"/>
        <v>315.30459845693451</v>
      </c>
      <c r="X339">
        <f t="shared" ca="1" si="100"/>
        <v>313.0506878058244</v>
      </c>
      <c r="Y339">
        <f t="shared" ca="1" si="99"/>
        <v>1.9422000137225268</v>
      </c>
      <c r="Z339">
        <f t="shared" ca="1" si="101"/>
        <v>2.1806287000975537</v>
      </c>
      <c r="AA339">
        <f t="shared" ca="1" si="102"/>
        <v>-0.2384286863750269</v>
      </c>
      <c r="AB339">
        <f t="shared" ca="1" si="103"/>
        <v>301.75620000000004</v>
      </c>
    </row>
    <row r="340" spans="1:28" x14ac:dyDescent="0.25">
      <c r="A340" s="21">
        <f t="shared" ca="1" si="104"/>
        <v>45782</v>
      </c>
      <c r="B340" vm="1007">
        <f ca="1"/>
        <v>45785</v>
      </c>
      <c r="C340" vm="1008">
        <f ca="1"/>
        <v>313.49</v>
      </c>
      <c r="D340" vm="1009">
        <f ca="1"/>
        <v>2131496</v>
      </c>
      <c r="E340">
        <f t="shared" ca="1" si="105"/>
        <v>668202681.03999996</v>
      </c>
      <c r="F340">
        <f ca="1">SUM($E$2:E340)/SUM($D$2:D340)</f>
        <v>287.15569174370211</v>
      </c>
      <c r="G340">
        <f ca="1">_xlfn.STDEV.P($C$2:C340)</f>
        <v>18.036279940775906</v>
      </c>
      <c r="H340">
        <f t="shared" ca="1" si="106"/>
        <v>305.19197168447801</v>
      </c>
      <c r="I340">
        <f t="shared" ca="1" si="107"/>
        <v>269.11941180292621</v>
      </c>
      <c r="J340">
        <f t="shared" ca="1" si="95"/>
        <v>314.27800000000002</v>
      </c>
      <c r="K340">
        <f t="shared" ca="1" si="96"/>
        <v>3.7268479697290697</v>
      </c>
      <c r="L340">
        <f t="shared" ca="1" si="97"/>
        <v>321.73169593945818</v>
      </c>
      <c r="M340">
        <f t="shared" ca="1" si="98"/>
        <v>306.82430406054186</v>
      </c>
      <c r="N340">
        <f t="shared" ca="1" si="108"/>
        <v>-4.6399999999999864</v>
      </c>
      <c r="O340">
        <f t="shared" ca="1" si="109"/>
        <v>0</v>
      </c>
      <c r="P340">
        <f t="shared" ca="1" si="110"/>
        <v>4.6399999999999864</v>
      </c>
      <c r="Q340">
        <f t="shared" ca="1" si="114"/>
        <v>1.6398383774689862</v>
      </c>
      <c r="R340">
        <f t="shared" ca="1" si="115"/>
        <v>1.5977440686794382</v>
      </c>
      <c r="S340">
        <f t="shared" ca="1" si="112"/>
        <v>1.0263460898492582</v>
      </c>
      <c r="T340">
        <f t="shared" ca="1" si="113"/>
        <v>50.650088599899981</v>
      </c>
      <c r="U340">
        <f>70</f>
        <v>70</v>
      </c>
      <c r="V340">
        <f>30</f>
        <v>30</v>
      </c>
      <c r="W340">
        <f t="shared" ca="1" si="111"/>
        <v>315.02542946355993</v>
      </c>
      <c r="X340">
        <f t="shared" ca="1" si="100"/>
        <v>313.0832294498374</v>
      </c>
      <c r="Y340">
        <f t="shared" ca="1" si="99"/>
        <v>1.6910056395445281</v>
      </c>
      <c r="Z340">
        <f t="shared" ca="1" si="101"/>
        <v>2.0827040879869489</v>
      </c>
      <c r="AA340">
        <f t="shared" ca="1" si="102"/>
        <v>-0.39169844844242085</v>
      </c>
      <c r="AB340">
        <f t="shared" ca="1" si="103"/>
        <v>301.9301000000001</v>
      </c>
    </row>
    <row r="341" spans="1:28" x14ac:dyDescent="0.25">
      <c r="A341" s="21">
        <f t="shared" ca="1" si="104"/>
        <v>45782</v>
      </c>
      <c r="B341" vm="1010">
        <f ca="1"/>
        <v>45786</v>
      </c>
      <c r="C341" vm="1011">
        <f ca="1"/>
        <v>313.68</v>
      </c>
      <c r="D341" vm="1012">
        <f ca="1"/>
        <v>1917830</v>
      </c>
      <c r="E341">
        <f t="shared" ca="1" si="105"/>
        <v>601584914.39999998</v>
      </c>
      <c r="F341">
        <f ca="1">SUM($E$2:E341)/SUM($D$2:D341)</f>
        <v>287.19848691596053</v>
      </c>
      <c r="G341">
        <f ca="1">_xlfn.STDEV.P($C$2:C341)</f>
        <v>18.064271141933002</v>
      </c>
      <c r="H341">
        <f t="shared" ca="1" si="106"/>
        <v>305.26275805789351</v>
      </c>
      <c r="I341">
        <f t="shared" ca="1" si="107"/>
        <v>269.13421577402755</v>
      </c>
      <c r="J341">
        <f t="shared" ca="1" si="95"/>
        <v>314.62300000000005</v>
      </c>
      <c r="K341">
        <f t="shared" ca="1" si="96"/>
        <v>3.2899817628673844</v>
      </c>
      <c r="L341">
        <f t="shared" ca="1" si="97"/>
        <v>321.20296352573484</v>
      </c>
      <c r="M341">
        <f t="shared" ca="1" si="98"/>
        <v>308.04303647426525</v>
      </c>
      <c r="N341">
        <f t="shared" ca="1" si="108"/>
        <v>0.18999999999999773</v>
      </c>
      <c r="O341">
        <f t="shared" ca="1" si="109"/>
        <v>0.18999999999999773</v>
      </c>
      <c r="P341">
        <f t="shared" ca="1" si="110"/>
        <v>0</v>
      </c>
      <c r="Q341">
        <f t="shared" ca="1" si="114"/>
        <v>1.5362784933640585</v>
      </c>
      <c r="R341">
        <f t="shared" ca="1" si="115"/>
        <v>1.4836194923451926</v>
      </c>
      <c r="S341">
        <f t="shared" ca="1" si="112"/>
        <v>1.035493602834529</v>
      </c>
      <c r="T341">
        <f t="shared" ca="1" si="113"/>
        <v>50.8718672165096</v>
      </c>
      <c r="U341">
        <f>70</f>
        <v>70</v>
      </c>
      <c r="V341">
        <f>30</f>
        <v>30</v>
      </c>
      <c r="W341">
        <f t="shared" ca="1" si="111"/>
        <v>314.81844031531989</v>
      </c>
      <c r="X341">
        <f t="shared" ca="1" si="100"/>
        <v>313.12743467577536</v>
      </c>
      <c r="Y341">
        <f t="shared" ca="1" si="99"/>
        <v>1.3345313504929663</v>
      </c>
      <c r="Z341">
        <f t="shared" ca="1" si="101"/>
        <v>1.9330695404881526</v>
      </c>
      <c r="AA341">
        <f t="shared" ca="1" si="102"/>
        <v>-0.59853818999518626</v>
      </c>
      <c r="AB341">
        <f t="shared" ca="1" si="103"/>
        <v>302.1006000000001</v>
      </c>
    </row>
    <row r="342" spans="1:28" x14ac:dyDescent="0.25">
      <c r="A342" s="21">
        <f t="shared" ca="1" si="104"/>
        <v>45789</v>
      </c>
      <c r="B342" vm="1013">
        <f ca="1"/>
        <v>45789</v>
      </c>
      <c r="C342" vm="1014">
        <f ca="1"/>
        <v>311.92</v>
      </c>
      <c r="D342" vm="1015">
        <f ca="1"/>
        <v>4137861</v>
      </c>
      <c r="E342">
        <f t="shared" ca="1" si="105"/>
        <v>1290681603.1200001</v>
      </c>
      <c r="F342">
        <f ca="1">SUM($E$2:E342)/SUM($D$2:D342)</f>
        <v>287.28424643825178</v>
      </c>
      <c r="G342">
        <f ca="1">_xlfn.STDEV.P($C$2:C342)</f>
        <v>18.084640474787701</v>
      </c>
      <c r="H342">
        <f t="shared" ca="1" si="106"/>
        <v>305.36888691303949</v>
      </c>
      <c r="I342">
        <f t="shared" ca="1" si="107"/>
        <v>269.19960596346408</v>
      </c>
      <c r="J342">
        <f t="shared" ref="J342:J405" ca="1" si="116">AVERAGE(C323:C342)</f>
        <v>314.72399999999999</v>
      </c>
      <c r="K342">
        <f t="shared" ref="K342:K405" ca="1" si="117">_xlfn.STDEV.S(C323:C342)</f>
        <v>3.1660292248543032</v>
      </c>
      <c r="L342">
        <f t="shared" ref="L342:L405" ca="1" si="118">J342 + 2*K342</f>
        <v>321.05605844970859</v>
      </c>
      <c r="M342">
        <f t="shared" ref="M342:M405" ca="1" si="119">J342-2*K342</f>
        <v>308.39194155029139</v>
      </c>
      <c r="N342">
        <f t="shared" ca="1" si="108"/>
        <v>-1.7599999999999909</v>
      </c>
      <c r="O342">
        <f t="shared" ca="1" si="109"/>
        <v>0</v>
      </c>
      <c r="P342">
        <f t="shared" ca="1" si="110"/>
        <v>1.7599999999999909</v>
      </c>
      <c r="Q342">
        <f t="shared" ca="1" si="114"/>
        <v>1.4265443152666257</v>
      </c>
      <c r="R342">
        <f t="shared" ca="1" si="115"/>
        <v>1.5033609571776783</v>
      </c>
      <c r="S342">
        <f t="shared" ca="1" si="112"/>
        <v>0.94890339439487403</v>
      </c>
      <c r="T342">
        <f t="shared" ca="1" si="113"/>
        <v>48.689093421662619</v>
      </c>
      <c r="U342">
        <f>70</f>
        <v>70</v>
      </c>
      <c r="V342">
        <f>30</f>
        <v>30</v>
      </c>
      <c r="W342">
        <f t="shared" ca="1" si="111"/>
        <v>314.37252642065533</v>
      </c>
      <c r="X342">
        <f t="shared" ca="1" si="100"/>
        <v>313.03799507016237</v>
      </c>
      <c r="Y342">
        <f t="shared" ca="1" si="99"/>
        <v>0.78237022544686852</v>
      </c>
      <c r="Z342">
        <f t="shared" ca="1" si="101"/>
        <v>1.7029296774798959</v>
      </c>
      <c r="AA342">
        <f t="shared" ca="1" si="102"/>
        <v>-0.92055945203302736</v>
      </c>
      <c r="AB342">
        <f t="shared" ca="1" si="103"/>
        <v>302.25380000000007</v>
      </c>
    </row>
    <row r="343" spans="1:28" x14ac:dyDescent="0.25">
      <c r="A343" s="21">
        <f t="shared" ca="1" si="104"/>
        <v>45789</v>
      </c>
      <c r="B343" vm="1016">
        <f ca="1"/>
        <v>45790</v>
      </c>
      <c r="C343" vm="1017">
        <f ca="1"/>
        <v>308.69</v>
      </c>
      <c r="D343" vm="1018">
        <f ca="1"/>
        <v>3018600</v>
      </c>
      <c r="E343">
        <f t="shared" ca="1" si="105"/>
        <v>931811634</v>
      </c>
      <c r="F343">
        <f ca="1">SUM($E$2:E343)/SUM($D$2:D343)</f>
        <v>287.33828077497202</v>
      </c>
      <c r="G343">
        <f ca="1">_xlfn.STDEV.P($C$2:C343)</f>
        <v>18.092951453517475</v>
      </c>
      <c r="H343">
        <f t="shared" ca="1" si="106"/>
        <v>305.43123222848948</v>
      </c>
      <c r="I343">
        <f t="shared" ca="1" si="107"/>
        <v>269.24532932145456</v>
      </c>
      <c r="J343">
        <f t="shared" ca="1" si="116"/>
        <v>314.35499999999996</v>
      </c>
      <c r="K343">
        <f t="shared" ca="1" si="117"/>
        <v>3.4207209150919251</v>
      </c>
      <c r="L343">
        <f t="shared" ca="1" si="118"/>
        <v>321.1964418301838</v>
      </c>
      <c r="M343">
        <f t="shared" ca="1" si="119"/>
        <v>307.51355816981612</v>
      </c>
      <c r="N343">
        <f t="shared" ca="1" si="108"/>
        <v>-3.2300000000000182</v>
      </c>
      <c r="O343">
        <f t="shared" ca="1" si="109"/>
        <v>0</v>
      </c>
      <c r="P343">
        <f t="shared" ca="1" si="110"/>
        <v>3.2300000000000182</v>
      </c>
      <c r="Q343">
        <f t="shared" ca="1" si="114"/>
        <v>1.3246482927475809</v>
      </c>
      <c r="R343">
        <f t="shared" ca="1" si="115"/>
        <v>1.6266923173792738</v>
      </c>
      <c r="S343">
        <f t="shared" ca="1" si="112"/>
        <v>0.8143201259361027</v>
      </c>
      <c r="T343">
        <f t="shared" ca="1" si="113"/>
        <v>44.882935171980876</v>
      </c>
      <c r="U343">
        <f>70</f>
        <v>70</v>
      </c>
      <c r="V343">
        <f>30</f>
        <v>30</v>
      </c>
      <c r="W343">
        <f t="shared" ca="1" si="111"/>
        <v>313.49829158670832</v>
      </c>
      <c r="X343">
        <f t="shared" ca="1" si="100"/>
        <v>312.71592136126145</v>
      </c>
      <c r="Y343">
        <f t="shared" ca="1" si="99"/>
        <v>0.24592068046268878</v>
      </c>
      <c r="Z343">
        <f t="shared" ca="1" si="101"/>
        <v>1.4115278780764546</v>
      </c>
      <c r="AA343">
        <f t="shared" ca="1" si="102"/>
        <v>-1.1656071976137659</v>
      </c>
      <c r="AB343">
        <f t="shared" ca="1" si="103"/>
        <v>302.36360000000008</v>
      </c>
    </row>
    <row r="344" spans="1:28" x14ac:dyDescent="0.25">
      <c r="A344" s="21">
        <f t="shared" ca="1" si="104"/>
        <v>45789</v>
      </c>
      <c r="B344" vm="1019">
        <f ca="1"/>
        <v>45791</v>
      </c>
      <c r="C344" vm="1020">
        <f ca="1"/>
        <v>307.5</v>
      </c>
      <c r="D344" vm="1021">
        <f ca="1"/>
        <v>2657043</v>
      </c>
      <c r="E344">
        <f t="shared" ca="1" si="105"/>
        <v>817040722.5</v>
      </c>
      <c r="F344">
        <f ca="1">SUM($E$2:E344)/SUM($D$2:D344)</f>
        <v>287.38297958642369</v>
      </c>
      <c r="G344">
        <f ca="1">_xlfn.STDEV.P($C$2:C344)</f>
        <v>18.097165031691947</v>
      </c>
      <c r="H344">
        <f t="shared" ca="1" si="106"/>
        <v>305.48014461811562</v>
      </c>
      <c r="I344">
        <f t="shared" ca="1" si="107"/>
        <v>269.28581455473176</v>
      </c>
      <c r="J344">
        <f t="shared" ca="1" si="116"/>
        <v>314.10599999999999</v>
      </c>
      <c r="K344">
        <f t="shared" ca="1" si="117"/>
        <v>3.7315206438916362</v>
      </c>
      <c r="L344">
        <f t="shared" ca="1" si="118"/>
        <v>321.56904128778325</v>
      </c>
      <c r="M344">
        <f t="shared" ca="1" si="119"/>
        <v>306.64295871221674</v>
      </c>
      <c r="N344">
        <f t="shared" ca="1" si="108"/>
        <v>-1.1899999999999977</v>
      </c>
      <c r="O344">
        <f t="shared" ca="1" si="109"/>
        <v>0</v>
      </c>
      <c r="P344">
        <f t="shared" ca="1" si="110"/>
        <v>1.1899999999999977</v>
      </c>
      <c r="Q344">
        <f t="shared" ca="1" si="114"/>
        <v>1.2300305575513251</v>
      </c>
      <c r="R344">
        <f t="shared" ca="1" si="115"/>
        <v>1.59550000899504</v>
      </c>
      <c r="S344">
        <f t="shared" ca="1" si="112"/>
        <v>0.77093735544764197</v>
      </c>
      <c r="T344">
        <f t="shared" ca="1" si="113"/>
        <v>43.532728759497608</v>
      </c>
      <c r="U344">
        <f>70</f>
        <v>70</v>
      </c>
      <c r="V344">
        <f>30</f>
        <v>30</v>
      </c>
      <c r="W344">
        <f t="shared" ca="1" si="111"/>
        <v>312.5754774964455</v>
      </c>
      <c r="X344">
        <f t="shared" ca="1" si="100"/>
        <v>312.32955681598281</v>
      </c>
      <c r="Y344">
        <f t="shared" ca="1" si="99"/>
        <v>0.37963205484305718</v>
      </c>
      <c r="Z344">
        <f t="shared" ca="1" si="101"/>
        <v>1.2051487134297754</v>
      </c>
      <c r="AA344">
        <f t="shared" ca="1" si="102"/>
        <v>-0.82551665858671819</v>
      </c>
      <c r="AB344">
        <f t="shared" ca="1" si="103"/>
        <v>302.47780000000006</v>
      </c>
    </row>
    <row r="345" spans="1:28" x14ac:dyDescent="0.25">
      <c r="A345" s="21">
        <f t="shared" ca="1" si="104"/>
        <v>45789</v>
      </c>
      <c r="B345" vm="1022">
        <f ca="1"/>
        <v>45792</v>
      </c>
      <c r="C345" vm="1023">
        <f ca="1"/>
        <v>314.48</v>
      </c>
      <c r="D345" vm="1024">
        <f ca="1"/>
        <v>2928718</v>
      </c>
      <c r="E345">
        <f t="shared" ca="1" si="105"/>
        <v>921023236.6400001</v>
      </c>
      <c r="F345">
        <f ca="1">SUM($E$2:E345)/SUM($D$2:D345)</f>
        <v>287.44903507899818</v>
      </c>
      <c r="G345">
        <f ca="1">_xlfn.STDEV.P($C$2:C345)</f>
        <v>18.126804997099928</v>
      </c>
      <c r="H345">
        <f t="shared" ca="1" si="106"/>
        <v>305.57584007609813</v>
      </c>
      <c r="I345">
        <f t="shared" ca="1" si="107"/>
        <v>269.32223008189823</v>
      </c>
      <c r="J345">
        <f t="shared" ca="1" si="116"/>
        <v>314.375</v>
      </c>
      <c r="K345">
        <f t="shared" ca="1" si="117"/>
        <v>3.54069053627738</v>
      </c>
      <c r="L345">
        <f t="shared" ca="1" si="118"/>
        <v>321.45638107255473</v>
      </c>
      <c r="M345">
        <f t="shared" ca="1" si="119"/>
        <v>307.29361892744527</v>
      </c>
      <c r="N345">
        <f t="shared" ca="1" si="108"/>
        <v>6.9800000000000182</v>
      </c>
      <c r="O345">
        <f t="shared" ca="1" si="109"/>
        <v>6.9800000000000182</v>
      </c>
      <c r="P345">
        <f t="shared" ca="1" si="110"/>
        <v>0</v>
      </c>
      <c r="Q345">
        <f t="shared" ca="1" si="114"/>
        <v>1.6407426605833746</v>
      </c>
      <c r="R345">
        <f t="shared" ca="1" si="115"/>
        <v>1.4815357226382513</v>
      </c>
      <c r="S345">
        <f t="shared" ca="1" si="112"/>
        <v>1.1074607486761203</v>
      </c>
      <c r="T345">
        <f t="shared" ca="1" si="113"/>
        <v>52.549531438334633</v>
      </c>
      <c r="U345">
        <f>70</f>
        <v>70</v>
      </c>
      <c r="V345">
        <f>30</f>
        <v>30</v>
      </c>
      <c r="W345">
        <f t="shared" ca="1" si="111"/>
        <v>312.86848095853082</v>
      </c>
      <c r="X345">
        <f t="shared" ca="1" si="100"/>
        <v>312.48884890368777</v>
      </c>
      <c r="Y345">
        <f t="shared" ca="1" si="99"/>
        <v>0.80952407688073436</v>
      </c>
      <c r="Z345">
        <f t="shared" ca="1" si="101"/>
        <v>1.1260237861199673</v>
      </c>
      <c r="AA345">
        <f t="shared" ca="1" si="102"/>
        <v>-0.31649970923923298</v>
      </c>
      <c r="AB345">
        <f t="shared" ca="1" si="103"/>
        <v>302.71380000000005</v>
      </c>
    </row>
    <row r="346" spans="1:28" x14ac:dyDescent="0.25">
      <c r="A346" s="21">
        <f t="shared" ca="1" si="104"/>
        <v>45789</v>
      </c>
      <c r="B346" vm="1025">
        <f ca="1"/>
        <v>45793</v>
      </c>
      <c r="C346" vm="1026">
        <f ca="1"/>
        <v>318.61</v>
      </c>
      <c r="D346" vm="1027">
        <f ca="1"/>
        <v>2637287</v>
      </c>
      <c r="E346">
        <f t="shared" ca="1" si="105"/>
        <v>840266011.07000005</v>
      </c>
      <c r="F346">
        <f ca="1">SUM($E$2:E346)/SUM($D$2:D346)</f>
        <v>287.51728872075194</v>
      </c>
      <c r="G346">
        <f ca="1">_xlfn.STDEV.P($C$2:C346)</f>
        <v>18.174580386101912</v>
      </c>
      <c r="H346">
        <f t="shared" ca="1" si="106"/>
        <v>305.69186910685386</v>
      </c>
      <c r="I346">
        <f t="shared" ca="1" si="107"/>
        <v>269.34270833465001</v>
      </c>
      <c r="J346">
        <f t="shared" ca="1" si="116"/>
        <v>314.7405</v>
      </c>
      <c r="K346">
        <f t="shared" ca="1" si="117"/>
        <v>3.5835963632553312</v>
      </c>
      <c r="L346">
        <f t="shared" ca="1" si="118"/>
        <v>321.90769272651067</v>
      </c>
      <c r="M346">
        <f t="shared" ca="1" si="119"/>
        <v>307.57330727348932</v>
      </c>
      <c r="N346">
        <f t="shared" ca="1" si="108"/>
        <v>4.1299999999999955</v>
      </c>
      <c r="O346">
        <f t="shared" ca="1" si="109"/>
        <v>4.1299999999999955</v>
      </c>
      <c r="P346">
        <f t="shared" ca="1" si="110"/>
        <v>0</v>
      </c>
      <c r="Q346">
        <f t="shared" ca="1" si="114"/>
        <v>1.8185467562559905</v>
      </c>
      <c r="R346">
        <f t="shared" ca="1" si="115"/>
        <v>1.3757117424498049</v>
      </c>
      <c r="S346">
        <f t="shared" ca="1" si="112"/>
        <v>1.3218952053266662</v>
      </c>
      <c r="T346">
        <f t="shared" ca="1" si="113"/>
        <v>56.931734140890718</v>
      </c>
      <c r="U346">
        <f>70</f>
        <v>70</v>
      </c>
      <c r="V346">
        <f>30</f>
        <v>30</v>
      </c>
      <c r="W346">
        <f t="shared" ca="1" si="111"/>
        <v>313.75179158029533</v>
      </c>
      <c r="X346">
        <f t="shared" ca="1" si="100"/>
        <v>312.9422675034146</v>
      </c>
      <c r="Y346">
        <f t="shared" ca="1" si="99"/>
        <v>1.3461115690540737</v>
      </c>
      <c r="Z346">
        <f t="shared" ca="1" si="101"/>
        <v>1.1700413427067886</v>
      </c>
      <c r="AA346">
        <f t="shared" ca="1" si="102"/>
        <v>0.17607022634728509</v>
      </c>
      <c r="AB346">
        <f t="shared" ca="1" si="103"/>
        <v>302.99760000000003</v>
      </c>
    </row>
    <row r="347" spans="1:28" x14ac:dyDescent="0.25">
      <c r="A347" s="21">
        <f t="shared" ca="1" si="104"/>
        <v>45796</v>
      </c>
      <c r="B347" vm="1028">
        <f ca="1"/>
        <v>45796</v>
      </c>
      <c r="C347" vm="1029">
        <f ca="1"/>
        <v>321.23</v>
      </c>
      <c r="D347" vm="1030">
        <f ca="1"/>
        <v>2749002</v>
      </c>
      <c r="E347">
        <f t="shared" ca="1" si="105"/>
        <v>883061912.46000004</v>
      </c>
      <c r="F347">
        <f ca="1">SUM($E$2:E347)/SUM($D$2:D347)</f>
        <v>287.59408423434127</v>
      </c>
      <c r="G347">
        <f ca="1">_xlfn.STDEV.P($C$2:C347)</f>
        <v>18.234665808621042</v>
      </c>
      <c r="H347">
        <f t="shared" ca="1" si="106"/>
        <v>305.82875004296233</v>
      </c>
      <c r="I347">
        <f t="shared" ca="1" si="107"/>
        <v>269.35941842572021</v>
      </c>
      <c r="J347">
        <f t="shared" ca="1" si="116"/>
        <v>315.36599999999999</v>
      </c>
      <c r="K347">
        <f t="shared" ca="1" si="117"/>
        <v>3.569190384386915</v>
      </c>
      <c r="L347">
        <f t="shared" ca="1" si="118"/>
        <v>322.50438076877384</v>
      </c>
      <c r="M347">
        <f t="shared" ca="1" si="119"/>
        <v>308.22761923122613</v>
      </c>
      <c r="N347">
        <f t="shared" ca="1" si="108"/>
        <v>2.6200000000000045</v>
      </c>
      <c r="O347">
        <f t="shared" ca="1" si="109"/>
        <v>2.6200000000000045</v>
      </c>
      <c r="P347">
        <f t="shared" ca="1" si="110"/>
        <v>0</v>
      </c>
      <c r="Q347">
        <f t="shared" ca="1" si="114"/>
        <v>1.87579341652342</v>
      </c>
      <c r="R347">
        <f t="shared" ca="1" si="115"/>
        <v>1.2774466179891046</v>
      </c>
      <c r="S347">
        <f t="shared" ca="1" si="112"/>
        <v>1.4683928002222153</v>
      </c>
      <c r="T347">
        <f t="shared" ca="1" si="113"/>
        <v>59.487809237250417</v>
      </c>
      <c r="U347">
        <f>70</f>
        <v>70</v>
      </c>
      <c r="V347">
        <f>30</f>
        <v>30</v>
      </c>
      <c r="W347">
        <f t="shared" ca="1" si="111"/>
        <v>314.90228518332685</v>
      </c>
      <c r="X347">
        <f t="shared" ca="1" si="100"/>
        <v>313.55617361427278</v>
      </c>
      <c r="Y347">
        <f t="shared" ca="1" si="99"/>
        <v>1.6371004980325097</v>
      </c>
      <c r="Z347">
        <f t="shared" ca="1" si="101"/>
        <v>1.263453173771933</v>
      </c>
      <c r="AA347">
        <f t="shared" ca="1" si="102"/>
        <v>0.37364732426057667</v>
      </c>
      <c r="AB347">
        <f t="shared" ca="1" si="103"/>
        <v>303.28309999999999</v>
      </c>
    </row>
    <row r="348" spans="1:28" x14ac:dyDescent="0.25">
      <c r="A348" s="21">
        <f t="shared" ca="1" si="104"/>
        <v>45796</v>
      </c>
      <c r="B348" vm="1031">
        <f ca="1"/>
        <v>45797</v>
      </c>
      <c r="C348" vm="1032">
        <f ca="1"/>
        <v>319.8</v>
      </c>
      <c r="D348" vm="1033">
        <f ca="1"/>
        <v>2034967</v>
      </c>
      <c r="E348">
        <f t="shared" ca="1" si="105"/>
        <v>650782446.60000002</v>
      </c>
      <c r="F348">
        <f ca="1">SUM($E$2:E348)/SUM($D$2:D348)</f>
        <v>287.64830035250839</v>
      </c>
      <c r="G348">
        <f ca="1">_xlfn.STDEV.P($C$2:C348)</f>
        <v>18.286479034787035</v>
      </c>
      <c r="H348">
        <f t="shared" ca="1" si="106"/>
        <v>305.93477938729541</v>
      </c>
      <c r="I348">
        <f t="shared" ca="1" si="107"/>
        <v>269.36182131772136</v>
      </c>
      <c r="J348">
        <f t="shared" ca="1" si="116"/>
        <v>315.40199999999999</v>
      </c>
      <c r="K348">
        <f t="shared" ca="1" si="117"/>
        <v>3.6119969691658356</v>
      </c>
      <c r="L348">
        <f t="shared" ca="1" si="118"/>
        <v>322.62599393833165</v>
      </c>
      <c r="M348">
        <f t="shared" ca="1" si="119"/>
        <v>308.17800606166833</v>
      </c>
      <c r="N348">
        <f t="shared" ca="1" si="108"/>
        <v>-1.4300000000000068</v>
      </c>
      <c r="O348">
        <f t="shared" ca="1" si="109"/>
        <v>0</v>
      </c>
      <c r="P348">
        <f t="shared" ca="1" si="110"/>
        <v>1.4300000000000068</v>
      </c>
      <c r="Q348">
        <f t="shared" ca="1" si="114"/>
        <v>1.741808172486033</v>
      </c>
      <c r="R348">
        <f t="shared" ca="1" si="115"/>
        <v>1.2883432881327406</v>
      </c>
      <c r="S348">
        <f t="shared" ca="1" si="112"/>
        <v>1.3519751983266211</v>
      </c>
      <c r="T348">
        <f t="shared" ca="1" si="113"/>
        <v>57.482544853726431</v>
      </c>
      <c r="U348">
        <f>70</f>
        <v>70</v>
      </c>
      <c r="V348">
        <f>30</f>
        <v>30</v>
      </c>
      <c r="W348">
        <f t="shared" ca="1" si="111"/>
        <v>315.65577977050731</v>
      </c>
      <c r="X348">
        <f t="shared" ca="1" si="100"/>
        <v>314.0186792724748</v>
      </c>
      <c r="Y348">
        <f t="shared" ref="Y348:Y411" ca="1" si="120">W349-X349</f>
        <v>1.578392673180474</v>
      </c>
      <c r="Z348">
        <f t="shared" ca="1" si="101"/>
        <v>1.3264410736536414</v>
      </c>
      <c r="AA348">
        <f t="shared" ca="1" si="102"/>
        <v>0.25195159952683266</v>
      </c>
      <c r="AB348">
        <f t="shared" ca="1" si="103"/>
        <v>303.56820000000005</v>
      </c>
    </row>
    <row r="349" spans="1:28" x14ac:dyDescent="0.25">
      <c r="A349" s="21">
        <f t="shared" ca="1" si="104"/>
        <v>45796</v>
      </c>
      <c r="B349" vm="1034">
        <f ca="1"/>
        <v>45798</v>
      </c>
      <c r="C349" vm="1035">
        <f ca="1"/>
        <v>316.44</v>
      </c>
      <c r="D349" vm="1036">
        <f ca="1"/>
        <v>2386740</v>
      </c>
      <c r="E349">
        <f t="shared" ca="1" si="105"/>
        <v>755260005.60000002</v>
      </c>
      <c r="F349">
        <f ca="1">SUM($E$2:E349)/SUM($D$2:D349)</f>
        <v>287.70503536752767</v>
      </c>
      <c r="G349">
        <f ca="1">_xlfn.STDEV.P($C$2:C349)</f>
        <v>18.321791213103047</v>
      </c>
      <c r="H349">
        <f t="shared" ca="1" si="106"/>
        <v>306.02682658063071</v>
      </c>
      <c r="I349">
        <f t="shared" ca="1" si="107"/>
        <v>269.38324415442463</v>
      </c>
      <c r="J349">
        <f t="shared" ca="1" si="116"/>
        <v>315.2999999999999</v>
      </c>
      <c r="K349">
        <f t="shared" ca="1" si="117"/>
        <v>3.5487521898919874</v>
      </c>
      <c r="L349">
        <f t="shared" ca="1" si="118"/>
        <v>322.39750437978387</v>
      </c>
      <c r="M349">
        <f t="shared" ca="1" si="119"/>
        <v>308.20249562021593</v>
      </c>
      <c r="N349">
        <f t="shared" ca="1" si="108"/>
        <v>-3.3600000000000136</v>
      </c>
      <c r="O349">
        <f t="shared" ca="1" si="109"/>
        <v>0</v>
      </c>
      <c r="P349">
        <f t="shared" ca="1" si="110"/>
        <v>3.3600000000000136</v>
      </c>
      <c r="Q349">
        <f t="shared" ca="1" si="114"/>
        <v>1.617393303022745</v>
      </c>
      <c r="R349">
        <f t="shared" ca="1" si="115"/>
        <v>1.4363187675518316</v>
      </c>
      <c r="S349">
        <f t="shared" ca="1" si="112"/>
        <v>1.1260684881111387</v>
      </c>
      <c r="T349">
        <f t="shared" ca="1" si="113"/>
        <v>52.964826599333627</v>
      </c>
      <c r="U349">
        <f>70</f>
        <v>70</v>
      </c>
      <c r="V349">
        <f>30</f>
        <v>30</v>
      </c>
      <c r="W349">
        <f t="shared" ca="1" si="111"/>
        <v>315.77642903658307</v>
      </c>
      <c r="X349">
        <f t="shared" ref="X349:X412" ca="1" si="121">C349*(2/(26+1)) + X348*(1-(2/(26+1)))</f>
        <v>314.19803636340259</v>
      </c>
      <c r="Y349">
        <f t="shared" ca="1" si="120"/>
        <v>1.3444946033029055</v>
      </c>
      <c r="Z349">
        <f t="shared" ca="1" si="101"/>
        <v>1.3300517795834943</v>
      </c>
      <c r="AA349">
        <f t="shared" ca="1" si="102"/>
        <v>1.4442823719411191E-2</v>
      </c>
      <c r="AB349">
        <f t="shared" ca="1" si="103"/>
        <v>303.79270000000002</v>
      </c>
    </row>
    <row r="350" spans="1:28" x14ac:dyDescent="0.25">
      <c r="A350" s="21">
        <f t="shared" ca="1" si="104"/>
        <v>45796</v>
      </c>
      <c r="B350" vm="1037">
        <f ca="1"/>
        <v>45799</v>
      </c>
      <c r="C350" vm="1038">
        <f ca="1"/>
        <v>314.31</v>
      </c>
      <c r="D350" vm="1039">
        <f ca="1"/>
        <v>2642001</v>
      </c>
      <c r="E350">
        <f t="shared" ca="1" si="105"/>
        <v>830407334.31000006</v>
      </c>
      <c r="F350">
        <f ca="1">SUM($E$2:E350)/SUM($D$2:D350)</f>
        <v>287.76294197687793</v>
      </c>
      <c r="G350">
        <f ca="1">_xlfn.STDEV.P($C$2:C350)</f>
        <v>18.347562883339496</v>
      </c>
      <c r="H350">
        <f t="shared" ca="1" si="106"/>
        <v>306.11050486021742</v>
      </c>
      <c r="I350">
        <f t="shared" ca="1" si="107"/>
        <v>269.41537909353843</v>
      </c>
      <c r="J350">
        <f t="shared" ca="1" si="116"/>
        <v>315.20449999999994</v>
      </c>
      <c r="K350">
        <f t="shared" ca="1" si="117"/>
        <v>3.5483909993418914</v>
      </c>
      <c r="L350">
        <f t="shared" ca="1" si="118"/>
        <v>322.30128199868375</v>
      </c>
      <c r="M350">
        <f t="shared" ca="1" si="119"/>
        <v>308.10771800131613</v>
      </c>
      <c r="N350">
        <f t="shared" ca="1" si="108"/>
        <v>-2.1299999999999955</v>
      </c>
      <c r="O350">
        <f t="shared" ca="1" si="109"/>
        <v>0</v>
      </c>
      <c r="P350">
        <f t="shared" ca="1" si="110"/>
        <v>2.1299999999999955</v>
      </c>
      <c r="Q350">
        <f t="shared" ca="1" si="114"/>
        <v>1.5018652099496919</v>
      </c>
      <c r="R350">
        <f t="shared" ca="1" si="115"/>
        <v>1.4858674270124148</v>
      </c>
      <c r="S350">
        <f t="shared" ca="1" si="112"/>
        <v>1.0107666287358108</v>
      </c>
      <c r="T350">
        <f t="shared" ca="1" si="113"/>
        <v>50.267724473391027</v>
      </c>
      <c r="U350">
        <f>70</f>
        <v>70</v>
      </c>
      <c r="V350">
        <f>30</f>
        <v>30</v>
      </c>
      <c r="W350">
        <f t="shared" ca="1" si="111"/>
        <v>315.55082456941642</v>
      </c>
      <c r="X350">
        <f t="shared" ca="1" si="121"/>
        <v>314.20632996611351</v>
      </c>
      <c r="Y350">
        <f t="shared" ca="1" si="120"/>
        <v>1.1666599946717611</v>
      </c>
      <c r="Z350">
        <f t="shared" ca="1" si="101"/>
        <v>1.2973734226011477</v>
      </c>
      <c r="AA350">
        <f t="shared" ca="1" si="102"/>
        <v>-0.13071342792938667</v>
      </c>
      <c r="AB350">
        <f t="shared" ca="1" si="103"/>
        <v>303.98780000000005</v>
      </c>
    </row>
    <row r="351" spans="1:28" x14ac:dyDescent="0.25">
      <c r="A351" s="21">
        <f t="shared" ca="1" si="104"/>
        <v>45796</v>
      </c>
      <c r="B351" vm="1040">
        <f ca="1"/>
        <v>45800</v>
      </c>
      <c r="C351" vm="1041">
        <f ca="1"/>
        <v>314.57</v>
      </c>
      <c r="D351" vm="1042">
        <f ca="1"/>
        <v>2701615</v>
      </c>
      <c r="E351">
        <f t="shared" ca="1" si="105"/>
        <v>849847030.54999995</v>
      </c>
      <c r="F351">
        <f ca="1">SUM($E$2:E351)/SUM($D$2:D351)</f>
        <v>287.82247248293709</v>
      </c>
      <c r="G351">
        <f ca="1">_xlfn.STDEV.P($C$2:C351)</f>
        <v>18.373899545645429</v>
      </c>
      <c r="H351">
        <f t="shared" ca="1" si="106"/>
        <v>306.19637202858252</v>
      </c>
      <c r="I351">
        <f t="shared" ca="1" si="107"/>
        <v>269.44857293729166</v>
      </c>
      <c r="J351">
        <f t="shared" ca="1" si="116"/>
        <v>315.09600000000006</v>
      </c>
      <c r="K351">
        <f t="shared" ca="1" si="117"/>
        <v>3.5321074669232182</v>
      </c>
      <c r="L351">
        <f t="shared" ca="1" si="118"/>
        <v>322.16021493384648</v>
      </c>
      <c r="M351">
        <f t="shared" ca="1" si="119"/>
        <v>308.03178506615365</v>
      </c>
      <c r="N351">
        <f t="shared" ca="1" si="108"/>
        <v>0.25999999999999091</v>
      </c>
      <c r="O351">
        <f t="shared" ca="1" si="109"/>
        <v>0.25999999999999091</v>
      </c>
      <c r="P351">
        <f t="shared" ca="1" si="110"/>
        <v>0</v>
      </c>
      <c r="Q351">
        <f t="shared" ca="1" si="114"/>
        <v>1.4131605520961419</v>
      </c>
      <c r="R351">
        <f t="shared" ca="1" si="115"/>
        <v>1.379734039368671</v>
      </c>
      <c r="S351">
        <f t="shared" ca="1" si="112"/>
        <v>1.0242267797805191</v>
      </c>
      <c r="T351">
        <f t="shared" ca="1" si="113"/>
        <v>50.59842059255697</v>
      </c>
      <c r="U351">
        <f>70</f>
        <v>70</v>
      </c>
      <c r="V351">
        <f>30</f>
        <v>30</v>
      </c>
      <c r="W351">
        <f t="shared" ca="1" si="111"/>
        <v>315.3999284818139</v>
      </c>
      <c r="X351">
        <f t="shared" ca="1" si="121"/>
        <v>314.23326848714214</v>
      </c>
      <c r="Y351">
        <f t="shared" ca="1" si="120"/>
        <v>1.0443490050641913</v>
      </c>
      <c r="Z351">
        <f t="shared" ca="1" si="101"/>
        <v>1.2467685390937564</v>
      </c>
      <c r="AA351">
        <f t="shared" ca="1" si="102"/>
        <v>-0.20241953402956514</v>
      </c>
      <c r="AB351">
        <f t="shared" ca="1" si="103"/>
        <v>304.19730000000004</v>
      </c>
    </row>
    <row r="352" spans="1:28" x14ac:dyDescent="0.25">
      <c r="A352" s="21">
        <f t="shared" ca="1" si="104"/>
        <v>45803</v>
      </c>
      <c r="B352" vm="1043">
        <f ca="1"/>
        <v>45804</v>
      </c>
      <c r="C352" vm="1044">
        <f ca="1"/>
        <v>314.95</v>
      </c>
      <c r="D352" vm="1045">
        <f ca="1"/>
        <v>2527016</v>
      </c>
      <c r="E352">
        <f t="shared" ca="1" si="105"/>
        <v>795883689.19999993</v>
      </c>
      <c r="F352">
        <f ca="1">SUM($E$2:E352)/SUM($D$2:D352)</f>
        <v>287.87870454266829</v>
      </c>
      <c r="G352">
        <f ca="1">_xlfn.STDEV.P($C$2:C352)</f>
        <v>18.401284315914641</v>
      </c>
      <c r="H352">
        <f t="shared" ca="1" si="106"/>
        <v>306.27998885858295</v>
      </c>
      <c r="I352">
        <f t="shared" ca="1" si="107"/>
        <v>269.47742022675362</v>
      </c>
      <c r="J352">
        <f t="shared" ca="1" si="116"/>
        <v>315.00299999999999</v>
      </c>
      <c r="K352">
        <f t="shared" ca="1" si="117"/>
        <v>3.5090141065547198</v>
      </c>
      <c r="L352">
        <f t="shared" ca="1" si="118"/>
        <v>322.02102821310945</v>
      </c>
      <c r="M352">
        <f t="shared" ca="1" si="119"/>
        <v>307.98497178689053</v>
      </c>
      <c r="N352">
        <f t="shared" ca="1" si="108"/>
        <v>0.37999999999999545</v>
      </c>
      <c r="O352">
        <f t="shared" ca="1" si="109"/>
        <v>0.37999999999999545</v>
      </c>
      <c r="P352">
        <f t="shared" ca="1" si="110"/>
        <v>0</v>
      </c>
      <c r="Q352">
        <f t="shared" ca="1" si="114"/>
        <v>1.3393633698035601</v>
      </c>
      <c r="R352">
        <f t="shared" ca="1" si="115"/>
        <v>1.2811816079851945</v>
      </c>
      <c r="S352">
        <f t="shared" ca="1" si="112"/>
        <v>1.0454125796497056</v>
      </c>
      <c r="T352">
        <f t="shared" ca="1" si="113"/>
        <v>51.110108055986508</v>
      </c>
      <c r="U352">
        <f>70</f>
        <v>70</v>
      </c>
      <c r="V352">
        <f>30</f>
        <v>30</v>
      </c>
      <c r="W352">
        <f t="shared" ca="1" si="111"/>
        <v>315.33070871538098</v>
      </c>
      <c r="X352">
        <f t="shared" ca="1" si="121"/>
        <v>314.28635971031679</v>
      </c>
      <c r="Y352">
        <f t="shared" ca="1" si="120"/>
        <v>0.76830080517146371</v>
      </c>
      <c r="Z352">
        <f t="shared" ca="1" si="101"/>
        <v>1.151074992309298</v>
      </c>
      <c r="AA352">
        <f t="shared" ca="1" si="102"/>
        <v>-0.38277418713783429</v>
      </c>
      <c r="AB352">
        <f t="shared" ca="1" si="103"/>
        <v>304.45080000000007</v>
      </c>
    </row>
    <row r="353" spans="1:28" x14ac:dyDescent="0.25">
      <c r="A353" s="21">
        <f t="shared" ca="1" si="104"/>
        <v>45803</v>
      </c>
      <c r="B353" vm="1046">
        <f ca="1"/>
        <v>45805</v>
      </c>
      <c r="C353" vm="1047">
        <f ca="1"/>
        <v>312.83999999999997</v>
      </c>
      <c r="D353" vm="1048">
        <f ca="1"/>
        <v>1935645</v>
      </c>
      <c r="E353">
        <f t="shared" ca="1" si="105"/>
        <v>605547181.79999995</v>
      </c>
      <c r="F353">
        <f ca="1">SUM($E$2:E353)/SUM($D$2:D353)</f>
        <v>287.91827486601613</v>
      </c>
      <c r="G353">
        <f ca="1">_xlfn.STDEV.P($C$2:C353)</f>
        <v>18.419996182729566</v>
      </c>
      <c r="H353">
        <f t="shared" ca="1" si="106"/>
        <v>306.3382710487457</v>
      </c>
      <c r="I353">
        <f t="shared" ca="1" si="107"/>
        <v>269.49827868328657</v>
      </c>
      <c r="J353">
        <f t="shared" ca="1" si="116"/>
        <v>314.91999999999996</v>
      </c>
      <c r="K353">
        <f t="shared" ca="1" si="117"/>
        <v>3.5410242348194925</v>
      </c>
      <c r="L353">
        <f t="shared" ca="1" si="118"/>
        <v>322.00204846963896</v>
      </c>
      <c r="M353">
        <f t="shared" ca="1" si="119"/>
        <v>307.83795153036095</v>
      </c>
      <c r="N353">
        <f t="shared" ca="1" si="108"/>
        <v>-2.1100000000000136</v>
      </c>
      <c r="O353">
        <f t="shared" ca="1" si="109"/>
        <v>0</v>
      </c>
      <c r="P353">
        <f t="shared" ca="1" si="110"/>
        <v>2.1100000000000136</v>
      </c>
      <c r="Q353">
        <f t="shared" ca="1" si="114"/>
        <v>1.2436945576747345</v>
      </c>
      <c r="R353">
        <f t="shared" ca="1" si="115"/>
        <v>1.3403829217005387</v>
      </c>
      <c r="S353">
        <f t="shared" ca="1" si="112"/>
        <v>0.92786511789993853</v>
      </c>
      <c r="T353">
        <f t="shared" ca="1" si="113"/>
        <v>48.129151219390295</v>
      </c>
      <c r="U353">
        <f>70</f>
        <v>70</v>
      </c>
      <c r="V353">
        <f>30</f>
        <v>30</v>
      </c>
      <c r="W353">
        <f t="shared" ca="1" si="111"/>
        <v>314.94752275916852</v>
      </c>
      <c r="X353">
        <f t="shared" ca="1" si="121"/>
        <v>314.17922195399706</v>
      </c>
      <c r="Y353">
        <f t="shared" ca="1" si="120"/>
        <v>0.46509152257556252</v>
      </c>
      <c r="Z353">
        <f t="shared" ca="1" si="101"/>
        <v>1.0138782983625509</v>
      </c>
      <c r="AA353">
        <f t="shared" ca="1" si="102"/>
        <v>-0.54878677578698842</v>
      </c>
      <c r="AB353">
        <f t="shared" ca="1" si="103"/>
        <v>304.68030000000005</v>
      </c>
    </row>
    <row r="354" spans="1:28" x14ac:dyDescent="0.25">
      <c r="A354" s="21">
        <f t="shared" ca="1" si="104"/>
        <v>45803</v>
      </c>
      <c r="B354" vm="1049">
        <f ca="1"/>
        <v>45806</v>
      </c>
      <c r="C354" vm="1050">
        <f ca="1"/>
        <v>311.86</v>
      </c>
      <c r="D354" vm="1051">
        <f ca="1"/>
        <v>2248937</v>
      </c>
      <c r="E354">
        <f t="shared" ca="1" si="105"/>
        <v>701353492.82000005</v>
      </c>
      <c r="F354">
        <f ca="1">SUM($E$2:E354)/SUM($D$2:D354)</f>
        <v>287.96229084129408</v>
      </c>
      <c r="G354">
        <f ca="1">_xlfn.STDEV.P($C$2:C354)</f>
        <v>18.434789255418718</v>
      </c>
      <c r="H354">
        <f t="shared" ca="1" si="106"/>
        <v>306.39708009671278</v>
      </c>
      <c r="I354">
        <f t="shared" ca="1" si="107"/>
        <v>269.52750158587537</v>
      </c>
      <c r="J354">
        <f t="shared" ca="1" si="116"/>
        <v>314.53049999999996</v>
      </c>
      <c r="K354">
        <f t="shared" ca="1" si="117"/>
        <v>3.4197160162181564</v>
      </c>
      <c r="L354">
        <f t="shared" ca="1" si="118"/>
        <v>321.36993203243628</v>
      </c>
      <c r="M354">
        <f t="shared" ca="1" si="119"/>
        <v>307.69106796756364</v>
      </c>
      <c r="N354">
        <f t="shared" ca="1" si="108"/>
        <v>-0.97999999999996135</v>
      </c>
      <c r="O354">
        <f t="shared" ca="1" si="109"/>
        <v>0</v>
      </c>
      <c r="P354">
        <f t="shared" ca="1" si="110"/>
        <v>0.97999999999996135</v>
      </c>
      <c r="Q354">
        <f t="shared" ca="1" si="114"/>
        <v>1.1548592321265392</v>
      </c>
      <c r="R354">
        <f t="shared" ca="1" si="115"/>
        <v>1.3146412844362116</v>
      </c>
      <c r="S354">
        <f t="shared" ca="1" si="112"/>
        <v>0.87845958117906242</v>
      </c>
      <c r="T354">
        <f t="shared" ca="1" si="113"/>
        <v>46.764891296073309</v>
      </c>
      <c r="U354">
        <f>70</f>
        <v>70</v>
      </c>
      <c r="V354">
        <f>30</f>
        <v>30</v>
      </c>
      <c r="W354">
        <f t="shared" ca="1" si="111"/>
        <v>314.47251925775799</v>
      </c>
      <c r="X354">
        <f t="shared" ca="1" si="121"/>
        <v>314.00742773518243</v>
      </c>
      <c r="Y354">
        <f t="shared" ca="1" si="120"/>
        <v>0.38098064279154187</v>
      </c>
      <c r="Z354">
        <f t="shared" ca="1" si="101"/>
        <v>0.88729876724834922</v>
      </c>
      <c r="AA354">
        <f t="shared" ca="1" si="102"/>
        <v>-0.50631812445680735</v>
      </c>
      <c r="AB354">
        <f t="shared" ca="1" si="103"/>
        <v>304.87380000000007</v>
      </c>
    </row>
    <row r="355" spans="1:28" x14ac:dyDescent="0.25">
      <c r="A355" s="21">
        <f t="shared" ca="1" si="104"/>
        <v>45803</v>
      </c>
      <c r="B355" vm="1052">
        <f ca="1"/>
        <v>45807</v>
      </c>
      <c r="C355" vm="1053">
        <f ca="1"/>
        <v>313.85000000000002</v>
      </c>
      <c r="D355" vm="1054">
        <f ca="1"/>
        <v>4062917</v>
      </c>
      <c r="E355">
        <f t="shared" ca="1" si="105"/>
        <v>1275146500.45</v>
      </c>
      <c r="F355">
        <f ca="1">SUM($E$2:E355)/SUM($D$2:D355)</f>
        <v>288.04798853084174</v>
      </c>
      <c r="G355">
        <f ca="1">_xlfn.STDEV.P($C$2:C355)</f>
        <v>18.456554360650927</v>
      </c>
      <c r="H355">
        <f t="shared" ca="1" si="106"/>
        <v>306.50454289149263</v>
      </c>
      <c r="I355">
        <f t="shared" ca="1" si="107"/>
        <v>269.59143417019084</v>
      </c>
      <c r="J355">
        <f t="shared" ca="1" si="116"/>
        <v>314.54100000000005</v>
      </c>
      <c r="K355">
        <f t="shared" ca="1" si="117"/>
        <v>3.4171593311897053</v>
      </c>
      <c r="L355">
        <f t="shared" ca="1" si="118"/>
        <v>321.37531866237947</v>
      </c>
      <c r="M355">
        <f t="shared" ca="1" si="119"/>
        <v>307.70668133762064</v>
      </c>
      <c r="N355">
        <f t="shared" ca="1" si="108"/>
        <v>1.9900000000000091</v>
      </c>
      <c r="O355">
        <f t="shared" ca="1" si="109"/>
        <v>1.9900000000000091</v>
      </c>
      <c r="P355">
        <f t="shared" ca="1" si="110"/>
        <v>0</v>
      </c>
      <c r="Q355">
        <f t="shared" ca="1" si="114"/>
        <v>1.2145121441175013</v>
      </c>
      <c r="R355">
        <f t="shared" ca="1" si="115"/>
        <v>1.2207383355479107</v>
      </c>
      <c r="S355">
        <f t="shared" ca="1" si="112"/>
        <v>0.99489965109712486</v>
      </c>
      <c r="T355">
        <f t="shared" ca="1" si="113"/>
        <v>49.872165276582457</v>
      </c>
      <c r="U355">
        <f>70</f>
        <v>70</v>
      </c>
      <c r="V355">
        <f>30</f>
        <v>30</v>
      </c>
      <c r="W355">
        <f t="shared" ca="1" si="111"/>
        <v>314.37674706425679</v>
      </c>
      <c r="X355">
        <f t="shared" ca="1" si="121"/>
        <v>313.99576642146525</v>
      </c>
      <c r="Y355">
        <f t="shared" ca="1" si="120"/>
        <v>0.21740681227367986</v>
      </c>
      <c r="Z355">
        <f t="shared" ca="1" si="101"/>
        <v>0.75332037625341541</v>
      </c>
      <c r="AA355">
        <f t="shared" ca="1" si="102"/>
        <v>-0.53591356397973555</v>
      </c>
      <c r="AB355">
        <f t="shared" ca="1" si="103"/>
        <v>305.06450000000012</v>
      </c>
    </row>
    <row r="356" spans="1:28" x14ac:dyDescent="0.25">
      <c r="A356" s="21">
        <f t="shared" ca="1" si="104"/>
        <v>45810</v>
      </c>
      <c r="B356" vm="1055">
        <f ca="1"/>
        <v>45810</v>
      </c>
      <c r="C356" vm="1056">
        <f ca="1"/>
        <v>312.68</v>
      </c>
      <c r="D356" vm="1057">
        <f ca="1"/>
        <v>2577048</v>
      </c>
      <c r="E356">
        <f t="shared" ca="1" si="105"/>
        <v>805791368.63999999</v>
      </c>
      <c r="F356">
        <f ca="1">SUM($E$2:E356)/SUM($D$2:D356)</f>
        <v>288.09960032898471</v>
      </c>
      <c r="G356">
        <f ca="1">_xlfn.STDEV.P($C$2:C356)</f>
        <v>18.473569994680066</v>
      </c>
      <c r="H356">
        <f t="shared" ca="1" si="106"/>
        <v>306.57317032366478</v>
      </c>
      <c r="I356">
        <f t="shared" ca="1" si="107"/>
        <v>269.62603033430463</v>
      </c>
      <c r="J356">
        <f t="shared" ca="1" si="116"/>
        <v>314.57700000000006</v>
      </c>
      <c r="K356">
        <f t="shared" ca="1" si="117"/>
        <v>3.3922389749482447</v>
      </c>
      <c r="L356">
        <f t="shared" ca="1" si="118"/>
        <v>321.36147794989654</v>
      </c>
      <c r="M356">
        <f t="shared" ca="1" si="119"/>
        <v>307.79252205010357</v>
      </c>
      <c r="N356">
        <f t="shared" ca="1" si="108"/>
        <v>-1.1700000000000159</v>
      </c>
      <c r="O356">
        <f t="shared" ca="1" si="109"/>
        <v>0</v>
      </c>
      <c r="P356">
        <f t="shared" ca="1" si="110"/>
        <v>1.1700000000000159</v>
      </c>
      <c r="Q356">
        <f t="shared" ca="1" si="114"/>
        <v>1.1277612766805369</v>
      </c>
      <c r="R356">
        <f t="shared" ca="1" si="115"/>
        <v>1.2171141687230609</v>
      </c>
      <c r="S356">
        <f t="shared" ca="1" si="112"/>
        <v>0.92658626911206787</v>
      </c>
      <c r="T356">
        <f t="shared" ca="1" si="113"/>
        <v>48.094719866300942</v>
      </c>
      <c r="U356">
        <f>70</f>
        <v>70</v>
      </c>
      <c r="V356">
        <f>30</f>
        <v>30</v>
      </c>
      <c r="W356">
        <f t="shared" ca="1" si="111"/>
        <v>314.11570905437111</v>
      </c>
      <c r="X356">
        <f t="shared" ca="1" si="121"/>
        <v>313.89830224209743</v>
      </c>
      <c r="Y356">
        <f t="shared" ca="1" si="120"/>
        <v>6.3639203608431671E-2</v>
      </c>
      <c r="Z356">
        <f t="shared" ca="1" si="101"/>
        <v>0.61538414172441869</v>
      </c>
      <c r="AA356">
        <f t="shared" ca="1" si="102"/>
        <v>-0.55174493811598702</v>
      </c>
      <c r="AB356">
        <f t="shared" ca="1" si="103"/>
        <v>305.26950000000011</v>
      </c>
    </row>
    <row r="357" spans="1:28" x14ac:dyDescent="0.25">
      <c r="A357" s="21">
        <f t="shared" ca="1" si="104"/>
        <v>45810</v>
      </c>
      <c r="B357" vm="1058">
        <f ca="1"/>
        <v>45811</v>
      </c>
      <c r="C357" vm="1059">
        <f ca="1"/>
        <v>312.39</v>
      </c>
      <c r="D357" vm="1060">
        <f ca="1"/>
        <v>3028181</v>
      </c>
      <c r="E357">
        <f t="shared" ca="1" si="105"/>
        <v>945973462.58999991</v>
      </c>
      <c r="F357">
        <f ca="1">SUM($E$2:E357)/SUM($D$2:D357)</f>
        <v>288.15925921312083</v>
      </c>
      <c r="G357">
        <f ca="1">_xlfn.STDEV.P($C$2:C357)</f>
        <v>18.489198683859069</v>
      </c>
      <c r="H357">
        <f t="shared" ca="1" si="106"/>
        <v>306.64845789697989</v>
      </c>
      <c r="I357">
        <f t="shared" ca="1" si="107"/>
        <v>269.67006052926178</v>
      </c>
      <c r="J357">
        <f t="shared" ca="1" si="116"/>
        <v>314.41050000000007</v>
      </c>
      <c r="K357">
        <f t="shared" ca="1" si="117"/>
        <v>3.4148321604744427</v>
      </c>
      <c r="L357">
        <f t="shared" ca="1" si="118"/>
        <v>321.24016432094896</v>
      </c>
      <c r="M357">
        <f t="shared" ca="1" si="119"/>
        <v>307.58083567905118</v>
      </c>
      <c r="N357">
        <f t="shared" ca="1" si="108"/>
        <v>-0.29000000000002046</v>
      </c>
      <c r="O357">
        <f t="shared" ca="1" si="109"/>
        <v>0</v>
      </c>
      <c r="P357">
        <f t="shared" ca="1" si="110"/>
        <v>0.29000000000002046</v>
      </c>
      <c r="Q357">
        <f t="shared" ca="1" si="114"/>
        <v>1.0472068997747843</v>
      </c>
      <c r="R357">
        <f t="shared" ca="1" si="115"/>
        <v>1.1508917280999866</v>
      </c>
      <c r="S357">
        <f t="shared" ca="1" si="112"/>
        <v>0.90990913758987901</v>
      </c>
      <c r="T357">
        <f t="shared" ca="1" si="113"/>
        <v>47.641488261483289</v>
      </c>
      <c r="U357">
        <f>70</f>
        <v>70</v>
      </c>
      <c r="V357">
        <f>30</f>
        <v>30</v>
      </c>
      <c r="W357">
        <f t="shared" ca="1" si="111"/>
        <v>313.85021535369862</v>
      </c>
      <c r="X357">
        <f t="shared" ca="1" si="121"/>
        <v>313.78657615009018</v>
      </c>
      <c r="Y357">
        <f t="shared" ca="1" si="120"/>
        <v>-0.12297233256640538</v>
      </c>
      <c r="Z357">
        <f t="shared" ca="1" si="101"/>
        <v>0.46771284686625392</v>
      </c>
      <c r="AA357">
        <f t="shared" ca="1" si="102"/>
        <v>-0.5906851794326593</v>
      </c>
      <c r="AB357">
        <f t="shared" ca="1" si="103"/>
        <v>305.50000000000011</v>
      </c>
    </row>
    <row r="358" spans="1:28" x14ac:dyDescent="0.25">
      <c r="A358" s="21">
        <f t="shared" ca="1" si="104"/>
        <v>45810</v>
      </c>
      <c r="B358" vm="1061">
        <f ca="1"/>
        <v>45812</v>
      </c>
      <c r="C358" vm="1062">
        <f ca="1"/>
        <v>311.57</v>
      </c>
      <c r="D358" vm="1063">
        <f ca="1"/>
        <v>2069546</v>
      </c>
      <c r="E358">
        <f t="shared" ca="1" si="105"/>
        <v>644808447.22000003</v>
      </c>
      <c r="F358">
        <f ca="1">SUM($E$2:E358)/SUM($D$2:D358)</f>
        <v>288.1984894113383</v>
      </c>
      <c r="G358">
        <f ca="1">_xlfn.STDEV.P($C$2:C358)</f>
        <v>18.501654647712318</v>
      </c>
      <c r="H358">
        <f t="shared" ca="1" si="106"/>
        <v>306.70014405905061</v>
      </c>
      <c r="I358">
        <f t="shared" ca="1" si="107"/>
        <v>269.69683476362599</v>
      </c>
      <c r="J358">
        <f t="shared" ca="1" si="116"/>
        <v>314.1495000000001</v>
      </c>
      <c r="K358">
        <f t="shared" ca="1" si="117"/>
        <v>3.42286810330629</v>
      </c>
      <c r="L358">
        <f t="shared" ca="1" si="118"/>
        <v>320.99523620661267</v>
      </c>
      <c r="M358">
        <f t="shared" ca="1" si="119"/>
        <v>307.30376379338753</v>
      </c>
      <c r="N358">
        <f t="shared" ca="1" si="108"/>
        <v>-0.81999999999999318</v>
      </c>
      <c r="O358">
        <f t="shared" ca="1" si="109"/>
        <v>0</v>
      </c>
      <c r="P358">
        <f t="shared" ca="1" si="110"/>
        <v>0.81999999999999318</v>
      </c>
      <c r="Q358">
        <f t="shared" ca="1" si="114"/>
        <v>0.97240640693372826</v>
      </c>
      <c r="R358">
        <f t="shared" ca="1" si="115"/>
        <v>1.1272566046642729</v>
      </c>
      <c r="S358">
        <f t="shared" ca="1" si="112"/>
        <v>0.86263092441435452</v>
      </c>
      <c r="T358">
        <f t="shared" ca="1" si="113"/>
        <v>46.312498794444835</v>
      </c>
      <c r="U358">
        <f>70</f>
        <v>70</v>
      </c>
      <c r="V358">
        <f>30</f>
        <v>30</v>
      </c>
      <c r="W358">
        <f t="shared" ca="1" si="111"/>
        <v>313.49941299159116</v>
      </c>
      <c r="X358">
        <f t="shared" ca="1" si="121"/>
        <v>313.62238532415756</v>
      </c>
      <c r="Y358">
        <f t="shared" ca="1" si="120"/>
        <v>-0.47438624458300183</v>
      </c>
      <c r="Z358">
        <f t="shared" ref="Z358:Z421" ca="1" si="122">Y358*(2/(9+1)) + Z357*(1-(2/(9+1)))</f>
        <v>0.27929302857640276</v>
      </c>
      <c r="AA358">
        <f t="shared" ref="AA358:AA421" ca="1" si="123">Y358-Z358</f>
        <v>-0.75367927315940464</v>
      </c>
      <c r="AB358">
        <f t="shared" ref="AB358:AB421" ca="1" si="124">AVERAGE(C259:C358)</f>
        <v>305.74670000000015</v>
      </c>
    </row>
    <row r="359" spans="1:28" x14ac:dyDescent="0.25">
      <c r="A359" s="21">
        <f t="shared" ca="1" si="104"/>
        <v>45810</v>
      </c>
      <c r="B359" vm="1064">
        <f ca="1"/>
        <v>45813</v>
      </c>
      <c r="C359" vm="1065">
        <f ca="1"/>
        <v>308.98</v>
      </c>
      <c r="D359" vm="1066">
        <f ca="1"/>
        <v>3817236</v>
      </c>
      <c r="E359">
        <f t="shared" ca="1" si="105"/>
        <v>1179449579.28</v>
      </c>
      <c r="F359">
        <f ca="1">SUM($E$2:E359)/SUM($D$2:D359)</f>
        <v>288.26252421953194</v>
      </c>
      <c r="G359">
        <f ca="1">_xlfn.STDEV.P($C$2:C359)</f>
        <v>18.505565865804776</v>
      </c>
      <c r="H359">
        <f t="shared" ca="1" si="106"/>
        <v>306.76809008533672</v>
      </c>
      <c r="I359">
        <f t="shared" ca="1" si="107"/>
        <v>269.75695835372716</v>
      </c>
      <c r="J359">
        <f t="shared" ca="1" si="116"/>
        <v>313.69200000000001</v>
      </c>
      <c r="K359">
        <f t="shared" ca="1" si="117"/>
        <v>3.4739460347897744</v>
      </c>
      <c r="L359">
        <f t="shared" ca="1" si="118"/>
        <v>320.63989206957956</v>
      </c>
      <c r="M359">
        <f t="shared" ca="1" si="119"/>
        <v>306.74410793042045</v>
      </c>
      <c r="N359">
        <f t="shared" ca="1" si="108"/>
        <v>-2.589999999999975</v>
      </c>
      <c r="O359">
        <f t="shared" ca="1" si="109"/>
        <v>0</v>
      </c>
      <c r="P359">
        <f t="shared" ca="1" si="110"/>
        <v>2.589999999999975</v>
      </c>
      <c r="Q359">
        <f t="shared" ca="1" si="114"/>
        <v>0.90294880643846198</v>
      </c>
      <c r="R359">
        <f t="shared" ca="1" si="115"/>
        <v>1.2317382757596802</v>
      </c>
      <c r="S359">
        <f t="shared" ca="1" si="112"/>
        <v>0.73306872426414138</v>
      </c>
      <c r="T359">
        <f t="shared" ca="1" si="113"/>
        <v>42.298883708457744</v>
      </c>
      <c r="U359">
        <f>70</f>
        <v>70</v>
      </c>
      <c r="V359">
        <f>30</f>
        <v>30</v>
      </c>
      <c r="W359">
        <f t="shared" ca="1" si="111"/>
        <v>312.80411868519252</v>
      </c>
      <c r="X359">
        <f t="shared" ca="1" si="121"/>
        <v>313.27850492977552</v>
      </c>
      <c r="Y359">
        <f t="shared" ca="1" si="120"/>
        <v>-0.87353519280588898</v>
      </c>
      <c r="Z359">
        <f t="shared" ca="1" si="122"/>
        <v>4.8727384299944415E-2</v>
      </c>
      <c r="AA359">
        <f t="shared" ca="1" si="123"/>
        <v>-0.92226257710583337</v>
      </c>
      <c r="AB359">
        <f t="shared" ca="1" si="124"/>
        <v>306.0134000000001</v>
      </c>
    </row>
    <row r="360" spans="1:28" x14ac:dyDescent="0.25">
      <c r="A360" s="21">
        <f t="shared" ca="1" si="104"/>
        <v>45810</v>
      </c>
      <c r="B360" vm="1067">
        <f ca="1"/>
        <v>45814</v>
      </c>
      <c r="C360" vm="1068">
        <f ca="1"/>
        <v>307.36</v>
      </c>
      <c r="D360" vm="1069">
        <f ca="1"/>
        <v>2622767</v>
      </c>
      <c r="E360">
        <f t="shared" ca="1" si="105"/>
        <v>806133665.12</v>
      </c>
      <c r="F360">
        <f ca="1">SUM($E$2:E360)/SUM($D$2:D360)</f>
        <v>288.3028708413251</v>
      </c>
      <c r="G360">
        <f ca="1">_xlfn.STDEV.P($C$2:C360)</f>
        <v>18.504665779499774</v>
      </c>
      <c r="H360">
        <f t="shared" ca="1" si="106"/>
        <v>306.80753662082486</v>
      </c>
      <c r="I360">
        <f t="shared" ca="1" si="107"/>
        <v>269.79820506182534</v>
      </c>
      <c r="J360">
        <f t="shared" ca="1" si="116"/>
        <v>313.38549999999998</v>
      </c>
      <c r="K360">
        <f t="shared" ca="1" si="117"/>
        <v>3.7519980291207946</v>
      </c>
      <c r="L360">
        <f t="shared" ca="1" si="118"/>
        <v>320.88949605824155</v>
      </c>
      <c r="M360">
        <f t="shared" ca="1" si="119"/>
        <v>305.88150394175841</v>
      </c>
      <c r="N360">
        <f t="shared" ca="1" si="108"/>
        <v>-1.6200000000000045</v>
      </c>
      <c r="O360">
        <f t="shared" ca="1" si="109"/>
        <v>0</v>
      </c>
      <c r="P360">
        <f t="shared" ca="1" si="110"/>
        <v>1.6200000000000045</v>
      </c>
      <c r="Q360">
        <f t="shared" ca="1" si="114"/>
        <v>0.83845246312142907</v>
      </c>
      <c r="R360">
        <f t="shared" ca="1" si="115"/>
        <v>1.2594712560625605</v>
      </c>
      <c r="S360">
        <f t="shared" ca="1" si="112"/>
        <v>0.66571782332107576</v>
      </c>
      <c r="T360">
        <f t="shared" ca="1" si="113"/>
        <v>39.965822181921574</v>
      </c>
      <c r="U360">
        <f>70</f>
        <v>70</v>
      </c>
      <c r="V360">
        <f>30</f>
        <v>30</v>
      </c>
      <c r="W360">
        <f t="shared" ca="1" si="111"/>
        <v>311.96656196439369</v>
      </c>
      <c r="X360">
        <f t="shared" ca="1" si="121"/>
        <v>312.84009715719958</v>
      </c>
      <c r="Y360">
        <f t="shared" ca="1" si="120"/>
        <v>-1.3821158765382506</v>
      </c>
      <c r="Z360">
        <f t="shared" ca="1" si="122"/>
        <v>-0.23744126786769462</v>
      </c>
      <c r="AA360">
        <f t="shared" ca="1" si="123"/>
        <v>-1.1446746086705559</v>
      </c>
      <c r="AB360">
        <f t="shared" ca="1" si="124"/>
        <v>306.25070000000011</v>
      </c>
    </row>
    <row r="361" spans="1:28" x14ac:dyDescent="0.25">
      <c r="A361" s="21">
        <f t="shared" ca="1" si="104"/>
        <v>45817</v>
      </c>
      <c r="B361" vm="1070">
        <f ca="1"/>
        <v>45817</v>
      </c>
      <c r="C361" vm="1071">
        <f ca="1"/>
        <v>304.77999999999997</v>
      </c>
      <c r="D361" vm="1072">
        <f ca="1"/>
        <v>4059771</v>
      </c>
      <c r="E361">
        <f t="shared" ca="1" si="105"/>
        <v>1237337005.3799999</v>
      </c>
      <c r="F361">
        <f ca="1">SUM($E$2:E361)/SUM($D$2:D361)</f>
        <v>288.35657855601511</v>
      </c>
      <c r="G361">
        <f ca="1">_xlfn.STDEV.P($C$2:C361)</f>
        <v>18.497118120858886</v>
      </c>
      <c r="H361">
        <f t="shared" ca="1" si="106"/>
        <v>306.85369667687399</v>
      </c>
      <c r="I361">
        <f t="shared" ca="1" si="107"/>
        <v>269.85946043515622</v>
      </c>
      <c r="J361">
        <f t="shared" ca="1" si="116"/>
        <v>312.94050000000004</v>
      </c>
      <c r="K361">
        <f t="shared" ca="1" si="117"/>
        <v>4.2145093677113064</v>
      </c>
      <c r="L361">
        <f t="shared" ca="1" si="118"/>
        <v>321.36951873542267</v>
      </c>
      <c r="M361">
        <f t="shared" ca="1" si="119"/>
        <v>304.51148126457741</v>
      </c>
      <c r="N361">
        <f t="shared" ca="1" si="108"/>
        <v>-2.5800000000000409</v>
      </c>
      <c r="O361">
        <f t="shared" ca="1" si="109"/>
        <v>0</v>
      </c>
      <c r="P361">
        <f t="shared" ca="1" si="110"/>
        <v>2.5800000000000409</v>
      </c>
      <c r="Q361">
        <f t="shared" ca="1" si="114"/>
        <v>0.77856300146989843</v>
      </c>
      <c r="R361">
        <f t="shared" ca="1" si="115"/>
        <v>1.3537947377723805</v>
      </c>
      <c r="S361">
        <f t="shared" ca="1" si="112"/>
        <v>0.5750967851677391</v>
      </c>
      <c r="T361">
        <f t="shared" ca="1" si="113"/>
        <v>36.51183791264576</v>
      </c>
      <c r="U361">
        <f>70</f>
        <v>70</v>
      </c>
      <c r="V361">
        <f>30</f>
        <v>30</v>
      </c>
      <c r="W361">
        <f t="shared" ca="1" si="111"/>
        <v>310.86093704679467</v>
      </c>
      <c r="X361">
        <f t="shared" ca="1" si="121"/>
        <v>312.24305292333293</v>
      </c>
      <c r="Y361">
        <f t="shared" ca="1" si="120"/>
        <v>-2.1118344649150345</v>
      </c>
      <c r="Z361">
        <f t="shared" ca="1" si="122"/>
        <v>-0.61231990727716257</v>
      </c>
      <c r="AA361">
        <f t="shared" ca="1" si="123"/>
        <v>-1.4995145576378719</v>
      </c>
      <c r="AB361">
        <f t="shared" ca="1" si="124"/>
        <v>306.48270000000008</v>
      </c>
    </row>
    <row r="362" spans="1:28" x14ac:dyDescent="0.25">
      <c r="A362" s="21">
        <f t="shared" ca="1" si="104"/>
        <v>45817</v>
      </c>
      <c r="B362" vm="1073">
        <f ca="1"/>
        <v>45818</v>
      </c>
      <c r="C362" vm="1074">
        <f ca="1"/>
        <v>300.43</v>
      </c>
      <c r="D362" vm="1075">
        <f ca="1"/>
        <v>4698701</v>
      </c>
      <c r="E362">
        <f t="shared" ca="1" si="105"/>
        <v>1411630741.4300001</v>
      </c>
      <c r="F362">
        <f ca="1">SUM($E$2:E362)/SUM($D$2:D362)</f>
        <v>288.40195458214521</v>
      </c>
      <c r="G362">
        <f ca="1">_xlfn.STDEV.P($C$2:C362)</f>
        <v>18.480826644460567</v>
      </c>
      <c r="H362">
        <f t="shared" ca="1" si="106"/>
        <v>306.8827812266058</v>
      </c>
      <c r="I362">
        <f t="shared" ca="1" si="107"/>
        <v>269.92112793768462</v>
      </c>
      <c r="J362">
        <f t="shared" ca="1" si="116"/>
        <v>312.36599999999999</v>
      </c>
      <c r="K362">
        <f t="shared" ca="1" si="117"/>
        <v>5.0593835696913905</v>
      </c>
      <c r="L362">
        <f t="shared" ca="1" si="118"/>
        <v>322.48476713938277</v>
      </c>
      <c r="M362">
        <f t="shared" ca="1" si="119"/>
        <v>302.2472328606172</v>
      </c>
      <c r="N362">
        <f t="shared" ca="1" si="108"/>
        <v>-4.3499999999999659</v>
      </c>
      <c r="O362">
        <f t="shared" ca="1" si="109"/>
        <v>0</v>
      </c>
      <c r="P362">
        <f t="shared" ca="1" si="110"/>
        <v>4.3499999999999659</v>
      </c>
      <c r="Q362">
        <f t="shared" ca="1" si="114"/>
        <v>0.72295135850776282</v>
      </c>
      <c r="R362">
        <f t="shared" ca="1" si="115"/>
        <v>1.5678093993600652</v>
      </c>
      <c r="S362">
        <f t="shared" ca="1" si="112"/>
        <v>0.46112196980248416</v>
      </c>
      <c r="T362">
        <f t="shared" ca="1" si="113"/>
        <v>31.559443998013322</v>
      </c>
      <c r="U362">
        <f>70</f>
        <v>70</v>
      </c>
      <c r="V362">
        <f>30</f>
        <v>30</v>
      </c>
      <c r="W362">
        <f t="shared" ca="1" si="111"/>
        <v>309.256177501134</v>
      </c>
      <c r="X362">
        <f t="shared" ca="1" si="121"/>
        <v>311.36801196604904</v>
      </c>
      <c r="Y362">
        <f t="shared" ca="1" si="120"/>
        <v>-2.5565788351257765</v>
      </c>
      <c r="Z362">
        <f t="shared" ca="1" si="122"/>
        <v>-1.0011716928468855</v>
      </c>
      <c r="AA362">
        <f t="shared" ca="1" si="123"/>
        <v>-1.5554071422788911</v>
      </c>
      <c r="AB362">
        <f t="shared" ca="1" si="124"/>
        <v>306.6640000000001</v>
      </c>
    </row>
    <row r="363" spans="1:28" x14ac:dyDescent="0.25">
      <c r="A363" s="21">
        <f t="shared" ca="1" si="104"/>
        <v>45817</v>
      </c>
      <c r="B363" vm="1076">
        <f ca="1"/>
        <v>45819</v>
      </c>
      <c r="C363" vm="1077">
        <f ca="1"/>
        <v>301.72000000000003</v>
      </c>
      <c r="D363" vm="1078">
        <f ca="1"/>
        <v>3312510</v>
      </c>
      <c r="E363">
        <f t="shared" ca="1" si="105"/>
        <v>999450517.20000005</v>
      </c>
      <c r="F363">
        <f ca="1">SUM($E$2:E363)/SUM($D$2:D363)</f>
        <v>288.43714843438295</v>
      </c>
      <c r="G363">
        <f ca="1">_xlfn.STDEV.P($C$2:C363)</f>
        <v>18.466829326384087</v>
      </c>
      <c r="H363">
        <f t="shared" ca="1" si="106"/>
        <v>306.90397776076702</v>
      </c>
      <c r="I363">
        <f t="shared" ca="1" si="107"/>
        <v>269.97031910799888</v>
      </c>
      <c r="J363">
        <f t="shared" ca="1" si="116"/>
        <v>312.01749999999998</v>
      </c>
      <c r="K363">
        <f t="shared" ca="1" si="117"/>
        <v>5.5428720229821211</v>
      </c>
      <c r="L363">
        <f t="shared" ca="1" si="118"/>
        <v>323.10324404596423</v>
      </c>
      <c r="M363">
        <f t="shared" ca="1" si="119"/>
        <v>300.93175595403574</v>
      </c>
      <c r="N363">
        <f t="shared" ca="1" si="108"/>
        <v>1.2900000000000205</v>
      </c>
      <c r="O363">
        <f t="shared" ca="1" si="109"/>
        <v>1.2900000000000205</v>
      </c>
      <c r="P363">
        <f t="shared" ca="1" si="110"/>
        <v>0</v>
      </c>
      <c r="Q363">
        <f t="shared" ca="1" si="114"/>
        <v>0.76345483290006688</v>
      </c>
      <c r="R363">
        <f t="shared" ca="1" si="115"/>
        <v>1.4558230136914891</v>
      </c>
      <c r="S363">
        <f t="shared" ca="1" si="112"/>
        <v>0.52441459279050417</v>
      </c>
      <c r="T363">
        <f t="shared" ca="1" si="113"/>
        <v>34.401047803573007</v>
      </c>
      <c r="U363">
        <f>70</f>
        <v>70</v>
      </c>
      <c r="V363">
        <f>30</f>
        <v>30</v>
      </c>
      <c r="W363">
        <f t="shared" ca="1" si="111"/>
        <v>308.09676557788259</v>
      </c>
      <c r="X363">
        <f t="shared" ca="1" si="121"/>
        <v>310.65334441300837</v>
      </c>
      <c r="Y363">
        <f t="shared" ca="1" si="120"/>
        <v>-2.7610186826113363</v>
      </c>
      <c r="Z363">
        <f t="shared" ca="1" si="122"/>
        <v>-1.3531410907997756</v>
      </c>
      <c r="AA363">
        <f t="shared" ca="1" si="123"/>
        <v>-1.4078775918115607</v>
      </c>
      <c r="AB363">
        <f t="shared" ca="1" si="124"/>
        <v>306.88380000000012</v>
      </c>
    </row>
    <row r="364" spans="1:28" x14ac:dyDescent="0.25">
      <c r="A364" s="21">
        <f t="shared" ca="1" si="104"/>
        <v>45817</v>
      </c>
      <c r="B364" vm="1079">
        <f ca="1"/>
        <v>45820</v>
      </c>
      <c r="C364" vm="1080">
        <f ca="1"/>
        <v>303.16000000000003</v>
      </c>
      <c r="D364" vm="1081">
        <f ca="1"/>
        <v>2584667</v>
      </c>
      <c r="E364">
        <f t="shared" ca="1" si="105"/>
        <v>783567647.72000003</v>
      </c>
      <c r="F364">
        <f ca="1">SUM($E$2:E364)/SUM($D$2:D364)</f>
        <v>288.46744344337736</v>
      </c>
      <c r="G364">
        <f ca="1">_xlfn.STDEV.P($C$2:C364)</f>
        <v>18.455648856305558</v>
      </c>
      <c r="H364">
        <f t="shared" ca="1" si="106"/>
        <v>306.92309229968293</v>
      </c>
      <c r="I364">
        <f t="shared" ca="1" si="107"/>
        <v>270.01179458707179</v>
      </c>
      <c r="J364">
        <f t="shared" ca="1" si="116"/>
        <v>311.80049999999994</v>
      </c>
      <c r="K364">
        <f t="shared" ca="1" si="117"/>
        <v>5.8076668700678926</v>
      </c>
      <c r="L364">
        <f t="shared" ca="1" si="118"/>
        <v>323.41583374013572</v>
      </c>
      <c r="M364">
        <f t="shared" ca="1" si="119"/>
        <v>300.18516625986416</v>
      </c>
      <c r="N364">
        <f t="shared" ca="1" si="108"/>
        <v>1.4399999999999977</v>
      </c>
      <c r="O364">
        <f t="shared" ca="1" si="109"/>
        <v>1.4399999999999977</v>
      </c>
      <c r="P364">
        <f t="shared" ca="1" si="110"/>
        <v>0</v>
      </c>
      <c r="Q364">
        <f t="shared" ca="1" si="114"/>
        <v>0.81177948769291908</v>
      </c>
      <c r="R364">
        <f t="shared" ca="1" si="115"/>
        <v>1.3518356555706685</v>
      </c>
      <c r="S364">
        <f t="shared" ca="1" si="112"/>
        <v>0.60050161004980429</v>
      </c>
      <c r="T364">
        <f t="shared" ca="1" si="113"/>
        <v>37.519588001608945</v>
      </c>
      <c r="U364">
        <f>70</f>
        <v>70</v>
      </c>
      <c r="V364">
        <f>30</f>
        <v>30</v>
      </c>
      <c r="W364">
        <f t="shared" ca="1" si="111"/>
        <v>307.33726318128527</v>
      </c>
      <c r="X364">
        <f t="shared" ca="1" si="121"/>
        <v>310.0982818638966</v>
      </c>
      <c r="Y364">
        <f t="shared" ca="1" si="120"/>
        <v>-2.98944285163725</v>
      </c>
      <c r="Z364">
        <f t="shared" ca="1" si="122"/>
        <v>-1.6804014429672707</v>
      </c>
      <c r="AA364">
        <f t="shared" ca="1" si="123"/>
        <v>-1.3090414086699793</v>
      </c>
      <c r="AB364">
        <f t="shared" ca="1" si="124"/>
        <v>307.10590000000013</v>
      </c>
    </row>
    <row r="365" spans="1:28" x14ac:dyDescent="0.25">
      <c r="A365" s="21">
        <f t="shared" ca="1" si="104"/>
        <v>45817</v>
      </c>
      <c r="B365" vm="1082">
        <f ca="1"/>
        <v>45821</v>
      </c>
      <c r="C365" vm="1083">
        <f ca="1"/>
        <v>301.91000000000003</v>
      </c>
      <c r="D365" vm="1084">
        <f ca="1"/>
        <v>2435628</v>
      </c>
      <c r="E365">
        <f t="shared" ca="1" si="105"/>
        <v>735340449.48000002</v>
      </c>
      <c r="F365">
        <f ca="1">SUM($E$2:E365)/SUM($D$2:D365)</f>
        <v>288.4934585786271</v>
      </c>
      <c r="G365">
        <f ca="1">_xlfn.STDEV.P($C$2:C365)</f>
        <v>18.441997075773195</v>
      </c>
      <c r="H365">
        <f t="shared" ca="1" si="106"/>
        <v>306.9354556544003</v>
      </c>
      <c r="I365">
        <f t="shared" ca="1" si="107"/>
        <v>270.0514615028539</v>
      </c>
      <c r="J365">
        <f t="shared" ca="1" si="116"/>
        <v>311.17199999999997</v>
      </c>
      <c r="K365">
        <f t="shared" ca="1" si="117"/>
        <v>6.1712104075891627</v>
      </c>
      <c r="L365">
        <f t="shared" ca="1" si="118"/>
        <v>323.51442081517831</v>
      </c>
      <c r="M365">
        <f t="shared" ca="1" si="119"/>
        <v>298.82957918482163</v>
      </c>
      <c r="N365">
        <f t="shared" ca="1" si="108"/>
        <v>-1.25</v>
      </c>
      <c r="O365">
        <f t="shared" ca="1" si="109"/>
        <v>0</v>
      </c>
      <c r="P365">
        <f t="shared" ca="1" si="110"/>
        <v>1.25</v>
      </c>
      <c r="Q365">
        <f t="shared" ca="1" si="114"/>
        <v>0.75379523857199626</v>
      </c>
      <c r="R365">
        <f t="shared" ca="1" si="115"/>
        <v>1.3445616801727636</v>
      </c>
      <c r="S365">
        <f t="shared" ca="1" si="112"/>
        <v>0.56062525779787253</v>
      </c>
      <c r="T365">
        <f t="shared" ca="1" si="113"/>
        <v>35.923118314062492</v>
      </c>
      <c r="U365">
        <f>70</f>
        <v>70</v>
      </c>
      <c r="V365">
        <f>30</f>
        <v>30</v>
      </c>
      <c r="W365">
        <f t="shared" ca="1" si="111"/>
        <v>306.50229961493369</v>
      </c>
      <c r="X365">
        <f t="shared" ca="1" si="121"/>
        <v>309.49174246657094</v>
      </c>
      <c r="Y365">
        <f t="shared" ca="1" si="120"/>
        <v>-3.5826590199437192</v>
      </c>
      <c r="Z365">
        <f t="shared" ca="1" si="122"/>
        <v>-2.0608529583625605</v>
      </c>
      <c r="AA365">
        <f t="shared" ca="1" si="123"/>
        <v>-1.5218060615811586</v>
      </c>
      <c r="AB365">
        <f t="shared" ca="1" si="124"/>
        <v>307.29890000000006</v>
      </c>
    </row>
    <row r="366" spans="1:28" x14ac:dyDescent="0.25">
      <c r="A366" s="21">
        <f t="shared" ca="1" si="104"/>
        <v>45824</v>
      </c>
      <c r="B366" vm="1085">
        <f ca="1"/>
        <v>45824</v>
      </c>
      <c r="C366" vm="1086">
        <f ca="1"/>
        <v>296.29000000000002</v>
      </c>
      <c r="D366" vm="1087">
        <f ca="1"/>
        <v>4045666</v>
      </c>
      <c r="E366">
        <f t="shared" ca="1" si="105"/>
        <v>1198690379.1400001</v>
      </c>
      <c r="F366">
        <f ca="1">SUM($E$2:E366)/SUM($D$2:D366)</f>
        <v>288.5184408223916</v>
      </c>
      <c r="G366">
        <f ca="1">_xlfn.STDEV.P($C$2:C366)</f>
        <v>18.420251066777226</v>
      </c>
      <c r="H366">
        <f t="shared" ca="1" si="106"/>
        <v>306.93869188916881</v>
      </c>
      <c r="I366">
        <f t="shared" ca="1" si="107"/>
        <v>270.09818975561438</v>
      </c>
      <c r="J366">
        <f t="shared" ca="1" si="116"/>
        <v>310.05599999999998</v>
      </c>
      <c r="K366">
        <f t="shared" ca="1" si="117"/>
        <v>6.7466712259883304</v>
      </c>
      <c r="L366">
        <f t="shared" ca="1" si="118"/>
        <v>323.54934245197666</v>
      </c>
      <c r="M366">
        <f t="shared" ca="1" si="119"/>
        <v>296.56265754802331</v>
      </c>
      <c r="N366">
        <f t="shared" ca="1" si="108"/>
        <v>-5.6200000000000045</v>
      </c>
      <c r="O366">
        <f t="shared" ca="1" si="109"/>
        <v>0</v>
      </c>
      <c r="P366">
        <f t="shared" ca="1" si="110"/>
        <v>5.6200000000000045</v>
      </c>
      <c r="Q366">
        <f t="shared" ca="1" si="114"/>
        <v>0.69995272153113941</v>
      </c>
      <c r="R366">
        <f t="shared" ca="1" si="115"/>
        <v>1.6499501315889951</v>
      </c>
      <c r="S366">
        <f t="shared" ca="1" si="112"/>
        <v>0.42422659214375497</v>
      </c>
      <c r="T366">
        <f t="shared" ca="1" si="113"/>
        <v>29.786453537930811</v>
      </c>
      <c r="U366">
        <f>70</f>
        <v>70</v>
      </c>
      <c r="V366">
        <f>30</f>
        <v>30</v>
      </c>
      <c r="W366">
        <f t="shared" ca="1" si="111"/>
        <v>304.93117659725158</v>
      </c>
      <c r="X366">
        <f t="shared" ca="1" si="121"/>
        <v>308.5138356171953</v>
      </c>
      <c r="Y366">
        <f t="shared" ca="1" si="120"/>
        <v>-4.3240943766517148</v>
      </c>
      <c r="Z366">
        <f t="shared" ca="1" si="122"/>
        <v>-2.5135012420203915</v>
      </c>
      <c r="AA366">
        <f t="shared" ca="1" si="123"/>
        <v>-1.8105931346313233</v>
      </c>
      <c r="AB366">
        <f t="shared" ca="1" si="124"/>
        <v>307.44830000000007</v>
      </c>
    </row>
    <row r="367" spans="1:28" x14ac:dyDescent="0.25">
      <c r="A367" s="21">
        <f t="shared" ca="1" si="104"/>
        <v>45824</v>
      </c>
      <c r="B367" vm="1088">
        <f ca="1"/>
        <v>45825</v>
      </c>
      <c r="C367" vm="56">
        <f ca="1"/>
        <v>292.31</v>
      </c>
      <c r="D367" vm="1089">
        <f ca="1"/>
        <v>3378975</v>
      </c>
      <c r="E367">
        <f t="shared" ca="1" si="105"/>
        <v>987708182.25</v>
      </c>
      <c r="F367">
        <f ca="1">SUM($E$2:E367)/SUM($D$2:D367)</f>
        <v>288.52856084588592</v>
      </c>
      <c r="G367">
        <f ca="1">_xlfn.STDEV.P($C$2:C367)</f>
        <v>18.395694188226667</v>
      </c>
      <c r="H367">
        <f t="shared" ca="1" si="106"/>
        <v>306.9242550341126</v>
      </c>
      <c r="I367">
        <f t="shared" ca="1" si="107"/>
        <v>270.13286665765924</v>
      </c>
      <c r="J367">
        <f t="shared" ca="1" si="116"/>
        <v>308.61</v>
      </c>
      <c r="K367">
        <f t="shared" ca="1" si="117"/>
        <v>7.3020465768527005</v>
      </c>
      <c r="L367">
        <f t="shared" ca="1" si="118"/>
        <v>323.21409315370539</v>
      </c>
      <c r="M367">
        <f t="shared" ca="1" si="119"/>
        <v>294.00590684629464</v>
      </c>
      <c r="N367">
        <f t="shared" ca="1" si="108"/>
        <v>-3.9800000000000182</v>
      </c>
      <c r="O367">
        <f t="shared" ca="1" si="109"/>
        <v>0</v>
      </c>
      <c r="P367">
        <f t="shared" ca="1" si="110"/>
        <v>3.9800000000000182</v>
      </c>
      <c r="Q367">
        <f t="shared" ca="1" si="114"/>
        <v>0.64995609856462955</v>
      </c>
      <c r="R367">
        <f t="shared" ca="1" si="115"/>
        <v>1.8163822650469252</v>
      </c>
      <c r="S367">
        <f t="shared" ca="1" si="112"/>
        <v>0.35783001798238673</v>
      </c>
      <c r="T367">
        <f t="shared" ca="1" si="113"/>
        <v>26.35307904844305</v>
      </c>
      <c r="U367">
        <f>70</f>
        <v>70</v>
      </c>
      <c r="V367">
        <f>30</f>
        <v>30</v>
      </c>
      <c r="W367">
        <f t="shared" ca="1" si="111"/>
        <v>302.98945712075135</v>
      </c>
      <c r="X367">
        <f t="shared" ca="1" si="121"/>
        <v>307.31355149740307</v>
      </c>
      <c r="Y367">
        <f t="shared" ca="1" si="120"/>
        <v>-5.0695027686405751</v>
      </c>
      <c r="Z367">
        <f t="shared" ca="1" si="122"/>
        <v>-3.0247015473444288</v>
      </c>
      <c r="AA367">
        <f t="shared" ca="1" si="123"/>
        <v>-2.0448012212961464</v>
      </c>
      <c r="AB367">
        <f t="shared" ca="1" si="124"/>
        <v>307.52710000000008</v>
      </c>
    </row>
    <row r="368" spans="1:28" x14ac:dyDescent="0.25">
      <c r="A368" s="21">
        <f t="shared" ca="1" si="104"/>
        <v>45824</v>
      </c>
      <c r="B368" vm="1090">
        <f ca="1"/>
        <v>45826</v>
      </c>
      <c r="C368" vm="1091">
        <f ca="1"/>
        <v>289.63</v>
      </c>
      <c r="D368" vm="1092">
        <f ca="1"/>
        <v>4008675</v>
      </c>
      <c r="E368">
        <f t="shared" ca="1" si="105"/>
        <v>1161032540.25</v>
      </c>
      <c r="F368">
        <f ca="1">SUM($E$2:E368)/SUM($D$2:D368)</f>
        <v>288.53203754447122</v>
      </c>
      <c r="G368">
        <f ca="1">_xlfn.STDEV.P($C$2:C368)</f>
        <v>18.370618294265377</v>
      </c>
      <c r="H368">
        <f t="shared" ca="1" si="106"/>
        <v>306.90265583873662</v>
      </c>
      <c r="I368">
        <f t="shared" ca="1" si="107"/>
        <v>270.16141925020582</v>
      </c>
      <c r="J368">
        <f t="shared" ca="1" si="116"/>
        <v>307.10150000000004</v>
      </c>
      <c r="K368">
        <f t="shared" ca="1" si="117"/>
        <v>7.955768033320223</v>
      </c>
      <c r="L368">
        <f t="shared" ca="1" si="118"/>
        <v>323.0130360666405</v>
      </c>
      <c r="M368">
        <f t="shared" ca="1" si="119"/>
        <v>291.18996393335959</v>
      </c>
      <c r="N368">
        <f t="shared" ca="1" si="108"/>
        <v>-2.6800000000000068</v>
      </c>
      <c r="O368">
        <f t="shared" ca="1" si="109"/>
        <v>0</v>
      </c>
      <c r="P368">
        <f t="shared" ca="1" si="110"/>
        <v>2.6800000000000068</v>
      </c>
      <c r="Q368">
        <f t="shared" ca="1" si="114"/>
        <v>0.60353066295287028</v>
      </c>
      <c r="R368">
        <f t="shared" ca="1" si="115"/>
        <v>1.8780692461150024</v>
      </c>
      <c r="S368">
        <f t="shared" ca="1" si="112"/>
        <v>0.32135698095336013</v>
      </c>
      <c r="T368">
        <f t="shared" ca="1" si="113"/>
        <v>24.320224253214363</v>
      </c>
      <c r="U368">
        <f>70</f>
        <v>70</v>
      </c>
      <c r="V368">
        <f>30</f>
        <v>30</v>
      </c>
      <c r="W368">
        <f t="shared" ca="1" si="111"/>
        <v>300.93415602525113</v>
      </c>
      <c r="X368">
        <f t="shared" ca="1" si="121"/>
        <v>306.0036587938917</v>
      </c>
      <c r="Y368">
        <f t="shared" ca="1" si="120"/>
        <v>-5.7688454943453849</v>
      </c>
      <c r="Z368">
        <f t="shared" ca="1" si="122"/>
        <v>-3.5735303367446201</v>
      </c>
      <c r="AA368">
        <f t="shared" ca="1" si="123"/>
        <v>-2.1953151576007648</v>
      </c>
      <c r="AB368">
        <f t="shared" ca="1" si="124"/>
        <v>307.56880000000007</v>
      </c>
    </row>
    <row r="369" spans="1:28" x14ac:dyDescent="0.25">
      <c r="A369" s="21">
        <f t="shared" ca="1" si="104"/>
        <v>45824</v>
      </c>
      <c r="B369" vm="1093">
        <f ca="1"/>
        <v>45828</v>
      </c>
      <c r="C369" vm="1094">
        <f ca="1"/>
        <v>287.45999999999998</v>
      </c>
      <c r="D369" vm="1095">
        <f ca="1"/>
        <v>7084966</v>
      </c>
      <c r="E369">
        <f t="shared" ca="1" si="105"/>
        <v>2036644326.3599999</v>
      </c>
      <c r="F369">
        <f ca="1">SUM($E$2:E369)/SUM($D$2:D369)</f>
        <v>288.52609000511325</v>
      </c>
      <c r="G369">
        <f ca="1">_xlfn.STDEV.P($C$2:C369)</f>
        <v>18.345923365564374</v>
      </c>
      <c r="H369">
        <f t="shared" ca="1" si="106"/>
        <v>306.87201337067762</v>
      </c>
      <c r="I369">
        <f t="shared" ca="1" si="107"/>
        <v>270.18016663954887</v>
      </c>
      <c r="J369">
        <f t="shared" ca="1" si="116"/>
        <v>305.65249999999997</v>
      </c>
      <c r="K369">
        <f t="shared" ca="1" si="117"/>
        <v>8.7634995863524736</v>
      </c>
      <c r="L369">
        <f t="shared" ca="1" si="118"/>
        <v>323.17949917270494</v>
      </c>
      <c r="M369">
        <f t="shared" ca="1" si="119"/>
        <v>288.12550082729501</v>
      </c>
      <c r="N369">
        <f t="shared" ca="1" si="108"/>
        <v>-2.1700000000000159</v>
      </c>
      <c r="O369">
        <f t="shared" ca="1" si="109"/>
        <v>0</v>
      </c>
      <c r="P369">
        <f t="shared" ca="1" si="110"/>
        <v>2.1700000000000159</v>
      </c>
      <c r="Q369">
        <f t="shared" ca="1" si="114"/>
        <v>0.56042132988480808</v>
      </c>
      <c r="R369">
        <f t="shared" ca="1" si="115"/>
        <v>1.8989214428210748</v>
      </c>
      <c r="S369">
        <f t="shared" ca="1" si="112"/>
        <v>0.29512612646694603</v>
      </c>
      <c r="T369">
        <f t="shared" ca="1" si="113"/>
        <v>22.787442893460778</v>
      </c>
      <c r="U369">
        <f>70</f>
        <v>70</v>
      </c>
      <c r="V369">
        <f>30</f>
        <v>30</v>
      </c>
      <c r="W369">
        <f t="shared" ca="1" si="111"/>
        <v>298.86120894444326</v>
      </c>
      <c r="X369">
        <f t="shared" ca="1" si="121"/>
        <v>304.63005443878865</v>
      </c>
      <c r="Y369">
        <f t="shared" ca="1" si="120"/>
        <v>-6.0866912709591361</v>
      </c>
      <c r="Z369">
        <f t="shared" ca="1" si="122"/>
        <v>-4.0761625235875236</v>
      </c>
      <c r="AA369">
        <f t="shared" ca="1" si="123"/>
        <v>-2.0105287473716125</v>
      </c>
      <c r="AB369">
        <f t="shared" ca="1" si="124"/>
        <v>307.51250000000005</v>
      </c>
    </row>
    <row r="370" spans="1:28" x14ac:dyDescent="0.25">
      <c r="A370" s="21">
        <f t="shared" ca="1" si="104"/>
        <v>45831</v>
      </c>
      <c r="B370" vm="1096">
        <f ca="1"/>
        <v>45831</v>
      </c>
      <c r="C370" vm="487">
        <f ca="1"/>
        <v>289.52</v>
      </c>
      <c r="D370" vm="1097">
        <f ca="1"/>
        <v>5172494</v>
      </c>
      <c r="E370">
        <f t="shared" ca="1" si="105"/>
        <v>1497540462.8799999</v>
      </c>
      <c r="F370">
        <f ca="1">SUM($E$2:E370)/SUM($D$2:D370)</f>
        <v>288.53009942123788</v>
      </c>
      <c r="G370">
        <f ca="1">_xlfn.STDEV.P($C$2:C370)</f>
        <v>18.321048432480019</v>
      </c>
      <c r="H370">
        <f t="shared" ca="1" si="106"/>
        <v>306.85114785371792</v>
      </c>
      <c r="I370">
        <f t="shared" ca="1" si="107"/>
        <v>270.20905098875784</v>
      </c>
      <c r="J370">
        <f t="shared" ca="1" si="116"/>
        <v>304.41300000000001</v>
      </c>
      <c r="K370">
        <f t="shared" ca="1" si="117"/>
        <v>9.2159975900033402</v>
      </c>
      <c r="L370">
        <f t="shared" ca="1" si="118"/>
        <v>322.84499518000666</v>
      </c>
      <c r="M370">
        <f t="shared" ca="1" si="119"/>
        <v>285.98100481999336</v>
      </c>
      <c r="N370">
        <f t="shared" ca="1" si="108"/>
        <v>2.0600000000000023</v>
      </c>
      <c r="O370">
        <f t="shared" ca="1" si="109"/>
        <v>2.0600000000000023</v>
      </c>
      <c r="P370">
        <f t="shared" ca="1" si="110"/>
        <v>0</v>
      </c>
      <c r="Q370">
        <f t="shared" ca="1" si="114"/>
        <v>0.66753409203589342</v>
      </c>
      <c r="R370">
        <f t="shared" ca="1" si="115"/>
        <v>1.7632841969052837</v>
      </c>
      <c r="S370">
        <f t="shared" ca="1" si="112"/>
        <v>0.37857430651705126</v>
      </c>
      <c r="T370">
        <f t="shared" ca="1" si="113"/>
        <v>27.461291330281213</v>
      </c>
      <c r="U370">
        <f>70</f>
        <v>70</v>
      </c>
      <c r="V370">
        <f>30</f>
        <v>30</v>
      </c>
      <c r="W370">
        <f t="shared" ca="1" si="111"/>
        <v>297.42409987606737</v>
      </c>
      <c r="X370">
        <f t="shared" ca="1" si="121"/>
        <v>303.51079114702651</v>
      </c>
      <c r="Y370">
        <f t="shared" ca="1" si="120"/>
        <v>-6.1107961811726454</v>
      </c>
      <c r="Z370">
        <f t="shared" ca="1" si="122"/>
        <v>-4.4830892551045487</v>
      </c>
      <c r="AA370">
        <f t="shared" ca="1" si="123"/>
        <v>-1.6277069260680967</v>
      </c>
      <c r="AB370">
        <f t="shared" ca="1" si="124"/>
        <v>307.4962000000001</v>
      </c>
    </row>
    <row r="371" spans="1:28" x14ac:dyDescent="0.25">
      <c r="A371" s="21">
        <f t="shared" ca="1" si="104"/>
        <v>45831</v>
      </c>
      <c r="B371" vm="1098">
        <f ca="1"/>
        <v>45832</v>
      </c>
      <c r="C371" vm="1099">
        <f ca="1"/>
        <v>291.47000000000003</v>
      </c>
      <c r="D371" vm="1100">
        <f ca="1"/>
        <v>4461222</v>
      </c>
      <c r="E371">
        <f t="shared" ca="1" si="105"/>
        <v>1300312376.3400002</v>
      </c>
      <c r="F371">
        <f ca="1">SUM($E$2:E371)/SUM($D$2:D371)</f>
        <v>288.54029265898049</v>
      </c>
      <c r="G371">
        <f ca="1">_xlfn.STDEV.P($C$2:C371)</f>
        <v>18.296586260387045</v>
      </c>
      <c r="H371">
        <f t="shared" ca="1" si="106"/>
        <v>306.83687891936756</v>
      </c>
      <c r="I371">
        <f t="shared" ca="1" si="107"/>
        <v>270.24370639859342</v>
      </c>
      <c r="J371">
        <f t="shared" ca="1" si="116"/>
        <v>303.25800000000004</v>
      </c>
      <c r="K371">
        <f t="shared" ca="1" si="117"/>
        <v>9.322958983634237</v>
      </c>
      <c r="L371">
        <f t="shared" ca="1" si="118"/>
        <v>321.90391796726851</v>
      </c>
      <c r="M371">
        <f t="shared" ca="1" si="119"/>
        <v>284.61208203273156</v>
      </c>
      <c r="N371">
        <f t="shared" ca="1" si="108"/>
        <v>1.9500000000000455</v>
      </c>
      <c r="O371">
        <f t="shared" ca="1" si="109"/>
        <v>1.9500000000000455</v>
      </c>
      <c r="P371">
        <f t="shared" ca="1" si="110"/>
        <v>0</v>
      </c>
      <c r="Q371">
        <f t="shared" ca="1" si="114"/>
        <v>0.75913879974761855</v>
      </c>
      <c r="R371">
        <f t="shared" ca="1" si="115"/>
        <v>1.6373353256977634</v>
      </c>
      <c r="S371">
        <f t="shared" ca="1" si="112"/>
        <v>0.46364283957784003</v>
      </c>
      <c r="T371">
        <f t="shared" ca="1" si="113"/>
        <v>31.677320931079677</v>
      </c>
      <c r="U371">
        <f>70</f>
        <v>70</v>
      </c>
      <c r="V371">
        <f>30</f>
        <v>30</v>
      </c>
      <c r="W371">
        <f t="shared" ca="1" si="111"/>
        <v>296.50808451051853</v>
      </c>
      <c r="X371">
        <f t="shared" ca="1" si="121"/>
        <v>302.61888069169117</v>
      </c>
      <c r="Y371">
        <f t="shared" ca="1" si="120"/>
        <v>-6.5322938039192309</v>
      </c>
      <c r="Z371">
        <f t="shared" ca="1" si="122"/>
        <v>-4.8929301648674848</v>
      </c>
      <c r="AA371">
        <f t="shared" ca="1" si="123"/>
        <v>-1.6393636390517461</v>
      </c>
      <c r="AB371">
        <f t="shared" ca="1" si="124"/>
        <v>307.5098000000001</v>
      </c>
    </row>
    <row r="372" spans="1:28" x14ac:dyDescent="0.25">
      <c r="A372" s="21">
        <f t="shared" ca="1" si="104"/>
        <v>45831</v>
      </c>
      <c r="B372" vm="1101">
        <f ca="1"/>
        <v>45833</v>
      </c>
      <c r="C372" vm="1102">
        <f ca="1"/>
        <v>285.55</v>
      </c>
      <c r="D372" vm="1103">
        <f ca="1"/>
        <v>4259763</v>
      </c>
      <c r="E372">
        <f t="shared" ca="1" si="105"/>
        <v>1216375324.6500001</v>
      </c>
      <c r="F372">
        <f ca="1">SUM($E$2:E372)/SUM($D$2:D372)</f>
        <v>288.53042556212642</v>
      </c>
      <c r="G372">
        <f ca="1">_xlfn.STDEV.P($C$2:C372)</f>
        <v>18.273009967957208</v>
      </c>
      <c r="H372">
        <f t="shared" ca="1" si="106"/>
        <v>306.80343553008362</v>
      </c>
      <c r="I372">
        <f t="shared" ca="1" si="107"/>
        <v>270.25741559416923</v>
      </c>
      <c r="J372">
        <f t="shared" ca="1" si="116"/>
        <v>301.78800000000001</v>
      </c>
      <c r="K372">
        <f t="shared" ca="1" si="117"/>
        <v>9.692878883625422</v>
      </c>
      <c r="L372">
        <f t="shared" ca="1" si="118"/>
        <v>321.17375776725083</v>
      </c>
      <c r="M372">
        <f t="shared" ca="1" si="119"/>
        <v>282.40224223274919</v>
      </c>
      <c r="N372">
        <f t="shared" ca="1" si="108"/>
        <v>-5.9200000000000159</v>
      </c>
      <c r="O372">
        <f t="shared" ca="1" si="109"/>
        <v>0</v>
      </c>
      <c r="P372">
        <f t="shared" ca="1" si="110"/>
        <v>5.9200000000000159</v>
      </c>
      <c r="Q372">
        <f t="shared" ca="1" si="114"/>
        <v>0.70491459976564574</v>
      </c>
      <c r="R372">
        <f t="shared" ca="1" si="115"/>
        <v>1.9432399452907814</v>
      </c>
      <c r="S372">
        <f t="shared" ca="1" si="112"/>
        <v>0.36275221774538202</v>
      </c>
      <c r="T372">
        <f t="shared" ca="1" si="113"/>
        <v>26.61908841693473</v>
      </c>
      <c r="U372">
        <f>70</f>
        <v>70</v>
      </c>
      <c r="V372">
        <f>30</f>
        <v>30</v>
      </c>
      <c r="W372">
        <f t="shared" ca="1" si="111"/>
        <v>294.82222535505412</v>
      </c>
      <c r="X372">
        <f t="shared" ca="1" si="121"/>
        <v>301.35451915897335</v>
      </c>
      <c r="Y372">
        <f t="shared" ca="1" si="120"/>
        <v>-6.7817031231203941</v>
      </c>
      <c r="Z372">
        <f t="shared" ca="1" si="122"/>
        <v>-5.270684756518067</v>
      </c>
      <c r="AA372">
        <f t="shared" ca="1" si="123"/>
        <v>-1.5110183666023271</v>
      </c>
      <c r="AB372">
        <f t="shared" ca="1" si="124"/>
        <v>307.46210000000008</v>
      </c>
    </row>
    <row r="373" spans="1:28" x14ac:dyDescent="0.25">
      <c r="A373" s="21">
        <f t="shared" ca="1" si="104"/>
        <v>45831</v>
      </c>
      <c r="B373" vm="1104">
        <f ca="1"/>
        <v>45834</v>
      </c>
      <c r="C373" vm="478">
        <f ca="1"/>
        <v>285.63</v>
      </c>
      <c r="D373" vm="1105">
        <f ca="1"/>
        <v>5354904</v>
      </c>
      <c r="E373">
        <f t="shared" ca="1" si="105"/>
        <v>1529521229.52</v>
      </c>
      <c r="F373">
        <f ca="1">SUM($E$2:E373)/SUM($D$2:D373)</f>
        <v>288.51844420723836</v>
      </c>
      <c r="G373">
        <f ca="1">_xlfn.STDEV.P($C$2:C373)</f>
        <v>18.249479487455041</v>
      </c>
      <c r="H373">
        <f t="shared" ca="1" si="106"/>
        <v>306.76792369469342</v>
      </c>
      <c r="I373">
        <f t="shared" ca="1" si="107"/>
        <v>270.2689647197833</v>
      </c>
      <c r="J373">
        <f t="shared" ca="1" si="116"/>
        <v>300.42750000000001</v>
      </c>
      <c r="K373">
        <f t="shared" ca="1" si="117"/>
        <v>9.9657338573629168</v>
      </c>
      <c r="L373">
        <f t="shared" ca="1" si="118"/>
        <v>320.35896771472585</v>
      </c>
      <c r="M373">
        <f t="shared" ca="1" si="119"/>
        <v>280.49603228527417</v>
      </c>
      <c r="N373">
        <f t="shared" ca="1" si="108"/>
        <v>7.9999999999984084E-2</v>
      </c>
      <c r="O373">
        <f t="shared" ca="1" si="109"/>
        <v>7.9999999999984084E-2</v>
      </c>
      <c r="P373">
        <f t="shared" ca="1" si="110"/>
        <v>0</v>
      </c>
      <c r="Q373">
        <f t="shared" ca="1" si="114"/>
        <v>0.66027784263952705</v>
      </c>
      <c r="R373">
        <f t="shared" ca="1" si="115"/>
        <v>1.8044370920557256</v>
      </c>
      <c r="S373">
        <f t="shared" ca="1" si="112"/>
        <v>0.36591901460377207</v>
      </c>
      <c r="T373">
        <f t="shared" ca="1" si="113"/>
        <v>26.789217420032656</v>
      </c>
      <c r="U373">
        <f>70</f>
        <v>70</v>
      </c>
      <c r="V373">
        <f>30</f>
        <v>30</v>
      </c>
      <c r="W373">
        <f t="shared" ca="1" si="111"/>
        <v>293.40803683889197</v>
      </c>
      <c r="X373">
        <f t="shared" ca="1" si="121"/>
        <v>300.18973996201237</v>
      </c>
      <c r="Y373">
        <f t="shared" ca="1" si="120"/>
        <v>-6.4275742065615873</v>
      </c>
      <c r="Z373">
        <f t="shared" ca="1" si="122"/>
        <v>-5.5020626465267712</v>
      </c>
      <c r="AA373">
        <f t="shared" ca="1" si="123"/>
        <v>-0.92551156003481605</v>
      </c>
      <c r="AB373">
        <f t="shared" ca="1" si="124"/>
        <v>307.43140000000011</v>
      </c>
    </row>
    <row r="374" spans="1:28" x14ac:dyDescent="0.25">
      <c r="A374" s="21">
        <f t="shared" ca="1" si="104"/>
        <v>45831</v>
      </c>
      <c r="B374" vm="1106">
        <f ca="1"/>
        <v>45835</v>
      </c>
      <c r="C374" vm="1107">
        <f ca="1"/>
        <v>291.55</v>
      </c>
      <c r="D374" vm="1108">
        <f ca="1"/>
        <v>7422178</v>
      </c>
      <c r="E374">
        <f t="shared" ca="1" si="105"/>
        <v>2163935995.9000001</v>
      </c>
      <c r="F374">
        <f ca="1">SUM($E$2:E374)/SUM($D$2:D374)</f>
        <v>288.53570298070207</v>
      </c>
      <c r="G374">
        <f ca="1">_xlfn.STDEV.P($C$2:C374)</f>
        <v>18.225340796237145</v>
      </c>
      <c r="H374">
        <f t="shared" ca="1" si="106"/>
        <v>306.76104377693923</v>
      </c>
      <c r="I374">
        <f t="shared" ca="1" si="107"/>
        <v>270.31036218446491</v>
      </c>
      <c r="J374">
        <f t="shared" ca="1" si="116"/>
        <v>299.41199999999998</v>
      </c>
      <c r="K374">
        <f t="shared" ca="1" si="117"/>
        <v>9.7723679186184</v>
      </c>
      <c r="L374">
        <f t="shared" ca="1" si="118"/>
        <v>318.95673583723681</v>
      </c>
      <c r="M374">
        <f t="shared" ca="1" si="119"/>
        <v>279.86726416276315</v>
      </c>
      <c r="N374">
        <f t="shared" ca="1" si="108"/>
        <v>5.9200000000000159</v>
      </c>
      <c r="O374">
        <f t="shared" ca="1" si="109"/>
        <v>5.9200000000000159</v>
      </c>
      <c r="P374">
        <f t="shared" ca="1" si="110"/>
        <v>0</v>
      </c>
      <c r="Q374">
        <f t="shared" ca="1" si="114"/>
        <v>1.0359722824509905</v>
      </c>
      <c r="R374">
        <f t="shared" ca="1" si="115"/>
        <v>1.6755487283374593</v>
      </c>
      <c r="S374">
        <f t="shared" ca="1" si="112"/>
        <v>0.61828836424167744</v>
      </c>
      <c r="T374">
        <f t="shared" ca="1" si="113"/>
        <v>38.206315876923739</v>
      </c>
      <c r="U374">
        <f>70</f>
        <v>70</v>
      </c>
      <c r="V374">
        <f>30</f>
        <v>30</v>
      </c>
      <c r="W374">
        <f t="shared" ca="1" si="111"/>
        <v>293.12218501752398</v>
      </c>
      <c r="X374">
        <f t="shared" ca="1" si="121"/>
        <v>299.54975922408556</v>
      </c>
      <c r="Y374">
        <f t="shared" ca="1" si="120"/>
        <v>-6.0274153778438517</v>
      </c>
      <c r="Z374">
        <f t="shared" ca="1" si="122"/>
        <v>-5.6071331927901884</v>
      </c>
      <c r="AA374">
        <f t="shared" ca="1" si="123"/>
        <v>-0.42028218505366333</v>
      </c>
      <c r="AB374">
        <f t="shared" ca="1" si="124"/>
        <v>307.44640000000004</v>
      </c>
    </row>
    <row r="375" spans="1:28" x14ac:dyDescent="0.25">
      <c r="A375" s="21">
        <f t="shared" ca="1" si="104"/>
        <v>45838</v>
      </c>
      <c r="B375" vm="1109">
        <f ca="1"/>
        <v>45838</v>
      </c>
      <c r="C375" vm="1110">
        <f ca="1"/>
        <v>292.17</v>
      </c>
      <c r="D375" vm="1111">
        <f ca="1"/>
        <v>5054752</v>
      </c>
      <c r="E375">
        <f t="shared" ca="1" si="105"/>
        <v>1476846891.8400002</v>
      </c>
      <c r="F375">
        <f ca="1">SUM($E$2:E375)/SUM($D$2:D375)</f>
        <v>288.549739282519</v>
      </c>
      <c r="G375">
        <f ca="1">_xlfn.STDEV.P($C$2:C375)</f>
        <v>18.201521046365823</v>
      </c>
      <c r="H375">
        <f t="shared" ca="1" si="106"/>
        <v>306.75126032888483</v>
      </c>
      <c r="I375">
        <f t="shared" ca="1" si="107"/>
        <v>270.34821823615317</v>
      </c>
      <c r="J375">
        <f t="shared" ca="1" si="116"/>
        <v>298.32799999999997</v>
      </c>
      <c r="K375">
        <f t="shared" ca="1" si="117"/>
        <v>9.2763817810269344</v>
      </c>
      <c r="L375">
        <f t="shared" ca="1" si="118"/>
        <v>316.88076356205386</v>
      </c>
      <c r="M375">
        <f t="shared" ca="1" si="119"/>
        <v>279.77523643794609</v>
      </c>
      <c r="N375">
        <f t="shared" ca="1" si="108"/>
        <v>0.62000000000000455</v>
      </c>
      <c r="O375">
        <f t="shared" ca="1" si="109"/>
        <v>0.62000000000000455</v>
      </c>
      <c r="P375">
        <f t="shared" ca="1" si="110"/>
        <v>0</v>
      </c>
      <c r="Q375">
        <f t="shared" ca="1" si="114"/>
        <v>1.0062599765616345</v>
      </c>
      <c r="R375">
        <f t="shared" ca="1" si="115"/>
        <v>1.5558666763133551</v>
      </c>
      <c r="S375">
        <f t="shared" ca="1" si="112"/>
        <v>0.64675205908129585</v>
      </c>
      <c r="T375">
        <f t="shared" ca="1" si="113"/>
        <v>39.274404152991401</v>
      </c>
      <c r="U375">
        <f>70</f>
        <v>70</v>
      </c>
      <c r="V375">
        <f>30</f>
        <v>30</v>
      </c>
      <c r="W375">
        <f t="shared" ca="1" si="111"/>
        <v>292.97569501482798</v>
      </c>
      <c r="X375">
        <f t="shared" ca="1" si="121"/>
        <v>299.00311039267183</v>
      </c>
      <c r="Y375">
        <f t="shared" ca="1" si="120"/>
        <v>-5.2208246672776113</v>
      </c>
      <c r="Z375">
        <f t="shared" ca="1" si="122"/>
        <v>-5.5298714876876733</v>
      </c>
      <c r="AA375">
        <f t="shared" ca="1" si="123"/>
        <v>0.30904682041006204</v>
      </c>
      <c r="AB375">
        <f t="shared" ca="1" si="124"/>
        <v>307.4704000000001</v>
      </c>
    </row>
    <row r="376" spans="1:28" x14ac:dyDescent="0.25">
      <c r="A376" s="21">
        <f t="shared" ca="1" si="104"/>
        <v>45838</v>
      </c>
      <c r="B376" vm="1112">
        <f ca="1"/>
        <v>45839</v>
      </c>
      <c r="C376" vm="1113">
        <f ca="1"/>
        <v>297.49</v>
      </c>
      <c r="D376" vm="1114">
        <f ca="1"/>
        <v>5121903</v>
      </c>
      <c r="E376">
        <f t="shared" ca="1" si="105"/>
        <v>1523714923.47</v>
      </c>
      <c r="F376">
        <f ca="1">SUM($E$2:E376)/SUM($D$2:D376)</f>
        <v>288.58459047739427</v>
      </c>
      <c r="G376">
        <f ca="1">_xlfn.STDEV.P($C$2:C376)</f>
        <v>18.18201444239029</v>
      </c>
      <c r="H376">
        <f t="shared" ca="1" si="106"/>
        <v>306.76660491978458</v>
      </c>
      <c r="I376">
        <f t="shared" ca="1" si="107"/>
        <v>270.40257603500396</v>
      </c>
      <c r="J376">
        <f t="shared" ca="1" si="116"/>
        <v>297.56850000000003</v>
      </c>
      <c r="K376">
        <f t="shared" ca="1" si="117"/>
        <v>8.6394427665092763</v>
      </c>
      <c r="L376">
        <f t="shared" ca="1" si="118"/>
        <v>314.84738553301861</v>
      </c>
      <c r="M376">
        <f t="shared" ca="1" si="119"/>
        <v>280.28961446698145</v>
      </c>
      <c r="N376">
        <f t="shared" ca="1" si="108"/>
        <v>5.3199999999999932</v>
      </c>
      <c r="O376">
        <f t="shared" ca="1" si="109"/>
        <v>5.3199999999999932</v>
      </c>
      <c r="P376">
        <f t="shared" ca="1" si="110"/>
        <v>0</v>
      </c>
      <c r="Q376">
        <f t="shared" ca="1" si="114"/>
        <v>1.3143842639500887</v>
      </c>
      <c r="R376">
        <f t="shared" ca="1" si="115"/>
        <v>1.4447333422909725</v>
      </c>
      <c r="S376">
        <f t="shared" ca="1" si="112"/>
        <v>0.90977637566377201</v>
      </c>
      <c r="T376">
        <f t="shared" ca="1" si="113"/>
        <v>47.637848454773419</v>
      </c>
      <c r="U376">
        <f>70</f>
        <v>70</v>
      </c>
      <c r="V376">
        <f>30</f>
        <v>30</v>
      </c>
      <c r="W376">
        <f t="shared" ca="1" si="111"/>
        <v>293.67020347408521</v>
      </c>
      <c r="X376">
        <f t="shared" ca="1" si="121"/>
        <v>298.89102814136282</v>
      </c>
      <c r="Y376">
        <f t="shared" ca="1" si="120"/>
        <v>-4.7575319491156733</v>
      </c>
      <c r="Z376">
        <f t="shared" ca="1" si="122"/>
        <v>-5.3754035799732733</v>
      </c>
      <c r="AA376">
        <f t="shared" ca="1" si="123"/>
        <v>0.6178716308576</v>
      </c>
      <c r="AB376">
        <f t="shared" ca="1" si="124"/>
        <v>307.55700000000007</v>
      </c>
    </row>
    <row r="377" spans="1:28" x14ac:dyDescent="0.25">
      <c r="A377" s="21">
        <f t="shared" ca="1" si="104"/>
        <v>45838</v>
      </c>
      <c r="B377" vm="1115">
        <f ca="1"/>
        <v>45840</v>
      </c>
      <c r="C377" vm="1116">
        <f ca="1"/>
        <v>294.63</v>
      </c>
      <c r="D377" vm="1117">
        <f ca="1"/>
        <v>4021460</v>
      </c>
      <c r="E377">
        <f t="shared" ca="1" si="105"/>
        <v>1184842759.8</v>
      </c>
      <c r="F377">
        <f ca="1">SUM($E$2:E377)/SUM($D$2:D377)</f>
        <v>288.60303716554102</v>
      </c>
      <c r="G377">
        <f ca="1">_xlfn.STDEV.P($C$2:C377)</f>
        <v>18.159795661517144</v>
      </c>
      <c r="H377">
        <f t="shared" ca="1" si="106"/>
        <v>306.76283282705816</v>
      </c>
      <c r="I377">
        <f t="shared" ca="1" si="107"/>
        <v>270.44324150402389</v>
      </c>
      <c r="J377">
        <f t="shared" ca="1" si="116"/>
        <v>296.68050000000005</v>
      </c>
      <c r="K377">
        <f t="shared" ca="1" si="117"/>
        <v>7.9184876779132018</v>
      </c>
      <c r="L377">
        <f t="shared" ca="1" si="118"/>
        <v>312.51747535582643</v>
      </c>
      <c r="M377">
        <f t="shared" ca="1" si="119"/>
        <v>280.84352464417367</v>
      </c>
      <c r="N377">
        <f t="shared" ca="1" si="108"/>
        <v>-2.8600000000000136</v>
      </c>
      <c r="O377">
        <f t="shared" ca="1" si="109"/>
        <v>0</v>
      </c>
      <c r="P377">
        <f t="shared" ca="1" si="110"/>
        <v>2.8600000000000136</v>
      </c>
      <c r="Q377">
        <f t="shared" ca="1" si="114"/>
        <v>1.2204996736679394</v>
      </c>
      <c r="R377">
        <f t="shared" ca="1" si="115"/>
        <v>1.5458238178416184</v>
      </c>
      <c r="S377">
        <f t="shared" ca="1" si="112"/>
        <v>0.78954642798302976</v>
      </c>
      <c r="T377">
        <f t="shared" ca="1" si="113"/>
        <v>44.119918636194058</v>
      </c>
      <c r="U377">
        <f>70</f>
        <v>70</v>
      </c>
      <c r="V377">
        <f>30</f>
        <v>30</v>
      </c>
      <c r="W377">
        <f t="shared" ca="1" si="111"/>
        <v>293.81786447807212</v>
      </c>
      <c r="X377">
        <f t="shared" ca="1" si="121"/>
        <v>298.5753964271878</v>
      </c>
      <c r="Y377">
        <f t="shared" ca="1" si="120"/>
        <v>-4.3842110793407869</v>
      </c>
      <c r="Z377">
        <f t="shared" ca="1" si="122"/>
        <v>-5.1771650798467768</v>
      </c>
      <c r="AA377">
        <f t="shared" ca="1" si="123"/>
        <v>0.79295400050598985</v>
      </c>
      <c r="AB377">
        <f t="shared" ca="1" si="124"/>
        <v>307.55970000000002</v>
      </c>
    </row>
    <row r="378" spans="1:28" x14ac:dyDescent="0.25">
      <c r="A378" s="21">
        <f t="shared" ca="1" si="104"/>
        <v>45838</v>
      </c>
      <c r="B378" vm="1118">
        <f ca="1"/>
        <v>45841</v>
      </c>
      <c r="C378" vm="1119">
        <f ca="1"/>
        <v>294.08</v>
      </c>
      <c r="D378" vm="1120">
        <f ca="1"/>
        <v>1678645</v>
      </c>
      <c r="E378">
        <f t="shared" ca="1" si="105"/>
        <v>493655921.59999996</v>
      </c>
      <c r="F378">
        <f ca="1">SUM($E$2:E378)/SUM($D$2:D378)</f>
        <v>288.61000430930545</v>
      </c>
      <c r="G378">
        <f ca="1">_xlfn.STDEV.P($C$2:C378)</f>
        <v>18.137263237466311</v>
      </c>
      <c r="H378">
        <f t="shared" ca="1" si="106"/>
        <v>306.74726754677175</v>
      </c>
      <c r="I378">
        <f t="shared" ca="1" si="107"/>
        <v>270.47274107183915</v>
      </c>
      <c r="J378">
        <f t="shared" ca="1" si="116"/>
        <v>295.80600000000004</v>
      </c>
      <c r="K378">
        <f t="shared" ca="1" si="117"/>
        <v>7.1123202224990196</v>
      </c>
      <c r="L378">
        <f t="shared" ca="1" si="118"/>
        <v>310.03064044499808</v>
      </c>
      <c r="M378">
        <f t="shared" ca="1" si="119"/>
        <v>281.581359555002</v>
      </c>
      <c r="N378">
        <f t="shared" ca="1" si="108"/>
        <v>-0.55000000000001137</v>
      </c>
      <c r="O378">
        <f t="shared" ca="1" si="109"/>
        <v>0</v>
      </c>
      <c r="P378">
        <f t="shared" ca="1" si="110"/>
        <v>0.55000000000001137</v>
      </c>
      <c r="Q378">
        <f t="shared" ca="1" si="114"/>
        <v>1.1333211255488009</v>
      </c>
      <c r="R378">
        <f t="shared" ca="1" si="115"/>
        <v>1.4746935451386463</v>
      </c>
      <c r="S378">
        <f t="shared" ca="1" si="112"/>
        <v>0.76851297632976989</v>
      </c>
      <c r="T378">
        <f t="shared" ca="1" si="113"/>
        <v>43.455320182308192</v>
      </c>
      <c r="U378">
        <f>70</f>
        <v>70</v>
      </c>
      <c r="V378">
        <f>30</f>
        <v>30</v>
      </c>
      <c r="W378">
        <f t="shared" ca="1" si="111"/>
        <v>293.85819301990716</v>
      </c>
      <c r="X378">
        <f t="shared" ca="1" si="121"/>
        <v>298.24240409924795</v>
      </c>
      <c r="Y378">
        <f t="shared" ca="1" si="120"/>
        <v>-4.0856353428579837</v>
      </c>
      <c r="Z378">
        <f t="shared" ca="1" si="122"/>
        <v>-4.9588591324490183</v>
      </c>
      <c r="AA378">
        <f t="shared" ca="1" si="123"/>
        <v>0.87322378959103464</v>
      </c>
      <c r="AB378">
        <f t="shared" ca="1" si="124"/>
        <v>307.55750000000006</v>
      </c>
    </row>
    <row r="379" spans="1:28" x14ac:dyDescent="0.25">
      <c r="A379" s="21">
        <f t="shared" ca="1" si="104"/>
        <v>45845</v>
      </c>
      <c r="B379" vm="1121">
        <f ca="1"/>
        <v>45845</v>
      </c>
      <c r="C379" vm="1122">
        <f ca="1"/>
        <v>293.52999999999997</v>
      </c>
      <c r="D379" vm="1123">
        <f ca="1"/>
        <v>3404279</v>
      </c>
      <c r="E379">
        <f t="shared" ca="1" si="105"/>
        <v>999258014.86999989</v>
      </c>
      <c r="F379">
        <f ca="1">SUM($E$2:E379)/SUM($D$2:D379)</f>
        <v>288.62266411520932</v>
      </c>
      <c r="G379">
        <f ca="1">_xlfn.STDEV.P($C$2:C379)</f>
        <v>18.114465484864787</v>
      </c>
      <c r="H379">
        <f t="shared" ca="1" si="106"/>
        <v>306.73712960007413</v>
      </c>
      <c r="I379">
        <f t="shared" ca="1" si="107"/>
        <v>270.50819863034451</v>
      </c>
      <c r="J379">
        <f t="shared" ca="1" si="116"/>
        <v>295.0335</v>
      </c>
      <c r="K379">
        <f t="shared" ca="1" si="117"/>
        <v>6.410549097919942</v>
      </c>
      <c r="L379">
        <f t="shared" ca="1" si="118"/>
        <v>307.85459819583991</v>
      </c>
      <c r="M379">
        <f t="shared" ca="1" si="119"/>
        <v>282.21240180416009</v>
      </c>
      <c r="N379">
        <f t="shared" ca="1" si="108"/>
        <v>-0.55000000000001137</v>
      </c>
      <c r="O379">
        <f t="shared" ca="1" si="109"/>
        <v>0</v>
      </c>
      <c r="P379">
        <f t="shared" ca="1" si="110"/>
        <v>0.55000000000001137</v>
      </c>
      <c r="Q379">
        <f t="shared" ca="1" si="114"/>
        <v>1.0523696165810295</v>
      </c>
      <c r="R379">
        <f t="shared" ca="1" si="115"/>
        <v>1.4086440062001722</v>
      </c>
      <c r="S379">
        <f t="shared" ca="1" si="112"/>
        <v>0.74707989523897134</v>
      </c>
      <c r="T379">
        <f t="shared" ca="1" si="113"/>
        <v>42.761633127074774</v>
      </c>
      <c r="U379">
        <f>70</f>
        <v>70</v>
      </c>
      <c r="V379">
        <f>30</f>
        <v>30</v>
      </c>
      <c r="W379">
        <f t="shared" ca="1" si="111"/>
        <v>293.80770178607531</v>
      </c>
      <c r="X379">
        <f t="shared" ca="1" si="121"/>
        <v>297.8933371289333</v>
      </c>
      <c r="Y379">
        <f t="shared" ca="1" si="120"/>
        <v>-3.9535246052391244</v>
      </c>
      <c r="Z379">
        <f t="shared" ca="1" si="122"/>
        <v>-4.7577922270070392</v>
      </c>
      <c r="AA379">
        <f t="shared" ca="1" si="123"/>
        <v>0.80426762176791478</v>
      </c>
      <c r="AB379">
        <f t="shared" ca="1" si="124"/>
        <v>307.40860000000004</v>
      </c>
    </row>
    <row r="380" spans="1:28" x14ac:dyDescent="0.25">
      <c r="A380" s="21">
        <f t="shared" ca="1" si="104"/>
        <v>45845</v>
      </c>
      <c r="B380" vm="1124">
        <f ca="1"/>
        <v>45846</v>
      </c>
      <c r="C380" vm="1125">
        <f ca="1"/>
        <v>291.67</v>
      </c>
      <c r="D380" vm="1126">
        <f ca="1"/>
        <v>3123607</v>
      </c>
      <c r="E380">
        <f t="shared" ca="1" si="105"/>
        <v>911062453.69000006</v>
      </c>
      <c r="F380">
        <f ca="1">SUM($E$2:E380)/SUM($D$2:D380)</f>
        <v>288.62984188850493</v>
      </c>
      <c r="G380">
        <f ca="1">_xlfn.STDEV.P($C$2:C380)</f>
        <v>18.090905267097252</v>
      </c>
      <c r="H380">
        <f t="shared" ca="1" si="106"/>
        <v>306.72074715560217</v>
      </c>
      <c r="I380">
        <f t="shared" ca="1" si="107"/>
        <v>270.53893662140769</v>
      </c>
      <c r="J380">
        <f t="shared" ca="1" si="116"/>
        <v>294.24900000000002</v>
      </c>
      <c r="K380">
        <f t="shared" ca="1" si="117"/>
        <v>5.7485438888561431</v>
      </c>
      <c r="L380">
        <f t="shared" ca="1" si="118"/>
        <v>305.74608777771232</v>
      </c>
      <c r="M380">
        <f t="shared" ca="1" si="119"/>
        <v>282.75191222228773</v>
      </c>
      <c r="N380">
        <f t="shared" ca="1" si="108"/>
        <v>-1.8599999999999568</v>
      </c>
      <c r="O380">
        <f t="shared" ca="1" si="109"/>
        <v>0</v>
      </c>
      <c r="P380">
        <f t="shared" ca="1" si="110"/>
        <v>1.8599999999999568</v>
      </c>
      <c r="Q380">
        <f t="shared" ca="1" si="114"/>
        <v>0.97720035825381302</v>
      </c>
      <c r="R380">
        <f t="shared" ca="1" si="115"/>
        <v>1.4408837200430138</v>
      </c>
      <c r="S380">
        <f t="shared" ca="1" si="112"/>
        <v>0.67819515527917917</v>
      </c>
      <c r="T380">
        <f t="shared" ca="1" si="113"/>
        <v>40.412174540353547</v>
      </c>
      <c r="U380">
        <f>70</f>
        <v>70</v>
      </c>
      <c r="V380">
        <f>30</f>
        <v>30</v>
      </c>
      <c r="W380">
        <f t="shared" ca="1" si="111"/>
        <v>293.47882458821761</v>
      </c>
      <c r="X380">
        <f t="shared" ca="1" si="121"/>
        <v>297.43234919345673</v>
      </c>
      <c r="Y380">
        <f t="shared" ca="1" si="120"/>
        <v>-3.6972723224296828</v>
      </c>
      <c r="Z380">
        <f t="shared" ca="1" si="122"/>
        <v>-4.5456882460915686</v>
      </c>
      <c r="AA380">
        <f t="shared" ca="1" si="123"/>
        <v>0.84841592366188578</v>
      </c>
      <c r="AB380">
        <f t="shared" ca="1" si="124"/>
        <v>307.22320000000002</v>
      </c>
    </row>
    <row r="381" spans="1:28" x14ac:dyDescent="0.25">
      <c r="A381" s="21">
        <f t="shared" ca="1" si="104"/>
        <v>45845</v>
      </c>
      <c r="B381" vm="1127">
        <f ca="1"/>
        <v>45847</v>
      </c>
      <c r="C381" vm="1128">
        <f ca="1"/>
        <v>293.02</v>
      </c>
      <c r="D381" vm="1129">
        <f ca="1"/>
        <v>3266050</v>
      </c>
      <c r="E381">
        <f t="shared" ca="1" si="105"/>
        <v>957017971</v>
      </c>
      <c r="F381">
        <f ca="1">SUM($E$2:E381)/SUM($D$2:D381)</f>
        <v>288.64062757351456</v>
      </c>
      <c r="G381">
        <f ca="1">_xlfn.STDEV.P($C$2:C381)</f>
        <v>18.068000160117649</v>
      </c>
      <c r="H381">
        <f t="shared" ca="1" si="106"/>
        <v>306.70862773363223</v>
      </c>
      <c r="I381">
        <f t="shared" ca="1" si="107"/>
        <v>270.5726274133969</v>
      </c>
      <c r="J381">
        <f t="shared" ca="1" si="116"/>
        <v>293.66100000000006</v>
      </c>
      <c r="K381">
        <f t="shared" ca="1" si="117"/>
        <v>5.1888695655625368</v>
      </c>
      <c r="L381">
        <f t="shared" ca="1" si="118"/>
        <v>304.03873913112511</v>
      </c>
      <c r="M381">
        <f t="shared" ca="1" si="119"/>
        <v>283.283260868875</v>
      </c>
      <c r="N381">
        <f t="shared" ca="1" si="108"/>
        <v>1.3499999999999659</v>
      </c>
      <c r="O381">
        <f t="shared" ca="1" si="109"/>
        <v>1.3499999999999659</v>
      </c>
      <c r="P381">
        <f t="shared" ca="1" si="110"/>
        <v>0</v>
      </c>
      <c r="Q381">
        <f t="shared" ca="1" si="114"/>
        <v>1.0038289040928239</v>
      </c>
      <c r="R381">
        <f t="shared" ca="1" si="115"/>
        <v>1.3379634543256558</v>
      </c>
      <c r="S381">
        <f t="shared" ca="1" si="112"/>
        <v>0.75026631022501411</v>
      </c>
      <c r="T381">
        <f t="shared" ca="1" si="113"/>
        <v>42.865837378116467</v>
      </c>
      <c r="U381">
        <f>70</f>
        <v>70</v>
      </c>
      <c r="V381">
        <f>30</f>
        <v>30</v>
      </c>
      <c r="W381">
        <f t="shared" ca="1" si="111"/>
        <v>293.40823619003027</v>
      </c>
      <c r="X381">
        <f t="shared" ca="1" si="121"/>
        <v>297.10550851245995</v>
      </c>
      <c r="Y381">
        <f t="shared" ca="1" si="120"/>
        <v>-3.0259946384914542</v>
      </c>
      <c r="Z381">
        <f t="shared" ca="1" si="122"/>
        <v>-4.2417495245715457</v>
      </c>
      <c r="AA381">
        <f t="shared" ca="1" si="123"/>
        <v>1.2157548860800915</v>
      </c>
      <c r="AB381">
        <f t="shared" ca="1" si="124"/>
        <v>307.07739999999995</v>
      </c>
    </row>
    <row r="382" spans="1:28" x14ac:dyDescent="0.25">
      <c r="A382" s="21">
        <f t="shared" ca="1" si="104"/>
        <v>45845</v>
      </c>
      <c r="B382" vm="1130">
        <f ca="1"/>
        <v>45848</v>
      </c>
      <c r="C382" vm="1131">
        <f ca="1"/>
        <v>298.39</v>
      </c>
      <c r="D382" vm="1132">
        <f ca="1"/>
        <v>5368072</v>
      </c>
      <c r="E382">
        <f t="shared" ca="1" si="105"/>
        <v>1601779004.0799999</v>
      </c>
      <c r="F382">
        <f ca="1">SUM($E$2:E382)/SUM($D$2:D382)</f>
        <v>288.67983691949007</v>
      </c>
      <c r="G382">
        <f ca="1">_xlfn.STDEV.P($C$2:C382)</f>
        <v>18.050029414464536</v>
      </c>
      <c r="H382">
        <f t="shared" ca="1" si="106"/>
        <v>306.72986633395459</v>
      </c>
      <c r="I382">
        <f t="shared" ca="1" si="107"/>
        <v>270.62980750502555</v>
      </c>
      <c r="J382">
        <f t="shared" ca="1" si="116"/>
        <v>293.55900000000008</v>
      </c>
      <c r="K382">
        <f t="shared" ca="1" si="117"/>
        <v>5.0674346255487706</v>
      </c>
      <c r="L382">
        <f t="shared" ca="1" si="118"/>
        <v>303.69386925109762</v>
      </c>
      <c r="M382">
        <f t="shared" ca="1" si="119"/>
        <v>283.42413074890254</v>
      </c>
      <c r="N382">
        <f t="shared" ca="1" si="108"/>
        <v>5.3700000000000045</v>
      </c>
      <c r="O382">
        <f t="shared" ca="1" si="109"/>
        <v>5.3700000000000045</v>
      </c>
      <c r="P382">
        <f t="shared" ca="1" si="110"/>
        <v>0</v>
      </c>
      <c r="Q382">
        <f t="shared" ca="1" si="114"/>
        <v>1.3156982680861939</v>
      </c>
      <c r="R382">
        <f t="shared" ca="1" si="115"/>
        <v>1.2423946361595377</v>
      </c>
      <c r="S382">
        <f t="shared" ca="1" si="112"/>
        <v>1.0590018902152143</v>
      </c>
      <c r="T382">
        <f t="shared" ca="1" si="113"/>
        <v>51.432778923020976</v>
      </c>
      <c r="U382">
        <f>70</f>
        <v>70</v>
      </c>
      <c r="V382">
        <f>30</f>
        <v>30</v>
      </c>
      <c r="W382">
        <f t="shared" ca="1" si="111"/>
        <v>294.17466139156409</v>
      </c>
      <c r="X382">
        <f t="shared" ca="1" si="121"/>
        <v>297.20065603005554</v>
      </c>
      <c r="Y382">
        <f t="shared" ca="1" si="120"/>
        <v>-2.3443269985000939</v>
      </c>
      <c r="Z382">
        <f t="shared" ca="1" si="122"/>
        <v>-3.8622650193572556</v>
      </c>
      <c r="AA382">
        <f t="shared" ca="1" si="123"/>
        <v>1.5179380208571618</v>
      </c>
      <c r="AB382">
        <f t="shared" ca="1" si="124"/>
        <v>306.96109999999999</v>
      </c>
    </row>
    <row r="383" spans="1:28" x14ac:dyDescent="0.25">
      <c r="A383" s="21">
        <f t="shared" ca="1" si="104"/>
        <v>45845</v>
      </c>
      <c r="B383" vm="1133">
        <f ca="1"/>
        <v>45849</v>
      </c>
      <c r="C383" vm="1134">
        <f ca="1"/>
        <v>299.91000000000003</v>
      </c>
      <c r="D383" vm="1135">
        <f ca="1"/>
        <v>4524080</v>
      </c>
      <c r="E383">
        <f t="shared" ca="1" si="105"/>
        <v>1356816832.8000002</v>
      </c>
      <c r="F383">
        <f ca="1">SUM($E$2:E383)/SUM($D$2:D383)</f>
        <v>288.71777203654477</v>
      </c>
      <c r="G383">
        <f ca="1">_xlfn.STDEV.P($C$2:C383)</f>
        <v>18.034227607347901</v>
      </c>
      <c r="H383">
        <f t="shared" ca="1" si="106"/>
        <v>306.75199964389265</v>
      </c>
      <c r="I383">
        <f t="shared" ca="1" si="107"/>
        <v>270.6835444291969</v>
      </c>
      <c r="J383">
        <f t="shared" ca="1" si="116"/>
        <v>293.46850000000001</v>
      </c>
      <c r="K383">
        <f t="shared" ca="1" si="117"/>
        <v>4.9282667765709176</v>
      </c>
      <c r="L383">
        <f t="shared" ca="1" si="118"/>
        <v>303.32503355314185</v>
      </c>
      <c r="M383">
        <f t="shared" ca="1" si="119"/>
        <v>283.61196644685816</v>
      </c>
      <c r="N383">
        <f t="shared" ca="1" si="108"/>
        <v>1.5200000000000387</v>
      </c>
      <c r="O383">
        <f t="shared" ca="1" si="109"/>
        <v>1.5200000000000387</v>
      </c>
      <c r="P383">
        <f t="shared" ca="1" si="110"/>
        <v>0</v>
      </c>
      <c r="Q383">
        <f t="shared" ca="1" si="114"/>
        <v>1.3302912489371828</v>
      </c>
      <c r="R383">
        <f t="shared" ca="1" si="115"/>
        <v>1.1536521621481424</v>
      </c>
      <c r="S383">
        <f t="shared" ca="1" si="112"/>
        <v>1.1531129508396465</v>
      </c>
      <c r="T383">
        <f t="shared" ca="1" si="113"/>
        <v>53.555618175533638</v>
      </c>
      <c r="U383">
        <f>70</f>
        <v>70</v>
      </c>
      <c r="V383">
        <f>30</f>
        <v>30</v>
      </c>
      <c r="W383">
        <f t="shared" ca="1" si="111"/>
        <v>295.05702117747728</v>
      </c>
      <c r="X383">
        <f t="shared" ca="1" si="121"/>
        <v>297.40134817597738</v>
      </c>
      <c r="Y383">
        <f t="shared" ca="1" si="120"/>
        <v>-1.6263899358457934</v>
      </c>
      <c r="Z383">
        <f t="shared" ca="1" si="122"/>
        <v>-3.4150900026549635</v>
      </c>
      <c r="AA383">
        <f t="shared" ca="1" si="123"/>
        <v>1.7887000668091702</v>
      </c>
      <c r="AB383">
        <f t="shared" ca="1" si="124"/>
        <v>306.87469999999996</v>
      </c>
    </row>
    <row r="384" spans="1:28" x14ac:dyDescent="0.25">
      <c r="A384" s="21">
        <f t="shared" ca="1" si="104"/>
        <v>45852</v>
      </c>
      <c r="B384" vm="1136">
        <f ca="1"/>
        <v>45852</v>
      </c>
      <c r="C384" vm="1137">
        <f ca="1"/>
        <v>301.88</v>
      </c>
      <c r="D384" vm="1138">
        <f ca="1"/>
        <v>5707576</v>
      </c>
      <c r="E384">
        <f t="shared" ca="1" si="105"/>
        <v>1723003042.8799999</v>
      </c>
      <c r="F384">
        <f ca="1">SUM($E$2:E384)/SUM($D$2:D384)</f>
        <v>288.77362668549489</v>
      </c>
      <c r="G384">
        <f ca="1">_xlfn.STDEV.P($C$2:C384)</f>
        <v>18.021688707645396</v>
      </c>
      <c r="H384">
        <f t="shared" ca="1" si="106"/>
        <v>306.7953153931403</v>
      </c>
      <c r="I384">
        <f t="shared" ca="1" si="107"/>
        <v>270.75193797784948</v>
      </c>
      <c r="J384">
        <f t="shared" ca="1" si="116"/>
        <v>293.40449999999998</v>
      </c>
      <c r="K384">
        <f t="shared" ca="1" si="117"/>
        <v>4.8024921984100626</v>
      </c>
      <c r="L384">
        <f t="shared" ca="1" si="118"/>
        <v>303.00948439682008</v>
      </c>
      <c r="M384">
        <f t="shared" ca="1" si="119"/>
        <v>283.79951560317988</v>
      </c>
      <c r="N384">
        <f t="shared" ca="1" si="108"/>
        <v>1.9699999999999704</v>
      </c>
      <c r="O384">
        <f t="shared" ca="1" si="109"/>
        <v>1.9699999999999704</v>
      </c>
      <c r="P384">
        <f t="shared" ca="1" si="110"/>
        <v>0</v>
      </c>
      <c r="Q384">
        <f t="shared" ca="1" si="114"/>
        <v>1.3759847311559532</v>
      </c>
      <c r="R384">
        <f t="shared" ca="1" si="115"/>
        <v>1.071248436280418</v>
      </c>
      <c r="S384">
        <f t="shared" ca="1" si="112"/>
        <v>1.2844683684520826</v>
      </c>
      <c r="T384">
        <f t="shared" ca="1" si="113"/>
        <v>56.226139358734777</v>
      </c>
      <c r="U384">
        <f>70</f>
        <v>70</v>
      </c>
      <c r="V384">
        <f>30</f>
        <v>30</v>
      </c>
      <c r="W384">
        <f t="shared" ca="1" si="111"/>
        <v>296.10671022709619</v>
      </c>
      <c r="X384">
        <f t="shared" ca="1" si="121"/>
        <v>297.73310016294198</v>
      </c>
      <c r="Y384">
        <f t="shared" ca="1" si="120"/>
        <v>-1.2256541752381054</v>
      </c>
      <c r="Z384">
        <f t="shared" ca="1" si="122"/>
        <v>-2.9772028371715917</v>
      </c>
      <c r="AA384">
        <f t="shared" ca="1" si="123"/>
        <v>1.7515486619334864</v>
      </c>
      <c r="AB384">
        <f t="shared" ca="1" si="124"/>
        <v>306.84519999999998</v>
      </c>
    </row>
    <row r="385" spans="1:28" x14ac:dyDescent="0.25">
      <c r="A385" s="21">
        <f t="shared" ca="1" si="104"/>
        <v>45852</v>
      </c>
      <c r="B385" vm="1139">
        <f ca="1"/>
        <v>45853</v>
      </c>
      <c r="C385" vm="1140">
        <f ca="1"/>
        <v>299.62</v>
      </c>
      <c r="D385" vm="1141">
        <f ca="1"/>
        <v>2937595</v>
      </c>
      <c r="E385">
        <f t="shared" ca="1" si="105"/>
        <v>880162213.89999998</v>
      </c>
      <c r="F385">
        <f ca="1">SUM($E$2:E385)/SUM($D$2:D385)</f>
        <v>288.79726449239536</v>
      </c>
      <c r="G385">
        <f ca="1">_xlfn.STDEV.P($C$2:C385)</f>
        <v>18.005502766261714</v>
      </c>
      <c r="H385">
        <f t="shared" ca="1" si="106"/>
        <v>306.80276725865707</v>
      </c>
      <c r="I385">
        <f t="shared" ca="1" si="107"/>
        <v>270.79176172613364</v>
      </c>
      <c r="J385">
        <f t="shared" ca="1" si="116"/>
        <v>293.29000000000002</v>
      </c>
      <c r="K385">
        <f t="shared" ca="1" si="117"/>
        <v>4.6125766289455568</v>
      </c>
      <c r="L385">
        <f t="shared" ca="1" si="118"/>
        <v>302.51515325789114</v>
      </c>
      <c r="M385">
        <f t="shared" ca="1" si="119"/>
        <v>284.0648467421089</v>
      </c>
      <c r="N385">
        <f t="shared" ca="1" si="108"/>
        <v>-2.2599999999999909</v>
      </c>
      <c r="O385">
        <f t="shared" ca="1" si="109"/>
        <v>0</v>
      </c>
      <c r="P385">
        <f t="shared" ca="1" si="110"/>
        <v>2.2599999999999909</v>
      </c>
      <c r="Q385">
        <f t="shared" ca="1" si="114"/>
        <v>1.2777001075019565</v>
      </c>
      <c r="R385">
        <f t="shared" ca="1" si="115"/>
        <v>1.1561592622603876</v>
      </c>
      <c r="S385">
        <f t="shared" ca="1" si="112"/>
        <v>1.105124656445641</v>
      </c>
      <c r="T385">
        <f t="shared" ca="1" si="113"/>
        <v>52.496874855457179</v>
      </c>
      <c r="U385">
        <f>70</f>
        <v>70</v>
      </c>
      <c r="V385">
        <f>30</f>
        <v>30</v>
      </c>
      <c r="W385">
        <f t="shared" ca="1" si="111"/>
        <v>296.64721634600448</v>
      </c>
      <c r="X385">
        <f t="shared" ca="1" si="121"/>
        <v>297.87287052124259</v>
      </c>
      <c r="Y385">
        <f t="shared" ca="1" si="120"/>
        <v>-0.95515573971658796</v>
      </c>
      <c r="Z385">
        <f t="shared" ca="1" si="122"/>
        <v>-2.5727934176805913</v>
      </c>
      <c r="AA385">
        <f t="shared" ca="1" si="123"/>
        <v>1.6176376779640034</v>
      </c>
      <c r="AB385">
        <f t="shared" ca="1" si="124"/>
        <v>306.82199999999995</v>
      </c>
    </row>
    <row r="386" spans="1:28" x14ac:dyDescent="0.25">
      <c r="A386" s="21">
        <f t="shared" ca="1" si="104"/>
        <v>45852</v>
      </c>
      <c r="B386" vm="1142">
        <f ca="1"/>
        <v>45854</v>
      </c>
      <c r="C386" vm="1143">
        <f ca="1"/>
        <v>298.89999999999998</v>
      </c>
      <c r="D386" vm="1144">
        <f ca="1"/>
        <v>2804844</v>
      </c>
      <c r="E386">
        <f t="shared" ca="1" si="105"/>
        <v>838367871.5999999</v>
      </c>
      <c r="F386">
        <f ca="1">SUM($E$2:E386)/SUM($D$2:D386)</f>
        <v>288.81824305108114</v>
      </c>
      <c r="G386">
        <f ca="1">_xlfn.STDEV.P($C$2:C386)</f>
        <v>17.988345975943556</v>
      </c>
      <c r="H386">
        <f t="shared" ca="1" si="106"/>
        <v>306.8065890270247</v>
      </c>
      <c r="I386">
        <f t="shared" ca="1" si="107"/>
        <v>270.82989707513758</v>
      </c>
      <c r="J386">
        <f t="shared" ca="1" si="116"/>
        <v>293.42050000000006</v>
      </c>
      <c r="K386">
        <f t="shared" ca="1" si="117"/>
        <v>4.7371593475637406</v>
      </c>
      <c r="L386">
        <f t="shared" ca="1" si="118"/>
        <v>302.89481869512753</v>
      </c>
      <c r="M386">
        <f t="shared" ca="1" si="119"/>
        <v>283.9461813048726</v>
      </c>
      <c r="N386">
        <f t="shared" ca="1" si="108"/>
        <v>-0.72000000000002728</v>
      </c>
      <c r="O386">
        <f t="shared" ca="1" si="109"/>
        <v>0</v>
      </c>
      <c r="P386">
        <f t="shared" ca="1" si="110"/>
        <v>0.72000000000002728</v>
      </c>
      <c r="Q386">
        <f t="shared" ca="1" si="114"/>
        <v>1.1864358141089595</v>
      </c>
      <c r="R386">
        <f t="shared" ca="1" si="115"/>
        <v>1.1250050292417904</v>
      </c>
      <c r="S386">
        <f t="shared" ca="1" si="112"/>
        <v>1.054604897996386</v>
      </c>
      <c r="T386">
        <f t="shared" ca="1" si="113"/>
        <v>51.328841814054755</v>
      </c>
      <c r="U386">
        <f>70</f>
        <v>70</v>
      </c>
      <c r="V386">
        <f>30</f>
        <v>30</v>
      </c>
      <c r="W386">
        <f t="shared" ca="1" si="111"/>
        <v>296.99379844661917</v>
      </c>
      <c r="X386">
        <f t="shared" ca="1" si="121"/>
        <v>297.94895418633575</v>
      </c>
      <c r="Y386">
        <f t="shared" ca="1" si="120"/>
        <v>-0.61507684305757948</v>
      </c>
      <c r="Z386">
        <f t="shared" ca="1" si="122"/>
        <v>-2.1812501027559894</v>
      </c>
      <c r="AA386">
        <f t="shared" ca="1" si="123"/>
        <v>1.5661732596984099</v>
      </c>
      <c r="AB386">
        <f t="shared" ca="1" si="124"/>
        <v>306.78049999999996</v>
      </c>
    </row>
    <row r="387" spans="1:28" x14ac:dyDescent="0.25">
      <c r="A387" s="21">
        <f t="shared" ref="A387:A450" ca="1" si="125">B387 - WEEKDAY(B387, 2) + 1</f>
        <v>45852</v>
      </c>
      <c r="B387" vm="1145">
        <f ca="1"/>
        <v>45855</v>
      </c>
      <c r="C387" vm="1146">
        <f ca="1"/>
        <v>300.37</v>
      </c>
      <c r="D387" vm="1147">
        <f ca="1"/>
        <v>3134529</v>
      </c>
      <c r="E387">
        <f t="shared" ref="E387:E450" ca="1" si="126">C387*D387</f>
        <v>941518475.73000002</v>
      </c>
      <c r="F387">
        <f ca="1">SUM($E$2:E387)/SUM($D$2:D387)</f>
        <v>288.84498799126965</v>
      </c>
      <c r="G387">
        <f ca="1">_xlfn.STDEV.P($C$2:C387)</f>
        <v>17.973347373462065</v>
      </c>
      <c r="H387">
        <f t="shared" ref="H387:H450" ca="1" si="127">F387 + G387</f>
        <v>306.81833536473169</v>
      </c>
      <c r="I387">
        <f t="shared" ref="I387:I450" ca="1" si="128">F387 - G387</f>
        <v>270.8716406178076</v>
      </c>
      <c r="J387">
        <f t="shared" ca="1" si="116"/>
        <v>293.82349999999991</v>
      </c>
      <c r="K387">
        <f t="shared" ca="1" si="117"/>
        <v>4.9746042159415227</v>
      </c>
      <c r="L387">
        <f t="shared" ca="1" si="118"/>
        <v>303.77270843188296</v>
      </c>
      <c r="M387">
        <f t="shared" ca="1" si="119"/>
        <v>283.87429156811686</v>
      </c>
      <c r="N387">
        <f t="shared" ca="1" si="108"/>
        <v>1.4700000000000273</v>
      </c>
      <c r="O387">
        <f t="shared" ca="1" si="109"/>
        <v>1.4700000000000273</v>
      </c>
      <c r="P387">
        <f t="shared" ca="1" si="110"/>
        <v>0</v>
      </c>
      <c r="Q387">
        <f t="shared" ca="1" si="114"/>
        <v>1.2066903988154642</v>
      </c>
      <c r="R387">
        <f t="shared" ca="1" si="115"/>
        <v>1.0446475271530911</v>
      </c>
      <c r="S387">
        <f t="shared" ca="1" si="112"/>
        <v>1.1551172691749703</v>
      </c>
      <c r="T387">
        <f t="shared" ca="1" si="113"/>
        <v>53.598812728050582</v>
      </c>
      <c r="U387">
        <f>70</f>
        <v>70</v>
      </c>
      <c r="V387">
        <f>30</f>
        <v>30</v>
      </c>
      <c r="W387">
        <f t="shared" ca="1" si="111"/>
        <v>297.51321407021624</v>
      </c>
      <c r="X387">
        <f t="shared" ca="1" si="121"/>
        <v>298.12829091327382</v>
      </c>
      <c r="Y387">
        <f t="shared" ca="1" si="120"/>
        <v>-0.60487170358914</v>
      </c>
      <c r="Z387">
        <f t="shared" ca="1" si="122"/>
        <v>-1.8659744229226196</v>
      </c>
      <c r="AA387">
        <f t="shared" ca="1" si="123"/>
        <v>1.2611027193334796</v>
      </c>
      <c r="AB387">
        <f t="shared" ca="1" si="124"/>
        <v>306.73609999999991</v>
      </c>
    </row>
    <row r="388" spans="1:28" x14ac:dyDescent="0.25">
      <c r="A388" s="21">
        <f t="shared" ca="1" si="125"/>
        <v>45852</v>
      </c>
      <c r="B388" vm="1148">
        <f ca="1"/>
        <v>45856</v>
      </c>
      <c r="C388" vm="1149">
        <f ca="1"/>
        <v>297.07</v>
      </c>
      <c r="D388" vm="1150">
        <f ca="1"/>
        <v>3481263</v>
      </c>
      <c r="E388">
        <f t="shared" ca="1" si="126"/>
        <v>1034178799.41</v>
      </c>
      <c r="F388">
        <f ca="1">SUM($E$2:E388)/SUM($D$2:D388)</f>
        <v>288.86608298444133</v>
      </c>
      <c r="G388">
        <f ca="1">_xlfn.STDEV.P($C$2:C388)</f>
        <v>17.954071249160741</v>
      </c>
      <c r="H388">
        <f t="shared" ca="1" si="127"/>
        <v>306.82015423360207</v>
      </c>
      <c r="I388">
        <f t="shared" ca="1" si="128"/>
        <v>270.9120117352806</v>
      </c>
      <c r="J388">
        <f t="shared" ca="1" si="116"/>
        <v>294.19549999999992</v>
      </c>
      <c r="K388">
        <f t="shared" ca="1" si="117"/>
        <v>4.9224175436145421</v>
      </c>
      <c r="L388">
        <f t="shared" ca="1" si="118"/>
        <v>304.04033508722898</v>
      </c>
      <c r="M388">
        <f t="shared" ca="1" si="119"/>
        <v>284.35066491277087</v>
      </c>
      <c r="N388">
        <f t="shared" ref="N388:N451" ca="1" si="129">C388-C387</f>
        <v>-3.3000000000000114</v>
      </c>
      <c r="O388">
        <f t="shared" ref="O388:O451" ca="1" si="130">MAX(N388,0)</f>
        <v>0</v>
      </c>
      <c r="P388">
        <f t="shared" ref="P388:P451" ca="1" si="131">MAX(-N388,0)</f>
        <v>3.3000000000000114</v>
      </c>
      <c r="Q388">
        <f t="shared" ca="1" si="114"/>
        <v>1.1204982274715025</v>
      </c>
      <c r="R388">
        <f t="shared" ca="1" si="115"/>
        <v>1.2057441323564426</v>
      </c>
      <c r="S388">
        <f t="shared" ca="1" si="112"/>
        <v>0.9293001702456225</v>
      </c>
      <c r="T388">
        <f t="shared" ca="1" si="113"/>
        <v>48.167733802009238</v>
      </c>
      <c r="U388">
        <f>70</f>
        <v>70</v>
      </c>
      <c r="V388">
        <f>30</f>
        <v>30</v>
      </c>
      <c r="W388">
        <f t="shared" ca="1" si="111"/>
        <v>297.44502729018296</v>
      </c>
      <c r="X388">
        <f t="shared" ca="1" si="121"/>
        <v>298.0498989937721</v>
      </c>
      <c r="Y388">
        <f t="shared" ca="1" si="120"/>
        <v>-0.69607996521818905</v>
      </c>
      <c r="Z388">
        <f t="shared" ca="1" si="122"/>
        <v>-1.6319955313817336</v>
      </c>
      <c r="AA388">
        <f t="shared" ca="1" si="123"/>
        <v>0.93591556616354454</v>
      </c>
      <c r="AB388">
        <f t="shared" ca="1" si="124"/>
        <v>306.63109999999995</v>
      </c>
    </row>
    <row r="389" spans="1:28" x14ac:dyDescent="0.25">
      <c r="A389" s="21">
        <f t="shared" ca="1" si="125"/>
        <v>45859</v>
      </c>
      <c r="B389" vm="1151">
        <f ca="1"/>
        <v>45859</v>
      </c>
      <c r="C389" vm="1152">
        <f ca="1"/>
        <v>295.74</v>
      </c>
      <c r="D389" vm="1153">
        <f ca="1"/>
        <v>3037506</v>
      </c>
      <c r="E389">
        <f t="shared" ca="1" si="126"/>
        <v>898312024.44000006</v>
      </c>
      <c r="F389">
        <f ca="1">SUM($E$2:E389)/SUM($D$2:D389)</f>
        <v>288.88143115656067</v>
      </c>
      <c r="G389">
        <f ca="1">_xlfn.STDEV.P($C$2:C389)</f>
        <v>17.933567963220824</v>
      </c>
      <c r="H389">
        <f t="shared" ca="1" si="127"/>
        <v>306.81499911978148</v>
      </c>
      <c r="I389">
        <f t="shared" ca="1" si="128"/>
        <v>270.94786319333986</v>
      </c>
      <c r="J389">
        <f t="shared" ca="1" si="116"/>
        <v>294.60949999999991</v>
      </c>
      <c r="K389">
        <f t="shared" ca="1" si="117"/>
        <v>4.6677183370126567</v>
      </c>
      <c r="L389">
        <f t="shared" ca="1" si="118"/>
        <v>303.9449366740252</v>
      </c>
      <c r="M389">
        <f t="shared" ca="1" si="119"/>
        <v>285.27406332597462</v>
      </c>
      <c r="N389">
        <f t="shared" ca="1" si="129"/>
        <v>-1.3299999999999841</v>
      </c>
      <c r="O389">
        <f t="shared" ca="1" si="130"/>
        <v>0</v>
      </c>
      <c r="P389">
        <f t="shared" ca="1" si="131"/>
        <v>1.3299999999999841</v>
      </c>
      <c r="Q389">
        <f t="shared" ca="1" si="114"/>
        <v>1.0404626397949666</v>
      </c>
      <c r="R389">
        <f t="shared" ca="1" si="115"/>
        <v>1.2146195514738385</v>
      </c>
      <c r="S389">
        <f t="shared" ca="1" si="112"/>
        <v>0.85661608075751194</v>
      </c>
      <c r="T389">
        <f t="shared" ca="1" si="113"/>
        <v>46.138568422180576</v>
      </c>
      <c r="U389">
        <f>70</f>
        <v>70</v>
      </c>
      <c r="V389">
        <f>30</f>
        <v>30</v>
      </c>
      <c r="W389">
        <f t="shared" ca="1" si="111"/>
        <v>297.18271539938559</v>
      </c>
      <c r="X389">
        <f t="shared" ca="1" si="121"/>
        <v>297.87879536460377</v>
      </c>
      <c r="Y389">
        <f t="shared" ca="1" si="120"/>
        <v>-0.48598866062303614</v>
      </c>
      <c r="Z389">
        <f t="shared" ca="1" si="122"/>
        <v>-1.402794157229994</v>
      </c>
      <c r="AA389">
        <f t="shared" ca="1" si="123"/>
        <v>0.91680549660695787</v>
      </c>
      <c r="AB389">
        <f t="shared" ca="1" si="124"/>
        <v>306.48129999999992</v>
      </c>
    </row>
    <row r="390" spans="1:28" x14ac:dyDescent="0.25">
      <c r="A390" s="21">
        <f t="shared" ca="1" si="125"/>
        <v>45859</v>
      </c>
      <c r="B390" vm="1154">
        <f ca="1"/>
        <v>45860</v>
      </c>
      <c r="C390" vm="1155">
        <f ca="1"/>
        <v>299.17</v>
      </c>
      <c r="D390" vm="1156">
        <f ca="1"/>
        <v>2672021</v>
      </c>
      <c r="E390">
        <f t="shared" ca="1" si="126"/>
        <v>799388522.57000005</v>
      </c>
      <c r="F390">
        <f ca="1">SUM($E$2:E390)/SUM($D$2:D390)</f>
        <v>288.90159985547473</v>
      </c>
      <c r="G390">
        <f ca="1">_xlfn.STDEV.P($C$2:C390)</f>
        <v>17.916951475039877</v>
      </c>
      <c r="H390">
        <f t="shared" ca="1" si="127"/>
        <v>306.81855133051459</v>
      </c>
      <c r="I390">
        <f t="shared" ca="1" si="128"/>
        <v>270.98464838043486</v>
      </c>
      <c r="J390">
        <f t="shared" ca="1" si="116"/>
        <v>295.09199999999998</v>
      </c>
      <c r="K390">
        <f t="shared" ca="1" si="117"/>
        <v>4.6123593688445839</v>
      </c>
      <c r="L390">
        <f t="shared" ca="1" si="118"/>
        <v>304.31671873768914</v>
      </c>
      <c r="M390">
        <f t="shared" ca="1" si="119"/>
        <v>285.86728126231083</v>
      </c>
      <c r="N390">
        <f t="shared" ca="1" si="129"/>
        <v>3.4300000000000068</v>
      </c>
      <c r="O390">
        <f t="shared" ca="1" si="130"/>
        <v>3.4300000000000068</v>
      </c>
      <c r="P390">
        <f t="shared" ca="1" si="131"/>
        <v>0</v>
      </c>
      <c r="Q390">
        <f t="shared" ca="1" si="114"/>
        <v>1.2111438798096121</v>
      </c>
      <c r="R390">
        <f t="shared" ca="1" si="115"/>
        <v>1.1278610120828501</v>
      </c>
      <c r="S390">
        <f t="shared" ca="1" si="112"/>
        <v>1.0738414280080144</v>
      </c>
      <c r="T390">
        <f t="shared" ca="1" si="113"/>
        <v>51.780305548214976</v>
      </c>
      <c r="U390">
        <f>70</f>
        <v>70</v>
      </c>
      <c r="V390">
        <f>30</f>
        <v>30</v>
      </c>
      <c r="W390">
        <f t="shared" ca="1" si="111"/>
        <v>297.48845149178783</v>
      </c>
      <c r="X390">
        <f t="shared" ca="1" si="121"/>
        <v>297.97444015241086</v>
      </c>
      <c r="Y390">
        <f t="shared" ca="1" si="120"/>
        <v>-0.39960956259983504</v>
      </c>
      <c r="Z390">
        <f t="shared" ca="1" si="122"/>
        <v>-1.2021572383039623</v>
      </c>
      <c r="AA390">
        <f t="shared" ca="1" si="123"/>
        <v>0.80254767570412722</v>
      </c>
      <c r="AB390">
        <f t="shared" ca="1" si="124"/>
        <v>306.43029999999993</v>
      </c>
    </row>
    <row r="391" spans="1:28" x14ac:dyDescent="0.25">
      <c r="A391" s="21">
        <f t="shared" ca="1" si="125"/>
        <v>45859</v>
      </c>
      <c r="B391" vm="1157">
        <f ca="1"/>
        <v>45861</v>
      </c>
      <c r="C391" vm="1158">
        <f ca="1"/>
        <v>298.12</v>
      </c>
      <c r="D391" vm="1159">
        <f ca="1"/>
        <v>2467609</v>
      </c>
      <c r="E391">
        <f t="shared" ca="1" si="126"/>
        <v>735643595.08000004</v>
      </c>
      <c r="F391">
        <f ca="1">SUM($E$2:E391)/SUM($D$2:D391)</f>
        <v>288.91825810796843</v>
      </c>
      <c r="G391">
        <f ca="1">_xlfn.STDEV.P($C$2:C391)</f>
        <v>17.899030145437258</v>
      </c>
      <c r="H391">
        <f t="shared" ca="1" si="127"/>
        <v>306.81728825340571</v>
      </c>
      <c r="I391">
        <f t="shared" ca="1" si="128"/>
        <v>271.01922796253115</v>
      </c>
      <c r="J391">
        <f t="shared" ca="1" si="116"/>
        <v>295.42449999999997</v>
      </c>
      <c r="K391">
        <f t="shared" ca="1" si="117"/>
        <v>4.5770715471104904</v>
      </c>
      <c r="L391">
        <f t="shared" ca="1" si="118"/>
        <v>304.57864309422092</v>
      </c>
      <c r="M391">
        <f t="shared" ca="1" si="119"/>
        <v>286.27035690577901</v>
      </c>
      <c r="N391">
        <f t="shared" ca="1" si="129"/>
        <v>-1.0500000000000114</v>
      </c>
      <c r="O391">
        <f t="shared" ca="1" si="130"/>
        <v>0</v>
      </c>
      <c r="P391">
        <f t="shared" ca="1" si="131"/>
        <v>1.0500000000000114</v>
      </c>
      <c r="Q391">
        <f t="shared" ca="1" si="114"/>
        <v>1.1246336026803541</v>
      </c>
      <c r="R391">
        <f t="shared" ca="1" si="115"/>
        <v>1.1222995112197902</v>
      </c>
      <c r="S391">
        <f t="shared" ca="1" si="112"/>
        <v>1.0020797402451214</v>
      </c>
      <c r="T391">
        <f t="shared" ca="1" si="113"/>
        <v>50.051939495798173</v>
      </c>
      <c r="U391">
        <f>70</f>
        <v>70</v>
      </c>
      <c r="V391">
        <f>30</f>
        <v>30</v>
      </c>
      <c r="W391">
        <f t="shared" ca="1" si="111"/>
        <v>297.58561280074355</v>
      </c>
      <c r="X391">
        <f t="shared" ca="1" si="121"/>
        <v>297.98522236334338</v>
      </c>
      <c r="Y391">
        <f t="shared" ca="1" si="120"/>
        <v>-0.61775004634120023</v>
      </c>
      <c r="Z391">
        <f t="shared" ca="1" si="122"/>
        <v>-1.08527579991141</v>
      </c>
      <c r="AA391">
        <f t="shared" ca="1" si="123"/>
        <v>0.46752575357020976</v>
      </c>
      <c r="AB391">
        <f t="shared" ca="1" si="124"/>
        <v>306.31199999999995</v>
      </c>
    </row>
    <row r="392" spans="1:28" x14ac:dyDescent="0.25">
      <c r="A392" s="21">
        <f t="shared" ca="1" si="125"/>
        <v>45859</v>
      </c>
      <c r="B392" vm="1160">
        <f ca="1"/>
        <v>45862</v>
      </c>
      <c r="C392" vm="1161">
        <f ca="1"/>
        <v>294.48</v>
      </c>
      <c r="D392" vm="1162">
        <f ca="1"/>
        <v>4426029</v>
      </c>
      <c r="E392">
        <f t="shared" ca="1" si="126"/>
        <v>1303377019.9200001</v>
      </c>
      <c r="F392">
        <f ca="1">SUM($E$2:E392)/SUM($D$2:D392)</f>
        <v>288.93622683232383</v>
      </c>
      <c r="G392">
        <f ca="1">_xlfn.STDEV.P($C$2:C392)</f>
        <v>17.87774114538389</v>
      </c>
      <c r="H392">
        <f t="shared" ca="1" si="127"/>
        <v>306.8139679777077</v>
      </c>
      <c r="I392">
        <f t="shared" ca="1" si="128"/>
        <v>271.05848568693995</v>
      </c>
      <c r="J392">
        <f t="shared" ca="1" si="116"/>
        <v>295.87099999999992</v>
      </c>
      <c r="K392">
        <f t="shared" ca="1" si="117"/>
        <v>3.9566145816048888</v>
      </c>
      <c r="L392">
        <f t="shared" ca="1" si="118"/>
        <v>303.78422916320972</v>
      </c>
      <c r="M392">
        <f t="shared" ca="1" si="119"/>
        <v>287.95777083679013</v>
      </c>
      <c r="N392">
        <f t="shared" ca="1" si="129"/>
        <v>-3.6399999999999864</v>
      </c>
      <c r="O392">
        <f t="shared" ca="1" si="130"/>
        <v>0</v>
      </c>
      <c r="P392">
        <f t="shared" ca="1" si="131"/>
        <v>3.6399999999999864</v>
      </c>
      <c r="Q392">
        <f t="shared" ca="1" si="114"/>
        <v>1.0443026310603287</v>
      </c>
      <c r="R392">
        <f t="shared" ca="1" si="115"/>
        <v>1.3021352604183758</v>
      </c>
      <c r="S392">
        <f t="shared" ca="1" si="112"/>
        <v>0.80199243719488444</v>
      </c>
      <c r="T392">
        <f t="shared" ca="1" si="113"/>
        <v>44.505871425483093</v>
      </c>
      <c r="U392">
        <f>70</f>
        <v>70</v>
      </c>
      <c r="V392">
        <f>30</f>
        <v>30</v>
      </c>
      <c r="W392">
        <f t="shared" ca="1" si="111"/>
        <v>297.10782621601379</v>
      </c>
      <c r="X392">
        <f t="shared" ca="1" si="121"/>
        <v>297.72557626235499</v>
      </c>
      <c r="Y392">
        <f t="shared" ca="1" si="120"/>
        <v>-0.463327347889674</v>
      </c>
      <c r="Z392">
        <f t="shared" ca="1" si="122"/>
        <v>-0.96088610950706288</v>
      </c>
      <c r="AA392">
        <f t="shared" ca="1" si="123"/>
        <v>0.49755876161738888</v>
      </c>
      <c r="AB392">
        <f t="shared" ca="1" si="124"/>
        <v>306.17349999999993</v>
      </c>
    </row>
    <row r="393" spans="1:28" x14ac:dyDescent="0.25">
      <c r="A393" s="21">
        <f t="shared" ca="1" si="125"/>
        <v>45859</v>
      </c>
      <c r="B393" vm="1163">
        <f ca="1"/>
        <v>45863</v>
      </c>
      <c r="C393" vm="1164">
        <f ca="1"/>
        <v>298.47000000000003</v>
      </c>
      <c r="D393" vm="1165">
        <f ca="1"/>
        <v>3401033</v>
      </c>
      <c r="E393">
        <f t="shared" ca="1" si="126"/>
        <v>1015106319.5100001</v>
      </c>
      <c r="F393">
        <f ca="1">SUM($E$2:E393)/SUM($D$2:D393)</f>
        <v>288.95983656053346</v>
      </c>
      <c r="G393">
        <f ca="1">_xlfn.STDEV.P($C$2:C393)</f>
        <v>17.860358874232734</v>
      </c>
      <c r="H393">
        <f t="shared" ca="1" si="127"/>
        <v>306.82019543476622</v>
      </c>
      <c r="I393">
        <f t="shared" ca="1" si="128"/>
        <v>271.0994776863007</v>
      </c>
      <c r="J393">
        <f t="shared" ca="1" si="116"/>
        <v>296.51299999999998</v>
      </c>
      <c r="K393">
        <f t="shared" ca="1" si="117"/>
        <v>3.1712078057687152</v>
      </c>
      <c r="L393">
        <f t="shared" ca="1" si="118"/>
        <v>302.85541561153741</v>
      </c>
      <c r="M393">
        <f t="shared" ca="1" si="119"/>
        <v>290.17058438846254</v>
      </c>
      <c r="N393">
        <f t="shared" ca="1" si="129"/>
        <v>3.9900000000000091</v>
      </c>
      <c r="O393">
        <f t="shared" ca="1" si="130"/>
        <v>3.9900000000000091</v>
      </c>
      <c r="P393">
        <f t="shared" ca="1" si="131"/>
        <v>0</v>
      </c>
      <c r="Q393">
        <f t="shared" ca="1" si="114"/>
        <v>1.2547095859845914</v>
      </c>
      <c r="R393">
        <f t="shared" ca="1" si="115"/>
        <v>1.2091255989599203</v>
      </c>
      <c r="S393">
        <f t="shared" ca="1" si="112"/>
        <v>1.0376999602554788</v>
      </c>
      <c r="T393">
        <f t="shared" ca="1" si="113"/>
        <v>50.925061613358231</v>
      </c>
      <c r="U393">
        <f>70</f>
        <v>70</v>
      </c>
      <c r="V393">
        <f>30</f>
        <v>30</v>
      </c>
      <c r="W393">
        <f t="shared" ca="1" si="111"/>
        <v>297.31739141355013</v>
      </c>
      <c r="X393">
        <f t="shared" ca="1" si="121"/>
        <v>297.7807187614398</v>
      </c>
      <c r="Y393">
        <f t="shared" ca="1" si="120"/>
        <v>-0.27723175966821145</v>
      </c>
      <c r="Z393">
        <f t="shared" ca="1" si="122"/>
        <v>-0.82415523953929271</v>
      </c>
      <c r="AA393">
        <f t="shared" ca="1" si="123"/>
        <v>0.54692347987108125</v>
      </c>
      <c r="AB393">
        <f t="shared" ca="1" si="124"/>
        <v>306.11529999999993</v>
      </c>
    </row>
    <row r="394" spans="1:28" x14ac:dyDescent="0.25">
      <c r="A394" s="21">
        <f t="shared" ca="1" si="125"/>
        <v>45866</v>
      </c>
      <c r="B394" vm="1166">
        <f ca="1"/>
        <v>45866</v>
      </c>
      <c r="C394" vm="1167">
        <f ca="1"/>
        <v>299.22000000000003</v>
      </c>
      <c r="D394" vm="1168">
        <f ca="1"/>
        <v>3070470</v>
      </c>
      <c r="E394">
        <f t="shared" ca="1" si="126"/>
        <v>918746033.4000001</v>
      </c>
      <c r="F394">
        <f ca="1">SUM($E$2:E394)/SUM($D$2:D394)</f>
        <v>288.98272438853172</v>
      </c>
      <c r="G394">
        <f ca="1">_xlfn.STDEV.P($C$2:C394)</f>
        <v>17.84399008296116</v>
      </c>
      <c r="H394">
        <f t="shared" ca="1" si="127"/>
        <v>306.82671447149289</v>
      </c>
      <c r="I394">
        <f t="shared" ca="1" si="128"/>
        <v>271.13873430557055</v>
      </c>
      <c r="J394">
        <f t="shared" ca="1" si="116"/>
        <v>296.8965</v>
      </c>
      <c r="K394">
        <f t="shared" ca="1" si="117"/>
        <v>2.9985053732958735</v>
      </c>
      <c r="L394">
        <f t="shared" ca="1" si="118"/>
        <v>302.89351074659174</v>
      </c>
      <c r="M394">
        <f t="shared" ca="1" si="119"/>
        <v>290.89948925340826</v>
      </c>
      <c r="N394">
        <f t="shared" ca="1" si="129"/>
        <v>0.75</v>
      </c>
      <c r="O394">
        <f t="shared" ca="1" si="130"/>
        <v>0.75</v>
      </c>
      <c r="P394">
        <f t="shared" ca="1" si="131"/>
        <v>0</v>
      </c>
      <c r="Q394">
        <f t="shared" ca="1" si="114"/>
        <v>1.2186589012714062</v>
      </c>
      <c r="R394">
        <f t="shared" ca="1" si="115"/>
        <v>1.1227594847484974</v>
      </c>
      <c r="S394">
        <f t="shared" ca="1" si="112"/>
        <v>1.0854140337495262</v>
      </c>
      <c r="T394">
        <f t="shared" ca="1" si="113"/>
        <v>52.047891506607769</v>
      </c>
      <c r="U394">
        <f>70</f>
        <v>70</v>
      </c>
      <c r="V394">
        <f>30</f>
        <v>30</v>
      </c>
      <c r="W394">
        <f t="shared" ca="1" si="111"/>
        <v>297.61010042685012</v>
      </c>
      <c r="X394">
        <f t="shared" ca="1" si="121"/>
        <v>297.88733218651834</v>
      </c>
      <c r="Y394">
        <f t="shared" ca="1" si="120"/>
        <v>0.14694263862116941</v>
      </c>
      <c r="Z394">
        <f t="shared" ca="1" si="122"/>
        <v>-0.62993566390720035</v>
      </c>
      <c r="AA394">
        <f t="shared" ca="1" si="123"/>
        <v>0.77687830252836976</v>
      </c>
      <c r="AB394">
        <f t="shared" ca="1" si="124"/>
        <v>306.04979999999995</v>
      </c>
    </row>
    <row r="395" spans="1:28" x14ac:dyDescent="0.25">
      <c r="A395" s="21">
        <f t="shared" ca="1" si="125"/>
        <v>45866</v>
      </c>
      <c r="B395" vm="1169">
        <f ca="1"/>
        <v>45867</v>
      </c>
      <c r="C395" vm="1170">
        <f ca="1"/>
        <v>302.67</v>
      </c>
      <c r="D395" vm="1171">
        <f ca="1"/>
        <v>3148084</v>
      </c>
      <c r="E395">
        <f t="shared" ca="1" si="126"/>
        <v>952830584.28000009</v>
      </c>
      <c r="F395">
        <f ca="1">SUM($E$2:E395)/SUM($D$2:D395)</f>
        <v>289.01395759789375</v>
      </c>
      <c r="G395">
        <f ca="1">_xlfn.STDEV.P($C$2:C395)</f>
        <v>17.833125476290952</v>
      </c>
      <c r="H395">
        <f t="shared" ca="1" si="127"/>
        <v>306.8470830741847</v>
      </c>
      <c r="I395">
        <f t="shared" ca="1" si="128"/>
        <v>271.1808321216028</v>
      </c>
      <c r="J395">
        <f t="shared" ca="1" si="116"/>
        <v>297.42150000000004</v>
      </c>
      <c r="K395">
        <f t="shared" ca="1" si="117"/>
        <v>3.0462285137354299</v>
      </c>
      <c r="L395">
        <f t="shared" ca="1" si="118"/>
        <v>303.51395702747089</v>
      </c>
      <c r="M395">
        <f t="shared" ca="1" si="119"/>
        <v>291.32904297252918</v>
      </c>
      <c r="N395">
        <f t="shared" ca="1" si="129"/>
        <v>3.4499999999999886</v>
      </c>
      <c r="O395">
        <f t="shared" ca="1" si="130"/>
        <v>3.4499999999999886</v>
      </c>
      <c r="P395">
        <f t="shared" ca="1" si="131"/>
        <v>0</v>
      </c>
      <c r="Q395">
        <f t="shared" ca="1" si="114"/>
        <v>1.3780404083234479</v>
      </c>
      <c r="R395">
        <f t="shared" ca="1" si="115"/>
        <v>1.0425623786950333</v>
      </c>
      <c r="S395">
        <f t="shared" ca="1" si="112"/>
        <v>1.3217822132123447</v>
      </c>
      <c r="T395">
        <f t="shared" ca="1" si="113"/>
        <v>56.929638175820479</v>
      </c>
      <c r="U395">
        <f>70</f>
        <v>70</v>
      </c>
      <c r="V395">
        <f>30</f>
        <v>30</v>
      </c>
      <c r="W395">
        <f t="shared" ca="1" si="111"/>
        <v>298.38854651502703</v>
      </c>
      <c r="X395">
        <f t="shared" ca="1" si="121"/>
        <v>298.24160387640586</v>
      </c>
      <c r="Y395">
        <f t="shared" ca="1" si="120"/>
        <v>0.55258420265278119</v>
      </c>
      <c r="Z395">
        <f t="shared" ca="1" si="122"/>
        <v>-0.39343169059520411</v>
      </c>
      <c r="AA395">
        <f t="shared" ca="1" si="123"/>
        <v>0.9460158932479853</v>
      </c>
      <c r="AB395">
        <f t="shared" ca="1" si="124"/>
        <v>306.00199999999995</v>
      </c>
    </row>
    <row r="396" spans="1:28" x14ac:dyDescent="0.25">
      <c r="A396" s="21">
        <f t="shared" ca="1" si="125"/>
        <v>45866</v>
      </c>
      <c r="B396" vm="1172">
        <f ca="1"/>
        <v>45868</v>
      </c>
      <c r="C396" vm="1173">
        <f ca="1"/>
        <v>303.61</v>
      </c>
      <c r="D396" vm="1174">
        <f ca="1"/>
        <v>2805919</v>
      </c>
      <c r="E396">
        <f t="shared" ca="1" si="126"/>
        <v>851905067.59000003</v>
      </c>
      <c r="F396">
        <f ca="1">SUM($E$2:E396)/SUM($D$2:D396)</f>
        <v>289.04358415068725</v>
      </c>
      <c r="G396">
        <f ca="1">_xlfn.STDEV.P($C$2:C396)</f>
        <v>17.824024452070358</v>
      </c>
      <c r="H396">
        <f t="shared" ca="1" si="127"/>
        <v>306.86760860275763</v>
      </c>
      <c r="I396">
        <f t="shared" ca="1" si="128"/>
        <v>271.21955969861688</v>
      </c>
      <c r="J396">
        <f t="shared" ca="1" si="116"/>
        <v>297.72750000000002</v>
      </c>
      <c r="K396">
        <f t="shared" ca="1" si="117"/>
        <v>3.3460957217251588</v>
      </c>
      <c r="L396">
        <f t="shared" ca="1" si="118"/>
        <v>304.41969144345035</v>
      </c>
      <c r="M396">
        <f t="shared" ca="1" si="119"/>
        <v>291.03530855654969</v>
      </c>
      <c r="N396">
        <f t="shared" ca="1" si="129"/>
        <v>0.93999999999999773</v>
      </c>
      <c r="O396">
        <f t="shared" ca="1" si="130"/>
        <v>0.93999999999999773</v>
      </c>
      <c r="P396">
        <f t="shared" ca="1" si="131"/>
        <v>0</v>
      </c>
      <c r="Q396">
        <f t="shared" ca="1" si="114"/>
        <v>1.3467518077289158</v>
      </c>
      <c r="R396">
        <f t="shared" ca="1" si="115"/>
        <v>0.9680936373596738</v>
      </c>
      <c r="S396">
        <f t="shared" ca="1" si="112"/>
        <v>1.3911379599621931</v>
      </c>
      <c r="T396">
        <f t="shared" ca="1" si="113"/>
        <v>58.178908254385654</v>
      </c>
      <c r="U396">
        <f>70</f>
        <v>70</v>
      </c>
      <c r="V396">
        <f>30</f>
        <v>30</v>
      </c>
      <c r="W396">
        <f t="shared" ca="1" si="111"/>
        <v>299.19184705117675</v>
      </c>
      <c r="X396">
        <f t="shared" ca="1" si="121"/>
        <v>298.63926284852397</v>
      </c>
      <c r="Y396">
        <f t="shared" ca="1" si="120"/>
        <v>0.58170412657898396</v>
      </c>
      <c r="Z396">
        <f t="shared" ca="1" si="122"/>
        <v>-0.1984045271603665</v>
      </c>
      <c r="AA396">
        <f t="shared" ca="1" si="123"/>
        <v>0.78010865373935045</v>
      </c>
      <c r="AB396">
        <f t="shared" ca="1" si="124"/>
        <v>305.93439999999993</v>
      </c>
    </row>
    <row r="397" spans="1:28" x14ac:dyDescent="0.25">
      <c r="A397" s="21">
        <f t="shared" ca="1" si="125"/>
        <v>45866</v>
      </c>
      <c r="B397" vm="1175">
        <f ca="1"/>
        <v>45869</v>
      </c>
      <c r="C397" vm="1176">
        <f ca="1"/>
        <v>300.07</v>
      </c>
      <c r="D397" vm="1177">
        <f ca="1"/>
        <v>3639588</v>
      </c>
      <c r="E397">
        <f t="shared" ca="1" si="126"/>
        <v>1092131171.1600001</v>
      </c>
      <c r="F397">
        <f ca="1">SUM($E$2:E397)/SUM($D$2:D397)</f>
        <v>289.07253861576442</v>
      </c>
      <c r="G397">
        <f ca="1">_xlfn.STDEV.P($C$2:C397)</f>
        <v>17.808894178070975</v>
      </c>
      <c r="H397">
        <f t="shared" ca="1" si="127"/>
        <v>306.88143279383542</v>
      </c>
      <c r="I397">
        <f t="shared" ca="1" si="128"/>
        <v>271.26364443769342</v>
      </c>
      <c r="J397">
        <f t="shared" ca="1" si="116"/>
        <v>297.99950000000001</v>
      </c>
      <c r="K397">
        <f t="shared" ca="1" si="117"/>
        <v>3.3018646645733267</v>
      </c>
      <c r="L397">
        <f t="shared" ca="1" si="118"/>
        <v>304.60322932914664</v>
      </c>
      <c r="M397">
        <f t="shared" ca="1" si="119"/>
        <v>291.39577067085338</v>
      </c>
      <c r="N397">
        <f t="shared" ca="1" si="129"/>
        <v>-3.5400000000000205</v>
      </c>
      <c r="O397">
        <f t="shared" ca="1" si="130"/>
        <v>0</v>
      </c>
      <c r="P397">
        <f t="shared" ca="1" si="131"/>
        <v>3.5400000000000205</v>
      </c>
      <c r="Q397">
        <f t="shared" ca="1" si="114"/>
        <v>1.2505552500339934</v>
      </c>
      <c r="R397">
        <f t="shared" ca="1" si="115"/>
        <v>1.1518012346911273</v>
      </c>
      <c r="S397">
        <f t="shared" ca="1" si="112"/>
        <v>1.0857387649609078</v>
      </c>
      <c r="T397">
        <f t="shared" ca="1" si="113"/>
        <v>52.055357228845367</v>
      </c>
      <c r="U397">
        <f>70</f>
        <v>70</v>
      </c>
      <c r="V397">
        <f>30</f>
        <v>30</v>
      </c>
      <c r="W397">
        <f t="shared" ca="1" si="111"/>
        <v>299.32694750484188</v>
      </c>
      <c r="X397">
        <f t="shared" ca="1" si="121"/>
        <v>298.7452433782629</v>
      </c>
      <c r="Y397">
        <f t="shared" ca="1" si="120"/>
        <v>0.82284703989341779</v>
      </c>
      <c r="Z397">
        <f t="shared" ca="1" si="122"/>
        <v>5.8457862503903668E-3</v>
      </c>
      <c r="AA397">
        <f t="shared" ca="1" si="123"/>
        <v>0.81700125364302745</v>
      </c>
      <c r="AB397">
        <f t="shared" ca="1" si="124"/>
        <v>305.72219999999993</v>
      </c>
    </row>
    <row r="398" spans="1:28" x14ac:dyDescent="0.25">
      <c r="A398" s="21">
        <f t="shared" ca="1" si="125"/>
        <v>45866</v>
      </c>
      <c r="B398" vm="1178">
        <f ca="1"/>
        <v>45870</v>
      </c>
      <c r="C398" vm="1179">
        <f ca="1"/>
        <v>302.89</v>
      </c>
      <c r="D398" vm="1180">
        <f ca="1"/>
        <v>3344793</v>
      </c>
      <c r="E398">
        <f t="shared" ca="1" si="126"/>
        <v>1013104351.77</v>
      </c>
      <c r="F398">
        <f ca="1">SUM($E$2:E398)/SUM($D$2:D398)</f>
        <v>289.1058030139431</v>
      </c>
      <c r="G398">
        <f ca="1">_xlfn.STDEV.P($C$2:C398)</f>
        <v>17.798410586659912</v>
      </c>
      <c r="H398">
        <f t="shared" ca="1" si="127"/>
        <v>306.90421360060304</v>
      </c>
      <c r="I398">
        <f t="shared" ca="1" si="128"/>
        <v>271.30739242728316</v>
      </c>
      <c r="J398">
        <f t="shared" ca="1" si="116"/>
        <v>298.44000000000005</v>
      </c>
      <c r="K398">
        <f t="shared" ca="1" si="117"/>
        <v>3.338906218635397</v>
      </c>
      <c r="L398">
        <f t="shared" ca="1" si="118"/>
        <v>305.11781243727086</v>
      </c>
      <c r="M398">
        <f t="shared" ca="1" si="119"/>
        <v>291.76218756272925</v>
      </c>
      <c r="N398">
        <f t="shared" ca="1" si="129"/>
        <v>2.8199999999999932</v>
      </c>
      <c r="O398">
        <f t="shared" ca="1" si="130"/>
        <v>2.8199999999999932</v>
      </c>
      <c r="P398">
        <f t="shared" ca="1" si="131"/>
        <v>0</v>
      </c>
      <c r="Q398">
        <f t="shared" ca="1" si="114"/>
        <v>1.3626584464601361</v>
      </c>
      <c r="R398">
        <f t="shared" ca="1" si="115"/>
        <v>1.0695297179274754</v>
      </c>
      <c r="S398">
        <f t="shared" ca="1" si="112"/>
        <v>1.2740725419960119</v>
      </c>
      <c r="T398">
        <f t="shared" ca="1" si="113"/>
        <v>56.026029005993173</v>
      </c>
      <c r="U398">
        <f>70</f>
        <v>70</v>
      </c>
      <c r="V398">
        <f>30</f>
        <v>30</v>
      </c>
      <c r="W398">
        <f t="shared" ca="1" si="111"/>
        <v>299.87510942717387</v>
      </c>
      <c r="X398">
        <f t="shared" ca="1" si="121"/>
        <v>299.05226238728045</v>
      </c>
      <c r="Y398">
        <f t="shared" ca="1" si="120"/>
        <v>1.1092940854828726</v>
      </c>
      <c r="Z398">
        <f t="shared" ca="1" si="122"/>
        <v>0.22653544609688681</v>
      </c>
      <c r="AA398">
        <f t="shared" ca="1" si="123"/>
        <v>0.88275863938598575</v>
      </c>
      <c r="AB398">
        <f t="shared" ca="1" si="124"/>
        <v>305.57859999999994</v>
      </c>
    </row>
    <row r="399" spans="1:28" x14ac:dyDescent="0.25">
      <c r="A399" s="21">
        <f t="shared" ca="1" si="125"/>
        <v>45873</v>
      </c>
      <c r="B399" vm="1181">
        <f ca="1"/>
        <v>45873</v>
      </c>
      <c r="C399" vm="1182">
        <f ca="1"/>
        <v>304.23</v>
      </c>
      <c r="D399" vm="1183">
        <f ca="1"/>
        <v>4734465</v>
      </c>
      <c r="E399">
        <f t="shared" ca="1" si="126"/>
        <v>1440366286.95</v>
      </c>
      <c r="F399">
        <f ca="1">SUM($E$2:E399)/SUM($D$2:D399)</f>
        <v>289.15716573219061</v>
      </c>
      <c r="G399">
        <f ca="1">_xlfn.STDEV.P($C$2:C399)</f>
        <v>17.79049091646467</v>
      </c>
      <c r="H399">
        <f t="shared" ca="1" si="127"/>
        <v>306.94765664865525</v>
      </c>
      <c r="I399">
        <f t="shared" ca="1" si="128"/>
        <v>271.36667481572596</v>
      </c>
      <c r="J399">
        <f t="shared" ca="1" si="116"/>
        <v>298.97500000000002</v>
      </c>
      <c r="K399">
        <f t="shared" ca="1" si="117"/>
        <v>3.3678753258584742</v>
      </c>
      <c r="L399">
        <f t="shared" ca="1" si="118"/>
        <v>305.71075065171698</v>
      </c>
      <c r="M399">
        <f t="shared" ca="1" si="119"/>
        <v>292.23924934828307</v>
      </c>
      <c r="N399">
        <f t="shared" ca="1" si="129"/>
        <v>1.3400000000000318</v>
      </c>
      <c r="O399">
        <f t="shared" ca="1" si="130"/>
        <v>1.3400000000000318</v>
      </c>
      <c r="P399">
        <f t="shared" ca="1" si="131"/>
        <v>0</v>
      </c>
      <c r="Q399">
        <f t="shared" ca="1" si="114"/>
        <v>1.3610399859987001</v>
      </c>
      <c r="R399">
        <f t="shared" ca="1" si="115"/>
        <v>0.99313473807551289</v>
      </c>
      <c r="S399">
        <f t="shared" ca="1" si="112"/>
        <v>1.3704484737248348</v>
      </c>
      <c r="T399">
        <f t="shared" ca="1" si="113"/>
        <v>57.81389002610814</v>
      </c>
      <c r="U399">
        <f>70</f>
        <v>70</v>
      </c>
      <c r="V399">
        <f>30</f>
        <v>30</v>
      </c>
      <c r="W399">
        <f t="shared" ref="W399:W462" ca="1" si="132">C399*(2/(12+1)) + W398*(1-(2/(12+1)))</f>
        <v>300.54509259222402</v>
      </c>
      <c r="X399">
        <f t="shared" ca="1" si="121"/>
        <v>299.43579850674115</v>
      </c>
      <c r="Y399">
        <f t="shared" ca="1" si="120"/>
        <v>0.88552132535517103</v>
      </c>
      <c r="Z399">
        <f t="shared" ca="1" si="122"/>
        <v>0.35833262194854365</v>
      </c>
      <c r="AA399">
        <f t="shared" ca="1" si="123"/>
        <v>0.52718870340662738</v>
      </c>
      <c r="AB399">
        <f t="shared" ca="1" si="124"/>
        <v>305.55329999999992</v>
      </c>
    </row>
    <row r="400" spans="1:28" x14ac:dyDescent="0.25">
      <c r="A400" s="21">
        <f t="shared" ca="1" si="125"/>
        <v>45873</v>
      </c>
      <c r="B400" vm="1184">
        <f ca="1"/>
        <v>45874</v>
      </c>
      <c r="C400" vm="1185">
        <f ca="1"/>
        <v>298.77</v>
      </c>
      <c r="D400" vm="1186">
        <f ca="1"/>
        <v>4222907</v>
      </c>
      <c r="E400">
        <f t="shared" ca="1" si="126"/>
        <v>1261677924.3899999</v>
      </c>
      <c r="F400">
        <f ca="1">SUM($E$2:E400)/SUM($D$2:D400)</f>
        <v>289.18619621074401</v>
      </c>
      <c r="G400">
        <f ca="1">_xlfn.STDEV.P($C$2:C400)</f>
        <v>17.773662482829181</v>
      </c>
      <c r="H400">
        <f t="shared" ca="1" si="127"/>
        <v>306.95985869357321</v>
      </c>
      <c r="I400">
        <f t="shared" ca="1" si="128"/>
        <v>271.41253372791482</v>
      </c>
      <c r="J400">
        <f t="shared" ca="1" si="116"/>
        <v>299.33000000000004</v>
      </c>
      <c r="K400">
        <f t="shared" ca="1" si="117"/>
        <v>2.8988890794124669</v>
      </c>
      <c r="L400">
        <f t="shared" ca="1" si="118"/>
        <v>305.12777815882498</v>
      </c>
      <c r="M400">
        <f t="shared" ca="1" si="119"/>
        <v>293.5322218411751</v>
      </c>
      <c r="N400">
        <f t="shared" ca="1" si="129"/>
        <v>-5.4600000000000364</v>
      </c>
      <c r="O400">
        <f t="shared" ca="1" si="130"/>
        <v>0</v>
      </c>
      <c r="P400">
        <f t="shared" ca="1" si="131"/>
        <v>5.4600000000000364</v>
      </c>
      <c r="Q400">
        <f t="shared" ca="1" si="114"/>
        <v>1.2638228441416501</v>
      </c>
      <c r="R400">
        <f t="shared" ca="1" si="115"/>
        <v>1.3121965424986932</v>
      </c>
      <c r="S400">
        <f t="shared" ref="S400:S463" ca="1" si="133">IF(R400=0,NA(),Q400/R400)</f>
        <v>0.96313532554739889</v>
      </c>
      <c r="T400">
        <f t="shared" ref="T400:T463" ca="1" si="134">100-(100/(1+S400))</f>
        <v>49.061076585682606</v>
      </c>
      <c r="U400">
        <f>70</f>
        <v>70</v>
      </c>
      <c r="V400">
        <f>30</f>
        <v>30</v>
      </c>
      <c r="W400">
        <f t="shared" ca="1" si="132"/>
        <v>300.27200142418957</v>
      </c>
      <c r="X400">
        <f t="shared" ca="1" si="121"/>
        <v>299.3864800988344</v>
      </c>
      <c r="Y400">
        <f t="shared" ca="1" si="120"/>
        <v>1.4092831648521837</v>
      </c>
      <c r="Z400">
        <f t="shared" ca="1" si="122"/>
        <v>0.56852273052927171</v>
      </c>
      <c r="AA400">
        <f t="shared" ca="1" si="123"/>
        <v>0.84076043432291203</v>
      </c>
      <c r="AB400">
        <f t="shared" ca="1" si="124"/>
        <v>305.54699999999991</v>
      </c>
    </row>
    <row r="401" spans="1:28" x14ac:dyDescent="0.25">
      <c r="A401" s="21">
        <f t="shared" ca="1" si="125"/>
        <v>45873</v>
      </c>
      <c r="B401" vm="1187">
        <f ca="1"/>
        <v>45875</v>
      </c>
      <c r="C401" vm="1188">
        <f ca="1"/>
        <v>307.66000000000003</v>
      </c>
      <c r="D401" vm="1189">
        <f ca="1"/>
        <v>6474304</v>
      </c>
      <c r="E401">
        <f t="shared" ca="1" si="126"/>
        <v>1991884368.6400001</v>
      </c>
      <c r="F401">
        <f ca="1">SUM($E$2:E401)/SUM($D$2:D401)</f>
        <v>289.27133637414812</v>
      </c>
      <c r="G401">
        <f ca="1">_xlfn.STDEV.P($C$2:C401)</f>
        <v>17.773408625651278</v>
      </c>
      <c r="H401">
        <f t="shared" ca="1" si="127"/>
        <v>307.04474499979938</v>
      </c>
      <c r="I401">
        <f t="shared" ca="1" si="128"/>
        <v>271.49792774849686</v>
      </c>
      <c r="J401">
        <f t="shared" ca="1" si="116"/>
        <v>300.06200000000001</v>
      </c>
      <c r="K401">
        <f t="shared" ca="1" si="117"/>
        <v>3.0652888590594038</v>
      </c>
      <c r="L401">
        <f t="shared" ca="1" si="118"/>
        <v>306.1925777181188</v>
      </c>
      <c r="M401">
        <f t="shared" ca="1" si="119"/>
        <v>293.93142228188123</v>
      </c>
      <c r="N401">
        <f t="shared" ca="1" si="129"/>
        <v>8.8900000000000432</v>
      </c>
      <c r="O401">
        <f t="shared" ca="1" si="130"/>
        <v>8.8900000000000432</v>
      </c>
      <c r="P401">
        <f t="shared" ca="1" si="131"/>
        <v>0</v>
      </c>
      <c r="Q401">
        <f t="shared" ref="Q401:Q464" ca="1" si="135">(Q400*13+O401)/14</f>
        <v>1.8085497838458211</v>
      </c>
      <c r="R401">
        <f t="shared" ref="R401:R464" ca="1" si="136">(R400*13+P401)/14</f>
        <v>1.2184682180345008</v>
      </c>
      <c r="S401">
        <f t="shared" ca="1" si="133"/>
        <v>1.4842814585374866</v>
      </c>
      <c r="T401">
        <f t="shared" ca="1" si="134"/>
        <v>59.746912067334478</v>
      </c>
      <c r="U401">
        <f>70</f>
        <v>70</v>
      </c>
      <c r="V401">
        <f>30</f>
        <v>30</v>
      </c>
      <c r="W401">
        <f t="shared" ca="1" si="132"/>
        <v>301.40861658969885</v>
      </c>
      <c r="X401">
        <f t="shared" ca="1" si="121"/>
        <v>299.99933342484667</v>
      </c>
      <c r="Y401">
        <f t="shared" ca="1" si="120"/>
        <v>1.8235206953430065</v>
      </c>
      <c r="Z401">
        <f t="shared" ca="1" si="122"/>
        <v>0.8195223234920187</v>
      </c>
      <c r="AA401">
        <f t="shared" ca="1" si="123"/>
        <v>1.0039983718509879</v>
      </c>
      <c r="AB401">
        <f t="shared" ca="1" si="124"/>
        <v>305.64859999999993</v>
      </c>
    </row>
    <row r="402" spans="1:28" x14ac:dyDescent="0.25">
      <c r="A402" s="21">
        <f t="shared" ca="1" si="125"/>
        <v>45873</v>
      </c>
      <c r="B402" vm="1190">
        <f ca="1"/>
        <v>45876</v>
      </c>
      <c r="C402" vm="1191">
        <f ca="1"/>
        <v>307.91000000000003</v>
      </c>
      <c r="D402" vm="1192">
        <f ca="1"/>
        <v>3603475</v>
      </c>
      <c r="E402">
        <f t="shared" ca="1" si="126"/>
        <v>1109545987.25</v>
      </c>
      <c r="F402">
        <f ca="1">SUM($E$2:E402)/SUM($D$2:D402)</f>
        <v>289.31902433591898</v>
      </c>
      <c r="G402">
        <f ca="1">_xlfn.STDEV.P($C$2:C402)</f>
        <v>17.773668692980731</v>
      </c>
      <c r="H402">
        <f t="shared" ca="1" si="127"/>
        <v>307.0926930288997</v>
      </c>
      <c r="I402">
        <f t="shared" ca="1" si="128"/>
        <v>271.54535564293826</v>
      </c>
      <c r="J402">
        <f t="shared" ca="1" si="116"/>
        <v>300.53800000000001</v>
      </c>
      <c r="K402">
        <f t="shared" ca="1" si="117"/>
        <v>3.5002851011701477</v>
      </c>
      <c r="L402">
        <f t="shared" ca="1" si="118"/>
        <v>307.53857020234028</v>
      </c>
      <c r="M402">
        <f t="shared" ca="1" si="119"/>
        <v>293.53742979765974</v>
      </c>
      <c r="N402">
        <f t="shared" ca="1" si="129"/>
        <v>0.25</v>
      </c>
      <c r="O402">
        <f t="shared" ca="1" si="130"/>
        <v>0.25</v>
      </c>
      <c r="P402">
        <f t="shared" ca="1" si="131"/>
        <v>0</v>
      </c>
      <c r="Q402">
        <f t="shared" ca="1" si="135"/>
        <v>1.6972247992854055</v>
      </c>
      <c r="R402">
        <f t="shared" ca="1" si="136"/>
        <v>1.1314347738891792</v>
      </c>
      <c r="S402">
        <f t="shared" ca="1" si="133"/>
        <v>1.5000642002997548</v>
      </c>
      <c r="T402">
        <f t="shared" ca="1" si="134"/>
        <v>60.001027178418006</v>
      </c>
      <c r="U402">
        <f>70</f>
        <v>70</v>
      </c>
      <c r="V402">
        <f>30</f>
        <v>30</v>
      </c>
      <c r="W402">
        <f t="shared" ca="1" si="132"/>
        <v>302.40882942205286</v>
      </c>
      <c r="X402">
        <f t="shared" ca="1" si="121"/>
        <v>300.58530872670985</v>
      </c>
      <c r="Y402">
        <f t="shared" ca="1" si="120"/>
        <v>1.9310455902250396</v>
      </c>
      <c r="Z402">
        <f t="shared" ca="1" si="122"/>
        <v>1.041826976838623</v>
      </c>
      <c r="AA402">
        <f t="shared" ca="1" si="123"/>
        <v>0.88921861338641661</v>
      </c>
      <c r="AB402">
        <f t="shared" ca="1" si="124"/>
        <v>305.72939999999994</v>
      </c>
    </row>
    <row r="403" spans="1:28" x14ac:dyDescent="0.25">
      <c r="A403" s="21">
        <f t="shared" ca="1" si="125"/>
        <v>45873</v>
      </c>
      <c r="B403" vm="1193">
        <f ca="1"/>
        <v>45877</v>
      </c>
      <c r="C403" vm="1194">
        <f ca="1"/>
        <v>305.45</v>
      </c>
      <c r="D403" vm="1195">
        <f ca="1"/>
        <v>2622369</v>
      </c>
      <c r="E403">
        <f t="shared" ca="1" si="126"/>
        <v>801002611.04999995</v>
      </c>
      <c r="F403">
        <f ca="1">SUM($E$2:E403)/SUM($D$2:D403)</f>
        <v>289.34900346661357</v>
      </c>
      <c r="G403">
        <f ca="1">_xlfn.STDEV.P($C$2:C403)</f>
        <v>17.768105611348652</v>
      </c>
      <c r="H403">
        <f t="shared" ca="1" si="127"/>
        <v>307.1171090779622</v>
      </c>
      <c r="I403">
        <f t="shared" ca="1" si="128"/>
        <v>271.58089785526494</v>
      </c>
      <c r="J403">
        <f t="shared" ca="1" si="116"/>
        <v>300.815</v>
      </c>
      <c r="K403">
        <f t="shared" ca="1" si="117"/>
        <v>3.6633799463854371</v>
      </c>
      <c r="L403">
        <f t="shared" ca="1" si="118"/>
        <v>308.14175989277089</v>
      </c>
      <c r="M403">
        <f t="shared" ca="1" si="119"/>
        <v>293.4882401072291</v>
      </c>
      <c r="N403">
        <f t="shared" ca="1" si="129"/>
        <v>-2.4600000000000364</v>
      </c>
      <c r="O403">
        <f t="shared" ca="1" si="130"/>
        <v>0</v>
      </c>
      <c r="P403">
        <f t="shared" ca="1" si="131"/>
        <v>2.4600000000000364</v>
      </c>
      <c r="Q403">
        <f t="shared" ca="1" si="135"/>
        <v>1.5759944564793051</v>
      </c>
      <c r="R403">
        <f t="shared" ca="1" si="136"/>
        <v>1.2263322900399547</v>
      </c>
      <c r="S403">
        <f t="shared" ca="1" si="133"/>
        <v>1.2851284022114089</v>
      </c>
      <c r="T403">
        <f t="shared" ca="1" si="134"/>
        <v>56.238782948377846</v>
      </c>
      <c r="U403">
        <f>70</f>
        <v>70</v>
      </c>
      <c r="V403">
        <f>30</f>
        <v>30</v>
      </c>
      <c r="W403">
        <f t="shared" ca="1" si="132"/>
        <v>302.87670181866008</v>
      </c>
      <c r="X403">
        <f t="shared" ca="1" si="121"/>
        <v>300.94565622843504</v>
      </c>
      <c r="Y403">
        <f t="shared" ca="1" si="120"/>
        <v>1.9063309569820035</v>
      </c>
      <c r="Z403">
        <f t="shared" ca="1" si="122"/>
        <v>1.2147277728672992</v>
      </c>
      <c r="AA403">
        <f t="shared" ca="1" si="123"/>
        <v>0.69160318411470434</v>
      </c>
      <c r="AB403">
        <f t="shared" ca="1" si="124"/>
        <v>305.74419999999998</v>
      </c>
    </row>
    <row r="404" spans="1:28" x14ac:dyDescent="0.25">
      <c r="A404" s="21">
        <f t="shared" ca="1" si="125"/>
        <v>45880</v>
      </c>
      <c r="B404" vm="1196">
        <f ca="1"/>
        <v>45880</v>
      </c>
      <c r="C404" vm="1197">
        <f ca="1"/>
        <v>304.36</v>
      </c>
      <c r="D404" vm="1198">
        <f ca="1"/>
        <v>2648956</v>
      </c>
      <c r="E404">
        <f t="shared" ca="1" si="126"/>
        <v>806236248.16000009</v>
      </c>
      <c r="F404">
        <f ca="1">SUM($E$2:E404)/SUM($D$2:D404)</f>
        <v>289.37713117294089</v>
      </c>
      <c r="G404">
        <f ca="1">_xlfn.STDEV.P($C$2:C404)</f>
        <v>17.760236500409064</v>
      </c>
      <c r="H404">
        <f t="shared" ca="1" si="127"/>
        <v>307.13736767334996</v>
      </c>
      <c r="I404">
        <f t="shared" ca="1" si="128"/>
        <v>271.61689467253183</v>
      </c>
      <c r="J404">
        <f t="shared" ca="1" si="116"/>
        <v>300.93900000000002</v>
      </c>
      <c r="K404">
        <f t="shared" ca="1" si="117"/>
        <v>3.7424448805841553</v>
      </c>
      <c r="L404">
        <f t="shared" ca="1" si="118"/>
        <v>308.42388976116831</v>
      </c>
      <c r="M404">
        <f t="shared" ca="1" si="119"/>
        <v>293.45411023883173</v>
      </c>
      <c r="N404">
        <f t="shared" ca="1" si="129"/>
        <v>-1.089999999999975</v>
      </c>
      <c r="O404">
        <f t="shared" ca="1" si="130"/>
        <v>0</v>
      </c>
      <c r="P404">
        <f t="shared" ca="1" si="131"/>
        <v>1.089999999999975</v>
      </c>
      <c r="Q404">
        <f t="shared" ca="1" si="135"/>
        <v>1.4634234238736405</v>
      </c>
      <c r="R404">
        <f t="shared" ca="1" si="136"/>
        <v>1.2165942693228133</v>
      </c>
      <c r="S404">
        <f t="shared" ca="1" si="133"/>
        <v>1.2028853503380534</v>
      </c>
      <c r="T404">
        <f t="shared" ca="1" si="134"/>
        <v>54.604991138256892</v>
      </c>
      <c r="U404">
        <f>70</f>
        <v>70</v>
      </c>
      <c r="V404">
        <f>30</f>
        <v>30</v>
      </c>
      <c r="W404">
        <f t="shared" ca="1" si="132"/>
        <v>303.10490153886627</v>
      </c>
      <c r="X404">
        <f t="shared" ca="1" si="121"/>
        <v>301.19857058188427</v>
      </c>
      <c r="Y404">
        <f t="shared" ca="1" si="120"/>
        <v>1.6482630140482115</v>
      </c>
      <c r="Z404">
        <f t="shared" ca="1" si="122"/>
        <v>1.3014348211034816</v>
      </c>
      <c r="AA404">
        <f t="shared" ca="1" si="123"/>
        <v>0.34682819294472989</v>
      </c>
      <c r="AB404">
        <f t="shared" ca="1" si="124"/>
        <v>305.75180000000006</v>
      </c>
    </row>
    <row r="405" spans="1:28" x14ac:dyDescent="0.25">
      <c r="A405" s="21">
        <f t="shared" ca="1" si="125"/>
        <v>45880</v>
      </c>
      <c r="B405" vm="1199">
        <f ca="1"/>
        <v>45881</v>
      </c>
      <c r="C405" vm="1200">
        <f ca="1"/>
        <v>301.64</v>
      </c>
      <c r="D405" vm="1201">
        <f ca="1"/>
        <v>3440070</v>
      </c>
      <c r="E405">
        <f t="shared" ca="1" si="126"/>
        <v>1037662714.8</v>
      </c>
      <c r="F405">
        <f ca="1">SUM($E$2:E405)/SUM($D$2:D405)</f>
        <v>289.40689946203736</v>
      </c>
      <c r="G405">
        <f ca="1">_xlfn.STDEV.P($C$2:C405)</f>
        <v>17.747462676800868</v>
      </c>
      <c r="H405">
        <f t="shared" ca="1" si="127"/>
        <v>307.15436213883822</v>
      </c>
      <c r="I405">
        <f t="shared" ca="1" si="128"/>
        <v>271.65943678523649</v>
      </c>
      <c r="J405">
        <f t="shared" ca="1" si="116"/>
        <v>301.04000000000002</v>
      </c>
      <c r="K405">
        <f t="shared" ca="1" si="117"/>
        <v>3.7322181918503863</v>
      </c>
      <c r="L405">
        <f t="shared" ca="1" si="118"/>
        <v>308.50443638370081</v>
      </c>
      <c r="M405">
        <f t="shared" ca="1" si="119"/>
        <v>293.57556361629923</v>
      </c>
      <c r="N405">
        <f t="shared" ca="1" si="129"/>
        <v>-2.7200000000000273</v>
      </c>
      <c r="O405">
        <f t="shared" ca="1" si="130"/>
        <v>0</v>
      </c>
      <c r="P405">
        <f t="shared" ca="1" si="131"/>
        <v>2.7200000000000273</v>
      </c>
      <c r="Q405">
        <f t="shared" ca="1" si="135"/>
        <v>1.3588931793112378</v>
      </c>
      <c r="R405">
        <f t="shared" ca="1" si="136"/>
        <v>1.3239803929426144</v>
      </c>
      <c r="S405">
        <f t="shared" ca="1" si="133"/>
        <v>1.0263695645001418</v>
      </c>
      <c r="T405">
        <f t="shared" ca="1" si="134"/>
        <v>50.650660298153618</v>
      </c>
      <c r="U405">
        <f>70</f>
        <v>70</v>
      </c>
      <c r="V405">
        <f>30</f>
        <v>30</v>
      </c>
      <c r="W405">
        <f t="shared" ca="1" si="132"/>
        <v>302.87953207134842</v>
      </c>
      <c r="X405">
        <f t="shared" ca="1" si="121"/>
        <v>301.23126905730021</v>
      </c>
      <c r="Y405">
        <f t="shared" ca="1" si="120"/>
        <v>1.7009076397945933</v>
      </c>
      <c r="Z405">
        <f t="shared" ca="1" si="122"/>
        <v>1.3813293848417041</v>
      </c>
      <c r="AA405">
        <f t="shared" ca="1" si="123"/>
        <v>0.31957825495288916</v>
      </c>
      <c r="AB405">
        <f t="shared" ca="1" si="124"/>
        <v>305.69900000000001</v>
      </c>
    </row>
    <row r="406" spans="1:28" x14ac:dyDescent="0.25">
      <c r="A406" s="21">
        <f t="shared" ca="1" si="125"/>
        <v>45880</v>
      </c>
      <c r="B406" vm="1202">
        <f ca="1"/>
        <v>45882</v>
      </c>
      <c r="C406" vm="1203">
        <f ca="1"/>
        <v>305.07</v>
      </c>
      <c r="D406" vm="1204">
        <f ca="1"/>
        <v>2999334</v>
      </c>
      <c r="E406">
        <f t="shared" ca="1" si="126"/>
        <v>915006823.38</v>
      </c>
      <c r="F406">
        <f ca="1">SUM($E$2:E406)/SUM($D$2:D406)</f>
        <v>289.43998047985002</v>
      </c>
      <c r="G406">
        <f ca="1">_xlfn.STDEV.P($C$2:C406)</f>
        <v>17.740983288529858</v>
      </c>
      <c r="H406">
        <f t="shared" ca="1" si="127"/>
        <v>307.18096376837985</v>
      </c>
      <c r="I406">
        <f t="shared" ca="1" si="128"/>
        <v>271.69899719132019</v>
      </c>
      <c r="J406">
        <f t="shared" ref="J406:J469" ca="1" si="137">AVERAGE(C387:C406)</f>
        <v>301.3485</v>
      </c>
      <c r="K406">
        <f t="shared" ref="K406:K469" ca="1" si="138">_xlfn.STDEV.S(C387:C406)</f>
        <v>3.8003978669829332</v>
      </c>
      <c r="L406">
        <f t="shared" ref="L406:L469" ca="1" si="139">J406 + 2*K406</f>
        <v>308.94929573396587</v>
      </c>
      <c r="M406">
        <f t="shared" ref="M406:M469" ca="1" si="140">J406-2*K406</f>
        <v>293.74770426603413</v>
      </c>
      <c r="N406">
        <f t="shared" ca="1" si="129"/>
        <v>3.4300000000000068</v>
      </c>
      <c r="O406">
        <f t="shared" ca="1" si="130"/>
        <v>3.4300000000000068</v>
      </c>
      <c r="P406">
        <f t="shared" ca="1" si="131"/>
        <v>0</v>
      </c>
      <c r="Q406">
        <f t="shared" ca="1" si="135"/>
        <v>1.506829380789007</v>
      </c>
      <c r="R406">
        <f t="shared" ca="1" si="136"/>
        <v>1.2294103648752848</v>
      </c>
      <c r="S406">
        <f t="shared" ca="1" si="133"/>
        <v>1.2256520880575661</v>
      </c>
      <c r="T406">
        <f t="shared" ca="1" si="134"/>
        <v>55.06934774910178</v>
      </c>
      <c r="U406">
        <f>70</f>
        <v>70</v>
      </c>
      <c r="V406">
        <f>30</f>
        <v>30</v>
      </c>
      <c r="W406">
        <f t="shared" ca="1" si="132"/>
        <v>303.2165271372948</v>
      </c>
      <c r="X406">
        <f t="shared" ca="1" si="121"/>
        <v>301.51561949750021</v>
      </c>
      <c r="Y406">
        <f t="shared" ca="1" si="120"/>
        <v>2.0322855358660377</v>
      </c>
      <c r="Z406">
        <f t="shared" ca="1" si="122"/>
        <v>1.5115206150465708</v>
      </c>
      <c r="AA406">
        <f t="shared" ca="1" si="123"/>
        <v>0.5207649208194669</v>
      </c>
      <c r="AB406">
        <f t="shared" ca="1" si="124"/>
        <v>305.67970000000003</v>
      </c>
    </row>
    <row r="407" spans="1:28" x14ac:dyDescent="0.25">
      <c r="A407" s="21">
        <f t="shared" ca="1" si="125"/>
        <v>45880</v>
      </c>
      <c r="B407" vm="1205">
        <f ca="1"/>
        <v>45883</v>
      </c>
      <c r="C407" vm="1206">
        <f ca="1"/>
        <v>308.95</v>
      </c>
      <c r="D407" vm="1207">
        <f ca="1"/>
        <v>4699435</v>
      </c>
      <c r="E407">
        <f t="shared" ca="1" si="126"/>
        <v>1451890443.25</v>
      </c>
      <c r="F407">
        <f ca="1">SUM($E$2:E407)/SUM($D$2:D407)</f>
        <v>289.50432993244692</v>
      </c>
      <c r="G407">
        <f ca="1">_xlfn.STDEV.P($C$2:C407)</f>
        <v>17.743494713968733</v>
      </c>
      <c r="H407">
        <f t="shared" ca="1" si="127"/>
        <v>307.24782464641567</v>
      </c>
      <c r="I407">
        <f t="shared" ca="1" si="128"/>
        <v>271.76083521847818</v>
      </c>
      <c r="J407">
        <f t="shared" ca="1" si="137"/>
        <v>301.77749999999997</v>
      </c>
      <c r="K407">
        <f t="shared" ca="1" si="138"/>
        <v>4.1521204158078575</v>
      </c>
      <c r="L407">
        <f t="shared" ca="1" si="139"/>
        <v>310.08174083161566</v>
      </c>
      <c r="M407">
        <f t="shared" ca="1" si="140"/>
        <v>293.47325916838429</v>
      </c>
      <c r="N407">
        <f t="shared" ca="1" si="129"/>
        <v>3.8799999999999955</v>
      </c>
      <c r="O407">
        <f t="shared" ca="1" si="130"/>
        <v>3.8799999999999955</v>
      </c>
      <c r="P407">
        <f t="shared" ca="1" si="131"/>
        <v>0</v>
      </c>
      <c r="Q407">
        <f t="shared" ca="1" si="135"/>
        <v>1.676341567875506</v>
      </c>
      <c r="R407">
        <f t="shared" ca="1" si="136"/>
        <v>1.1415953388127644</v>
      </c>
      <c r="S407">
        <f t="shared" ca="1" si="133"/>
        <v>1.4684201230348983</v>
      </c>
      <c r="T407">
        <f t="shared" ca="1" si="134"/>
        <v>59.488257664561985</v>
      </c>
      <c r="U407">
        <f>70</f>
        <v>70</v>
      </c>
      <c r="V407">
        <f>30</f>
        <v>30</v>
      </c>
      <c r="W407">
        <f t="shared" ca="1" si="132"/>
        <v>304.0985998854033</v>
      </c>
      <c r="X407">
        <f t="shared" ca="1" si="121"/>
        <v>302.06631434953727</v>
      </c>
      <c r="Y407">
        <f t="shared" ca="1" si="120"/>
        <v>2.2671567018950327</v>
      </c>
      <c r="Z407">
        <f t="shared" ca="1" si="122"/>
        <v>1.6626478324162632</v>
      </c>
      <c r="AA407">
        <f t="shared" ca="1" si="123"/>
        <v>0.60450886947876947</v>
      </c>
      <c r="AB407">
        <f t="shared" ca="1" si="124"/>
        <v>305.71479999999997</v>
      </c>
    </row>
    <row r="408" spans="1:28" x14ac:dyDescent="0.25">
      <c r="A408" s="21">
        <f t="shared" ca="1" si="125"/>
        <v>45880</v>
      </c>
      <c r="B408" vm="1208">
        <f ca="1"/>
        <v>45884</v>
      </c>
      <c r="C408" vm="1209">
        <f ca="1"/>
        <v>308.93</v>
      </c>
      <c r="D408" vm="1210">
        <f ca="1"/>
        <v>3416604</v>
      </c>
      <c r="E408">
        <f t="shared" ca="1" si="126"/>
        <v>1055491473.72</v>
      </c>
      <c r="F408">
        <f ca="1">SUM($E$2:E408)/SUM($D$2:D408)</f>
        <v>289.5507998603631</v>
      </c>
      <c r="G408">
        <f ca="1">_xlfn.STDEV.P($C$2:C408)</f>
        <v>17.745822412578718</v>
      </c>
      <c r="H408">
        <f t="shared" ca="1" si="127"/>
        <v>307.29662227294182</v>
      </c>
      <c r="I408">
        <f t="shared" ca="1" si="128"/>
        <v>271.80497744778438</v>
      </c>
      <c r="J408">
        <f t="shared" ca="1" si="137"/>
        <v>302.37049999999999</v>
      </c>
      <c r="K408">
        <f t="shared" ca="1" si="138"/>
        <v>4.2890723754799538</v>
      </c>
      <c r="L408">
        <f t="shared" ca="1" si="139"/>
        <v>310.94864475095989</v>
      </c>
      <c r="M408">
        <f t="shared" ca="1" si="140"/>
        <v>293.7923552490401</v>
      </c>
      <c r="N408">
        <f t="shared" ca="1" si="129"/>
        <v>-1.999999999998181E-2</v>
      </c>
      <c r="O408">
        <f t="shared" ca="1" si="130"/>
        <v>0</v>
      </c>
      <c r="P408">
        <f t="shared" ca="1" si="131"/>
        <v>1.999999999998181E-2</v>
      </c>
      <c r="Q408">
        <f t="shared" ca="1" si="135"/>
        <v>1.5566028844558271</v>
      </c>
      <c r="R408">
        <f t="shared" ca="1" si="136"/>
        <v>1.0614813860404229</v>
      </c>
      <c r="S408">
        <f t="shared" ca="1" si="133"/>
        <v>1.4664438820376537</v>
      </c>
      <c r="T408">
        <f t="shared" ca="1" si="134"/>
        <v>59.45579758442144</v>
      </c>
      <c r="U408">
        <f>70</f>
        <v>70</v>
      </c>
      <c r="V408">
        <f>30</f>
        <v>30</v>
      </c>
      <c r="W408">
        <f t="shared" ca="1" si="132"/>
        <v>304.84189221072586</v>
      </c>
      <c r="X408">
        <f t="shared" ca="1" si="121"/>
        <v>302.57473550883083</v>
      </c>
      <c r="Y408">
        <f t="shared" ca="1" si="120"/>
        <v>2.4069884507565575</v>
      </c>
      <c r="Z408">
        <f t="shared" ca="1" si="122"/>
        <v>1.8115159560843221</v>
      </c>
      <c r="AA408">
        <f t="shared" ca="1" si="123"/>
        <v>0.5954724946722354</v>
      </c>
      <c r="AB408">
        <f t="shared" ca="1" si="124"/>
        <v>305.74740000000003</v>
      </c>
    </row>
    <row r="409" spans="1:28" x14ac:dyDescent="0.25">
      <c r="A409" s="21">
        <f t="shared" ca="1" si="125"/>
        <v>45887</v>
      </c>
      <c r="B409" vm="1211">
        <f ca="1"/>
        <v>45887</v>
      </c>
      <c r="C409" vm="1212">
        <f ca="1"/>
        <v>308.7</v>
      </c>
      <c r="D409" vm="1213">
        <f ca="1"/>
        <v>3272917</v>
      </c>
      <c r="E409">
        <f t="shared" ca="1" si="126"/>
        <v>1010349477.9</v>
      </c>
      <c r="F409">
        <f ca="1">SUM($E$2:E409)/SUM($D$2:D409)</f>
        <v>289.59458158757468</v>
      </c>
      <c r="G409">
        <f ca="1">_xlfn.STDEV.P($C$2:C409)</f>
        <v>17.747433357327466</v>
      </c>
      <c r="H409">
        <f t="shared" ca="1" si="127"/>
        <v>307.34201494490213</v>
      </c>
      <c r="I409">
        <f t="shared" ca="1" si="128"/>
        <v>271.84714823024723</v>
      </c>
      <c r="J409">
        <f t="shared" ca="1" si="137"/>
        <v>303.01850000000002</v>
      </c>
      <c r="K409">
        <f t="shared" ca="1" si="138"/>
        <v>4.2129353125069935</v>
      </c>
      <c r="L409">
        <f t="shared" ca="1" si="139"/>
        <v>311.44437062501402</v>
      </c>
      <c r="M409">
        <f t="shared" ca="1" si="140"/>
        <v>294.59262937498602</v>
      </c>
      <c r="N409">
        <f t="shared" ca="1" si="129"/>
        <v>-0.23000000000001819</v>
      </c>
      <c r="O409">
        <f t="shared" ca="1" si="130"/>
        <v>0</v>
      </c>
      <c r="P409">
        <f t="shared" ca="1" si="131"/>
        <v>0.23000000000001819</v>
      </c>
      <c r="Q409">
        <f t="shared" ca="1" si="135"/>
        <v>1.4454169641375536</v>
      </c>
      <c r="R409">
        <f t="shared" ca="1" si="136"/>
        <v>1.0020898584661082</v>
      </c>
      <c r="S409">
        <f t="shared" ca="1" si="133"/>
        <v>1.4424025469632464</v>
      </c>
      <c r="T409">
        <f t="shared" ca="1" si="134"/>
        <v>59.056708270987237</v>
      </c>
      <c r="U409">
        <f>70</f>
        <v>70</v>
      </c>
      <c r="V409">
        <f>30</f>
        <v>30</v>
      </c>
      <c r="W409">
        <f t="shared" ca="1" si="132"/>
        <v>305.43544725522958</v>
      </c>
      <c r="X409">
        <f t="shared" ca="1" si="121"/>
        <v>303.02845880447302</v>
      </c>
      <c r="Y409">
        <f t="shared" ca="1" si="120"/>
        <v>2.6670049098274831</v>
      </c>
      <c r="Z409">
        <f t="shared" ca="1" si="122"/>
        <v>1.9826137468329543</v>
      </c>
      <c r="AA409">
        <f t="shared" ca="1" si="123"/>
        <v>0.68439116299452873</v>
      </c>
      <c r="AB409">
        <f t="shared" ca="1" si="124"/>
        <v>305.76520000000005</v>
      </c>
    </row>
    <row r="410" spans="1:28" x14ac:dyDescent="0.25">
      <c r="A410" s="21">
        <f t="shared" ca="1" si="125"/>
        <v>45887</v>
      </c>
      <c r="B410" vm="1214">
        <f ca="1"/>
        <v>45888</v>
      </c>
      <c r="C410" vm="1215">
        <f ca="1"/>
        <v>310.93</v>
      </c>
      <c r="D410" vm="1216">
        <f ca="1"/>
        <v>2893574</v>
      </c>
      <c r="E410">
        <f t="shared" ca="1" si="126"/>
        <v>899698963.82000005</v>
      </c>
      <c r="F410">
        <f ca="1">SUM($E$2:E410)/SUM($D$2:D410)</f>
        <v>289.63762097114437</v>
      </c>
      <c r="G410">
        <f ca="1">_xlfn.STDEV.P($C$2:C410)</f>
        <v>17.754891989502095</v>
      </c>
      <c r="H410">
        <f t="shared" ca="1" si="127"/>
        <v>307.39251296064646</v>
      </c>
      <c r="I410">
        <f t="shared" ca="1" si="128"/>
        <v>271.88272898164229</v>
      </c>
      <c r="J410">
        <f t="shared" ca="1" si="137"/>
        <v>303.60649999999998</v>
      </c>
      <c r="K410">
        <f t="shared" ca="1" si="138"/>
        <v>4.4609041743386015</v>
      </c>
      <c r="L410">
        <f t="shared" ca="1" si="139"/>
        <v>312.52830834867717</v>
      </c>
      <c r="M410">
        <f t="shared" ca="1" si="140"/>
        <v>294.68469165132279</v>
      </c>
      <c r="N410">
        <f t="shared" ca="1" si="129"/>
        <v>2.2300000000000182</v>
      </c>
      <c r="O410">
        <f t="shared" ca="1" si="130"/>
        <v>2.2300000000000182</v>
      </c>
      <c r="P410">
        <f t="shared" ca="1" si="131"/>
        <v>0</v>
      </c>
      <c r="Q410">
        <f t="shared" ca="1" si="135"/>
        <v>1.5014586095563012</v>
      </c>
      <c r="R410">
        <f t="shared" ca="1" si="136"/>
        <v>0.93051201143281481</v>
      </c>
      <c r="S410">
        <f t="shared" ca="1" si="133"/>
        <v>1.6135832650288255</v>
      </c>
      <c r="T410">
        <f t="shared" ca="1" si="134"/>
        <v>61.738353111586413</v>
      </c>
      <c r="U410">
        <f>70</f>
        <v>70</v>
      </c>
      <c r="V410">
        <f>30</f>
        <v>30</v>
      </c>
      <c r="W410">
        <f t="shared" ca="1" si="132"/>
        <v>306.28076306211733</v>
      </c>
      <c r="X410">
        <f t="shared" ca="1" si="121"/>
        <v>303.61375815228985</v>
      </c>
      <c r="Y410">
        <f t="shared" ca="1" si="120"/>
        <v>3.0118382619789941</v>
      </c>
      <c r="Z410">
        <f t="shared" ca="1" si="122"/>
        <v>2.1884586498621621</v>
      </c>
      <c r="AA410">
        <f t="shared" ca="1" si="123"/>
        <v>0.82337961211683197</v>
      </c>
      <c r="AB410">
        <f t="shared" ca="1" si="124"/>
        <v>305.73870000000005</v>
      </c>
    </row>
    <row r="411" spans="1:28" x14ac:dyDescent="0.25">
      <c r="A411" s="21">
        <f t="shared" ca="1" si="125"/>
        <v>45887</v>
      </c>
      <c r="B411" vm="1217">
        <f ca="1"/>
        <v>45889</v>
      </c>
      <c r="C411" vm="1218">
        <f ca="1"/>
        <v>313.08</v>
      </c>
      <c r="D411" vm="1219">
        <f ca="1"/>
        <v>3880218</v>
      </c>
      <c r="E411">
        <f t="shared" ca="1" si="126"/>
        <v>1214818651.4400001</v>
      </c>
      <c r="F411">
        <f ca="1">SUM($E$2:E411)/SUM($D$2:D411)</f>
        <v>289.70086432051772</v>
      </c>
      <c r="G411">
        <f ca="1">_xlfn.STDEV.P($C$2:C411)</f>
        <v>17.768536522775694</v>
      </c>
      <c r="H411">
        <f t="shared" ca="1" si="127"/>
        <v>307.46940084329344</v>
      </c>
      <c r="I411">
        <f t="shared" ca="1" si="128"/>
        <v>271.932327797742</v>
      </c>
      <c r="J411">
        <f t="shared" ca="1" si="137"/>
        <v>304.35450000000003</v>
      </c>
      <c r="K411">
        <f t="shared" ca="1" si="138"/>
        <v>4.7381380697929245</v>
      </c>
      <c r="L411">
        <f t="shared" ca="1" si="139"/>
        <v>313.83077613958585</v>
      </c>
      <c r="M411">
        <f t="shared" ca="1" si="140"/>
        <v>294.87822386041421</v>
      </c>
      <c r="N411">
        <f t="shared" ca="1" si="129"/>
        <v>2.1499999999999773</v>
      </c>
      <c r="O411">
        <f t="shared" ca="1" si="130"/>
        <v>2.1499999999999773</v>
      </c>
      <c r="P411">
        <f t="shared" ca="1" si="131"/>
        <v>0</v>
      </c>
      <c r="Q411">
        <f t="shared" ca="1" si="135"/>
        <v>1.5477829945879924</v>
      </c>
      <c r="R411">
        <f t="shared" ca="1" si="136"/>
        <v>0.86404686775904238</v>
      </c>
      <c r="S411">
        <f t="shared" ca="1" si="133"/>
        <v>1.7913183327685231</v>
      </c>
      <c r="T411">
        <f t="shared" ca="1" si="134"/>
        <v>64.174634320258036</v>
      </c>
      <c r="U411">
        <f>70</f>
        <v>70</v>
      </c>
      <c r="V411">
        <f>30</f>
        <v>30</v>
      </c>
      <c r="W411">
        <f t="shared" ca="1" si="132"/>
        <v>307.32679951409926</v>
      </c>
      <c r="X411">
        <f t="shared" ca="1" si="121"/>
        <v>304.31496125212027</v>
      </c>
      <c r="Y411">
        <f t="shared" ca="1" si="120"/>
        <v>3.2588519907361047</v>
      </c>
      <c r="Z411">
        <f t="shared" ca="1" si="122"/>
        <v>2.4025373180369507</v>
      </c>
      <c r="AA411">
        <f t="shared" ca="1" si="123"/>
        <v>0.85631467269915396</v>
      </c>
      <c r="AB411">
        <f t="shared" ca="1" si="124"/>
        <v>305.7426000000001</v>
      </c>
    </row>
    <row r="412" spans="1:28" x14ac:dyDescent="0.25">
      <c r="A412" s="21">
        <f t="shared" ca="1" si="125"/>
        <v>45887</v>
      </c>
      <c r="B412" vm="1220">
        <f ca="1"/>
        <v>45890</v>
      </c>
      <c r="C412" vm="1221">
        <f ca="1"/>
        <v>313.22000000000003</v>
      </c>
      <c r="D412" vm="1222">
        <f ca="1"/>
        <v>2282444</v>
      </c>
      <c r="E412">
        <f t="shared" ca="1" si="126"/>
        <v>714907109.68000007</v>
      </c>
      <c r="F412">
        <f ca="1">SUM($E$2:E412)/SUM($D$2:D412)</f>
        <v>289.73812835673101</v>
      </c>
      <c r="G412">
        <f ca="1">_xlfn.STDEV.P($C$2:C412)</f>
        <v>17.782367189588768</v>
      </c>
      <c r="H412">
        <f t="shared" ca="1" si="127"/>
        <v>307.52049554631981</v>
      </c>
      <c r="I412">
        <f t="shared" ca="1" si="128"/>
        <v>271.95576116714221</v>
      </c>
      <c r="J412">
        <f t="shared" ca="1" si="137"/>
        <v>305.29149999999998</v>
      </c>
      <c r="K412">
        <f t="shared" ca="1" si="138"/>
        <v>4.5310685099770076</v>
      </c>
      <c r="L412">
        <f t="shared" ca="1" si="139"/>
        <v>314.35363701995402</v>
      </c>
      <c r="M412">
        <f t="shared" ca="1" si="140"/>
        <v>296.22936298004595</v>
      </c>
      <c r="N412">
        <f t="shared" ca="1" si="129"/>
        <v>0.1400000000000432</v>
      </c>
      <c r="O412">
        <f t="shared" ca="1" si="130"/>
        <v>0.1400000000000432</v>
      </c>
      <c r="P412">
        <f t="shared" ca="1" si="131"/>
        <v>0</v>
      </c>
      <c r="Q412">
        <f t="shared" ca="1" si="135"/>
        <v>1.4472270664031388</v>
      </c>
      <c r="R412">
        <f t="shared" ca="1" si="136"/>
        <v>0.80232923434768222</v>
      </c>
      <c r="S412">
        <f t="shared" ca="1" si="133"/>
        <v>1.8037820441377508</v>
      </c>
      <c r="T412">
        <f t="shared" ca="1" si="134"/>
        <v>64.333889572806271</v>
      </c>
      <c r="U412">
        <f>70</f>
        <v>70</v>
      </c>
      <c r="V412">
        <f>30</f>
        <v>30</v>
      </c>
      <c r="W412">
        <f t="shared" ca="1" si="132"/>
        <v>308.23344574269936</v>
      </c>
      <c r="X412">
        <f t="shared" ca="1" si="121"/>
        <v>304.97459375196325</v>
      </c>
      <c r="Y412">
        <f t="shared" ref="Y412:Y475" ca="1" si="141">W413-X413</f>
        <v>3.4830496187852873</v>
      </c>
      <c r="Z412">
        <f t="shared" ca="1" si="122"/>
        <v>2.6186397781866182</v>
      </c>
      <c r="AA412">
        <f t="shared" ca="1" si="123"/>
        <v>0.8644098405986691</v>
      </c>
      <c r="AB412">
        <f t="shared" ca="1" si="124"/>
        <v>305.80390000000011</v>
      </c>
    </row>
    <row r="413" spans="1:28" x14ac:dyDescent="0.25">
      <c r="A413" s="21">
        <f t="shared" ca="1" si="125"/>
        <v>45887</v>
      </c>
      <c r="B413" vm="1223">
        <f ca="1"/>
        <v>45891</v>
      </c>
      <c r="C413" vm="1224">
        <f ca="1"/>
        <v>314.07</v>
      </c>
      <c r="D413" vm="1225">
        <f ca="1"/>
        <v>2796930</v>
      </c>
      <c r="E413">
        <f t="shared" ca="1" si="126"/>
        <v>878431805.10000002</v>
      </c>
      <c r="F413">
        <f ca="1">SUM($E$2:E413)/SUM($D$2:D413)</f>
        <v>289.7852785122077</v>
      </c>
      <c r="G413">
        <f ca="1">_xlfn.STDEV.P($C$2:C413)</f>
        <v>17.798626032480026</v>
      </c>
      <c r="H413">
        <f t="shared" ca="1" si="127"/>
        <v>307.5839045446877</v>
      </c>
      <c r="I413">
        <f t="shared" ca="1" si="128"/>
        <v>271.9866524797277</v>
      </c>
      <c r="J413">
        <f t="shared" ca="1" si="137"/>
        <v>306.07150000000001</v>
      </c>
      <c r="K413">
        <f t="shared" ca="1" si="138"/>
        <v>4.6364815096658907</v>
      </c>
      <c r="L413">
        <f t="shared" ca="1" si="139"/>
        <v>315.34446301933178</v>
      </c>
      <c r="M413">
        <f t="shared" ca="1" si="140"/>
        <v>296.79853698066825</v>
      </c>
      <c r="N413">
        <f t="shared" ca="1" si="129"/>
        <v>0.84999999999996589</v>
      </c>
      <c r="O413">
        <f t="shared" ca="1" si="130"/>
        <v>0.84999999999996589</v>
      </c>
      <c r="P413">
        <f t="shared" ca="1" si="131"/>
        <v>0</v>
      </c>
      <c r="Q413">
        <f t="shared" ca="1" si="135"/>
        <v>1.4045679902314834</v>
      </c>
      <c r="R413">
        <f t="shared" ca="1" si="136"/>
        <v>0.74502000332284779</v>
      </c>
      <c r="S413">
        <f t="shared" ca="1" si="133"/>
        <v>1.8852755415519042</v>
      </c>
      <c r="T413">
        <f t="shared" ca="1" si="134"/>
        <v>65.341265137466564</v>
      </c>
      <c r="U413">
        <f>70</f>
        <v>70</v>
      </c>
      <c r="V413">
        <f>30</f>
        <v>30</v>
      </c>
      <c r="W413">
        <f t="shared" ca="1" si="132"/>
        <v>309.13137716689943</v>
      </c>
      <c r="X413">
        <f t="shared" ref="X413:X476" ca="1" si="142">C413*(2/(26+1)) + X412*(1-(2/(26+1)))</f>
        <v>305.64832754811414</v>
      </c>
      <c r="Y413">
        <f t="shared" ca="1" si="141"/>
        <v>3.568753747669632</v>
      </c>
      <c r="Z413">
        <f t="shared" ca="1" si="122"/>
        <v>2.8086625720832212</v>
      </c>
      <c r="AA413">
        <f t="shared" ca="1" si="123"/>
        <v>0.76009117558641082</v>
      </c>
      <c r="AB413">
        <f t="shared" ca="1" si="124"/>
        <v>305.82090000000005</v>
      </c>
    </row>
    <row r="414" spans="1:28" x14ac:dyDescent="0.25">
      <c r="A414" s="21">
        <f t="shared" ca="1" si="125"/>
        <v>45894</v>
      </c>
      <c r="B414" vm="1226">
        <f ca="1"/>
        <v>45894</v>
      </c>
      <c r="C414" vm="1227">
        <f ca="1"/>
        <v>313.44</v>
      </c>
      <c r="D414" vm="1228">
        <f ca="1"/>
        <v>2944405</v>
      </c>
      <c r="E414">
        <f t="shared" ca="1" si="126"/>
        <v>922894303.20000005</v>
      </c>
      <c r="F414">
        <f ca="1">SUM($E$2:E414)/SUM($D$2:D414)</f>
        <v>289.83343517197579</v>
      </c>
      <c r="G414">
        <f ca="1">_xlfn.STDEV.P($C$2:C414)</f>
        <v>17.812626579980272</v>
      </c>
      <c r="H414">
        <f t="shared" ca="1" si="127"/>
        <v>307.64606175195604</v>
      </c>
      <c r="I414">
        <f t="shared" ca="1" si="128"/>
        <v>272.02080859199555</v>
      </c>
      <c r="J414">
        <f t="shared" ca="1" si="137"/>
        <v>306.78249999999991</v>
      </c>
      <c r="K414">
        <f t="shared" ca="1" si="138"/>
        <v>4.6207972369779631</v>
      </c>
      <c r="L414">
        <f t="shared" ca="1" si="139"/>
        <v>316.02409447395581</v>
      </c>
      <c r="M414">
        <f t="shared" ca="1" si="140"/>
        <v>297.54090552604401</v>
      </c>
      <c r="N414">
        <f t="shared" ca="1" si="129"/>
        <v>-0.62999999999999545</v>
      </c>
      <c r="O414">
        <f t="shared" ca="1" si="130"/>
        <v>0</v>
      </c>
      <c r="P414">
        <f t="shared" ca="1" si="131"/>
        <v>0.62999999999999545</v>
      </c>
      <c r="Q414">
        <f t="shared" ca="1" si="135"/>
        <v>1.3042417052149489</v>
      </c>
      <c r="R414">
        <f t="shared" ca="1" si="136"/>
        <v>0.73680428879978688</v>
      </c>
      <c r="S414">
        <f t="shared" ca="1" si="133"/>
        <v>1.7701331616018223</v>
      </c>
      <c r="T414">
        <f t="shared" ca="1" si="134"/>
        <v>63.90065236352202</v>
      </c>
      <c r="U414">
        <f>70</f>
        <v>70</v>
      </c>
      <c r="V414">
        <f>30</f>
        <v>30</v>
      </c>
      <c r="W414">
        <f t="shared" ca="1" si="132"/>
        <v>309.79424221814565</v>
      </c>
      <c r="X414">
        <f t="shared" ca="1" si="142"/>
        <v>306.22548847047602</v>
      </c>
      <c r="Y414">
        <f t="shared" ca="1" si="141"/>
        <v>3.5553452589303447</v>
      </c>
      <c r="Z414">
        <f t="shared" ca="1" si="122"/>
        <v>2.9579991094526461</v>
      </c>
      <c r="AA414">
        <f t="shared" ca="1" si="123"/>
        <v>0.5973461494776986</v>
      </c>
      <c r="AB414">
        <f t="shared" ca="1" si="124"/>
        <v>305.81900000000007</v>
      </c>
    </row>
    <row r="415" spans="1:28" x14ac:dyDescent="0.25">
      <c r="A415" s="21">
        <f t="shared" ca="1" si="125"/>
        <v>45894</v>
      </c>
      <c r="B415" vm="1229">
        <f ca="1"/>
        <v>45895</v>
      </c>
      <c r="C415" vm="1230">
        <f ca="1"/>
        <v>312.94</v>
      </c>
      <c r="D415" vm="1231">
        <f ca="1"/>
        <v>2807730</v>
      </c>
      <c r="E415">
        <f t="shared" ca="1" si="126"/>
        <v>878651026.20000005</v>
      </c>
      <c r="F415">
        <f ca="1">SUM($E$2:E415)/SUM($D$2:D415)</f>
        <v>289.87820541091583</v>
      </c>
      <c r="G415">
        <f ca="1">_xlfn.STDEV.P($C$2:C415)</f>
        <v>17.824851005357818</v>
      </c>
      <c r="H415">
        <f t="shared" ca="1" si="127"/>
        <v>307.70305641627363</v>
      </c>
      <c r="I415">
        <f t="shared" ca="1" si="128"/>
        <v>272.05335440555803</v>
      </c>
      <c r="J415">
        <f t="shared" ca="1" si="137"/>
        <v>307.29599999999994</v>
      </c>
      <c r="K415">
        <f t="shared" ca="1" si="138"/>
        <v>4.7095204806747315</v>
      </c>
      <c r="L415">
        <f t="shared" ca="1" si="139"/>
        <v>316.71504096134942</v>
      </c>
      <c r="M415">
        <f t="shared" ca="1" si="140"/>
        <v>297.87695903865045</v>
      </c>
      <c r="N415">
        <f t="shared" ca="1" si="129"/>
        <v>-0.5</v>
      </c>
      <c r="O415">
        <f t="shared" ca="1" si="130"/>
        <v>0</v>
      </c>
      <c r="P415">
        <f t="shared" ca="1" si="131"/>
        <v>0.5</v>
      </c>
      <c r="Q415">
        <f t="shared" ca="1" si="135"/>
        <v>1.2110815834138811</v>
      </c>
      <c r="R415">
        <f t="shared" ca="1" si="136"/>
        <v>0.71988969674265924</v>
      </c>
      <c r="S415">
        <f t="shared" ca="1" si="133"/>
        <v>1.6823154837383503</v>
      </c>
      <c r="T415">
        <f t="shared" ca="1" si="134"/>
        <v>62.718777635869387</v>
      </c>
      <c r="U415">
        <f>70</f>
        <v>70</v>
      </c>
      <c r="V415">
        <f>30</f>
        <v>30</v>
      </c>
      <c r="W415">
        <f t="shared" ca="1" si="132"/>
        <v>310.27820495381559</v>
      </c>
      <c r="X415">
        <f t="shared" ca="1" si="142"/>
        <v>306.72285969488524</v>
      </c>
      <c r="Y415">
        <f t="shared" ca="1" si="141"/>
        <v>3.3838674371667707</v>
      </c>
      <c r="Z415">
        <f t="shared" ca="1" si="122"/>
        <v>3.0431727749954716</v>
      </c>
      <c r="AA415">
        <f t="shared" ca="1" si="123"/>
        <v>0.34069466217129918</v>
      </c>
      <c r="AB415">
        <f t="shared" ca="1" si="124"/>
        <v>305.83260000000001</v>
      </c>
    </row>
    <row r="416" spans="1:28" x14ac:dyDescent="0.25">
      <c r="A416" s="21">
        <f t="shared" ca="1" si="125"/>
        <v>45894</v>
      </c>
      <c r="B416" vm="1232">
        <f ca="1"/>
        <v>45896</v>
      </c>
      <c r="C416" vm="1233">
        <f ca="1"/>
        <v>311.43</v>
      </c>
      <c r="D416" vm="1234">
        <f ca="1"/>
        <v>3234836</v>
      </c>
      <c r="E416">
        <f t="shared" ca="1" si="126"/>
        <v>1007424975.48</v>
      </c>
      <c r="F416">
        <f ca="1">SUM($E$2:E416)/SUM($D$2:D416)</f>
        <v>289.92620814784829</v>
      </c>
      <c r="G416">
        <f ca="1">_xlfn.STDEV.P($C$2:C416)</f>
        <v>17.832465125992375</v>
      </c>
      <c r="H416">
        <f t="shared" ca="1" si="127"/>
        <v>307.75867327384066</v>
      </c>
      <c r="I416">
        <f t="shared" ca="1" si="128"/>
        <v>272.09374302185591</v>
      </c>
      <c r="J416">
        <f t="shared" ca="1" si="137"/>
        <v>307.68699999999995</v>
      </c>
      <c r="K416">
        <f t="shared" ca="1" si="138"/>
        <v>4.7120105218361692</v>
      </c>
      <c r="L416">
        <f t="shared" ca="1" si="139"/>
        <v>317.11102104367228</v>
      </c>
      <c r="M416">
        <f t="shared" ca="1" si="140"/>
        <v>298.26297895632763</v>
      </c>
      <c r="N416">
        <f t="shared" ca="1" si="129"/>
        <v>-1.5099999999999909</v>
      </c>
      <c r="O416">
        <f t="shared" ca="1" si="130"/>
        <v>0</v>
      </c>
      <c r="P416">
        <f t="shared" ca="1" si="131"/>
        <v>1.5099999999999909</v>
      </c>
      <c r="Q416">
        <f t="shared" ca="1" si="135"/>
        <v>1.1245757560271754</v>
      </c>
      <c r="R416">
        <f t="shared" ca="1" si="136"/>
        <v>0.77632614697532587</v>
      </c>
      <c r="S416">
        <f t="shared" ca="1" si="133"/>
        <v>1.4485867317604568</v>
      </c>
      <c r="T416">
        <f t="shared" ca="1" si="134"/>
        <v>59.160115219564574</v>
      </c>
      <c r="U416">
        <f>70</f>
        <v>70</v>
      </c>
      <c r="V416">
        <f>30</f>
        <v>30</v>
      </c>
      <c r="W416">
        <f t="shared" ca="1" si="132"/>
        <v>310.45540419169015</v>
      </c>
      <c r="X416">
        <f t="shared" ca="1" si="142"/>
        <v>307.07153675452338</v>
      </c>
      <c r="Y416">
        <f t="shared" ca="1" si="141"/>
        <v>3.2739760675552247</v>
      </c>
      <c r="Z416">
        <f t="shared" ca="1" si="122"/>
        <v>3.0893334335074223</v>
      </c>
      <c r="AA416">
        <f t="shared" ca="1" si="123"/>
        <v>0.18464263404780246</v>
      </c>
      <c r="AB416">
        <f t="shared" ca="1" si="124"/>
        <v>305.76420000000002</v>
      </c>
    </row>
    <row r="417" spans="1:28" x14ac:dyDescent="0.25">
      <c r="A417" s="21">
        <f t="shared" ca="1" si="125"/>
        <v>45894</v>
      </c>
      <c r="B417" vm="1235">
        <f ca="1"/>
        <v>45897</v>
      </c>
      <c r="C417" vm="1236">
        <f ca="1"/>
        <v>312.22000000000003</v>
      </c>
      <c r="D417" vm="1237">
        <f ca="1"/>
        <v>3471683</v>
      </c>
      <c r="E417">
        <f t="shared" ca="1" si="126"/>
        <v>1083928866.26</v>
      </c>
      <c r="F417">
        <f ca="1">SUM($E$2:E417)/SUM($D$2:D417)</f>
        <v>289.97937211729112</v>
      </c>
      <c r="G417">
        <f ca="1">_xlfn.STDEV.P($C$2:C417)</f>
        <v>17.842142238483042</v>
      </c>
      <c r="H417">
        <f t="shared" ca="1" si="127"/>
        <v>307.82151435577418</v>
      </c>
      <c r="I417">
        <f t="shared" ca="1" si="128"/>
        <v>272.13722987880806</v>
      </c>
      <c r="J417">
        <f t="shared" ca="1" si="137"/>
        <v>308.29449999999997</v>
      </c>
      <c r="K417">
        <f t="shared" ca="1" si="138"/>
        <v>4.4544838143865348</v>
      </c>
      <c r="L417">
        <f t="shared" ca="1" si="139"/>
        <v>317.20346762877307</v>
      </c>
      <c r="M417">
        <f t="shared" ca="1" si="140"/>
        <v>299.38553237122687</v>
      </c>
      <c r="N417">
        <f t="shared" ca="1" si="129"/>
        <v>0.79000000000002046</v>
      </c>
      <c r="O417">
        <f t="shared" ca="1" si="130"/>
        <v>0.79000000000002046</v>
      </c>
      <c r="P417">
        <f t="shared" ca="1" si="131"/>
        <v>0</v>
      </c>
      <c r="Q417">
        <f t="shared" ca="1" si="135"/>
        <v>1.1006774877395216</v>
      </c>
      <c r="R417">
        <f t="shared" ca="1" si="136"/>
        <v>0.7208742793342312</v>
      </c>
      <c r="S417">
        <f t="shared" ca="1" si="133"/>
        <v>1.5268646965127683</v>
      </c>
      <c r="T417">
        <f t="shared" ca="1" si="134"/>
        <v>60.425265294969584</v>
      </c>
      <c r="U417">
        <f>70</f>
        <v>70</v>
      </c>
      <c r="V417">
        <f>30</f>
        <v>30</v>
      </c>
      <c r="W417">
        <f t="shared" ca="1" si="132"/>
        <v>310.72688046989168</v>
      </c>
      <c r="X417">
        <f t="shared" ca="1" si="142"/>
        <v>307.45290440233646</v>
      </c>
      <c r="Y417">
        <f t="shared" ca="1" si="141"/>
        <v>3.2558677173745991</v>
      </c>
      <c r="Z417">
        <f t="shared" ca="1" si="122"/>
        <v>3.1226402902808577</v>
      </c>
      <c r="AA417">
        <f t="shared" ca="1" si="123"/>
        <v>0.13322742709374147</v>
      </c>
      <c r="AB417">
        <f t="shared" ca="1" si="124"/>
        <v>305.88529999999997</v>
      </c>
    </row>
    <row r="418" spans="1:28" x14ac:dyDescent="0.25">
      <c r="A418" s="21">
        <f t="shared" ca="1" si="125"/>
        <v>45894</v>
      </c>
      <c r="B418" vm="1238">
        <f ca="1"/>
        <v>45898</v>
      </c>
      <c r="C418" vm="1239">
        <f ca="1"/>
        <v>313.54000000000002</v>
      </c>
      <c r="D418" vm="1240">
        <f ca="1"/>
        <v>2492471</v>
      </c>
      <c r="E418">
        <f t="shared" ca="1" si="126"/>
        <v>781489357.34000003</v>
      </c>
      <c r="F418">
        <f ca="1">SUM($E$2:E418)/SUM($D$2:D418)</f>
        <v>290.01964080332152</v>
      </c>
      <c r="G418">
        <f ca="1">_xlfn.STDEV.P($C$2:C418)</f>
        <v>17.855531408323003</v>
      </c>
      <c r="H418">
        <f t="shared" ca="1" si="127"/>
        <v>307.87517221164455</v>
      </c>
      <c r="I418">
        <f t="shared" ca="1" si="128"/>
        <v>272.16410939499849</v>
      </c>
      <c r="J418">
        <f t="shared" ca="1" si="137"/>
        <v>308.82699999999994</v>
      </c>
      <c r="K418">
        <f t="shared" ca="1" si="138"/>
        <v>4.4107620776078136</v>
      </c>
      <c r="L418">
        <f t="shared" ca="1" si="139"/>
        <v>317.64852415521557</v>
      </c>
      <c r="M418">
        <f t="shared" ca="1" si="140"/>
        <v>300.00547584478431</v>
      </c>
      <c r="N418">
        <f t="shared" ca="1" si="129"/>
        <v>1.3199999999999932</v>
      </c>
      <c r="O418">
        <f t="shared" ca="1" si="130"/>
        <v>1.3199999999999932</v>
      </c>
      <c r="P418">
        <f t="shared" ca="1" si="131"/>
        <v>0</v>
      </c>
      <c r="Q418">
        <f t="shared" ca="1" si="135"/>
        <v>1.1163433814724124</v>
      </c>
      <c r="R418">
        <f t="shared" ca="1" si="136"/>
        <v>0.66938325938178611</v>
      </c>
      <c r="S418">
        <f t="shared" ca="1" si="133"/>
        <v>1.6677193010524638</v>
      </c>
      <c r="T418">
        <f t="shared" ca="1" si="134"/>
        <v>62.514796830180678</v>
      </c>
      <c r="U418">
        <f>70</f>
        <v>70</v>
      </c>
      <c r="V418">
        <f>30</f>
        <v>30</v>
      </c>
      <c r="W418">
        <f t="shared" ca="1" si="132"/>
        <v>311.15966808990834</v>
      </c>
      <c r="X418">
        <f t="shared" ca="1" si="142"/>
        <v>307.90380037253374</v>
      </c>
      <c r="Y418">
        <f t="shared" ca="1" si="141"/>
        <v>3.381670375012277</v>
      </c>
      <c r="Z418">
        <f t="shared" ca="1" si="122"/>
        <v>3.1744463072271421</v>
      </c>
      <c r="AA418">
        <f t="shared" ca="1" si="123"/>
        <v>0.20722406778513491</v>
      </c>
      <c r="AB418">
        <f t="shared" ca="1" si="124"/>
        <v>306.02180000000004</v>
      </c>
    </row>
    <row r="419" spans="1:28" x14ac:dyDescent="0.25">
      <c r="A419" s="21">
        <f t="shared" ca="1" si="125"/>
        <v>45901</v>
      </c>
      <c r="B419" vm="1241">
        <f ca="1"/>
        <v>45902</v>
      </c>
      <c r="C419" vm="1242">
        <f ca="1"/>
        <v>315.76</v>
      </c>
      <c r="D419" vm="1243">
        <f ca="1"/>
        <v>3228651</v>
      </c>
      <c r="E419">
        <f t="shared" ca="1" si="126"/>
        <v>1019478839.76</v>
      </c>
      <c r="F419">
        <f ca="1">SUM($E$2:E419)/SUM($D$2:D419)</f>
        <v>290.07650327565949</v>
      </c>
      <c r="G419">
        <f ca="1">_xlfn.STDEV.P($C$2:C419)</f>
        <v>17.875746650180393</v>
      </c>
      <c r="H419">
        <f t="shared" ca="1" si="127"/>
        <v>307.95224992583991</v>
      </c>
      <c r="I419">
        <f t="shared" ca="1" si="128"/>
        <v>272.20075662547907</v>
      </c>
      <c r="J419">
        <f t="shared" ca="1" si="137"/>
        <v>309.40349999999995</v>
      </c>
      <c r="K419">
        <f t="shared" ca="1" si="138"/>
        <v>4.5301833063876922</v>
      </c>
      <c r="L419">
        <f t="shared" ca="1" si="139"/>
        <v>318.46386661277535</v>
      </c>
      <c r="M419">
        <f t="shared" ca="1" si="140"/>
        <v>300.34313338722455</v>
      </c>
      <c r="N419">
        <f t="shared" ca="1" si="129"/>
        <v>2.2199999999999704</v>
      </c>
      <c r="O419">
        <f t="shared" ca="1" si="130"/>
        <v>2.2199999999999704</v>
      </c>
      <c r="P419">
        <f t="shared" ca="1" si="131"/>
        <v>0</v>
      </c>
      <c r="Q419">
        <f t="shared" ca="1" si="135"/>
        <v>1.1951759970815237</v>
      </c>
      <c r="R419">
        <f t="shared" ca="1" si="136"/>
        <v>0.62157016942594423</v>
      </c>
      <c r="S419">
        <f t="shared" ca="1" si="133"/>
        <v>1.9228335847991826</v>
      </c>
      <c r="T419">
        <f t="shared" ca="1" si="134"/>
        <v>65.786625512970957</v>
      </c>
      <c r="U419">
        <f>70</f>
        <v>70</v>
      </c>
      <c r="V419">
        <f>30</f>
        <v>30</v>
      </c>
      <c r="W419">
        <f t="shared" ca="1" si="132"/>
        <v>311.86741146069164</v>
      </c>
      <c r="X419">
        <f t="shared" ca="1" si="142"/>
        <v>308.48574108567936</v>
      </c>
      <c r="Y419">
        <f t="shared" ca="1" si="141"/>
        <v>3.4919525668935307</v>
      </c>
      <c r="Z419">
        <f t="shared" ca="1" si="122"/>
        <v>3.2379475591604199</v>
      </c>
      <c r="AA419">
        <f t="shared" ca="1" si="123"/>
        <v>0.25400500773311085</v>
      </c>
      <c r="AB419">
        <f t="shared" ca="1" si="124"/>
        <v>306.18110000000001</v>
      </c>
    </row>
    <row r="420" spans="1:28" x14ac:dyDescent="0.25">
      <c r="A420" s="21">
        <f t="shared" ca="1" si="125"/>
        <v>45901</v>
      </c>
      <c r="B420" vm="1244">
        <f ca="1"/>
        <v>45903</v>
      </c>
      <c r="C420" vm="1245">
        <f ca="1"/>
        <v>316.39</v>
      </c>
      <c r="D420" vm="1246">
        <f ca="1"/>
        <v>3219733</v>
      </c>
      <c r="E420">
        <f t="shared" ca="1" si="126"/>
        <v>1018691323.87</v>
      </c>
      <c r="F420">
        <f ca="1">SUM($E$2:E420)/SUM($D$2:D420)</f>
        <v>290.13434387274287</v>
      </c>
      <c r="G420">
        <f ca="1">_xlfn.STDEV.P($C$2:C420)</f>
        <v>17.897757258693623</v>
      </c>
      <c r="H420">
        <f t="shared" ca="1" si="127"/>
        <v>308.03210113143649</v>
      </c>
      <c r="I420">
        <f t="shared" ca="1" si="128"/>
        <v>272.23658661404926</v>
      </c>
      <c r="J420">
        <f t="shared" ca="1" si="137"/>
        <v>310.28450000000004</v>
      </c>
      <c r="K420">
        <f t="shared" ca="1" si="138"/>
        <v>4.0402272929808509</v>
      </c>
      <c r="L420">
        <f t="shared" ca="1" si="139"/>
        <v>318.36495458596175</v>
      </c>
      <c r="M420">
        <f t="shared" ca="1" si="140"/>
        <v>302.20404541403832</v>
      </c>
      <c r="N420">
        <f t="shared" ca="1" si="129"/>
        <v>0.62999999999999545</v>
      </c>
      <c r="O420">
        <f t="shared" ca="1" si="130"/>
        <v>0.62999999999999545</v>
      </c>
      <c r="P420">
        <f t="shared" ca="1" si="131"/>
        <v>0</v>
      </c>
      <c r="Q420">
        <f t="shared" ca="1" si="135"/>
        <v>1.1548062830042716</v>
      </c>
      <c r="R420">
        <f t="shared" ca="1" si="136"/>
        <v>0.57717230018123389</v>
      </c>
      <c r="S420">
        <f t="shared" ca="1" si="133"/>
        <v>2.0007999043641886</v>
      </c>
      <c r="T420">
        <f t="shared" ca="1" si="134"/>
        <v>66.675552123763453</v>
      </c>
      <c r="U420">
        <f>70</f>
        <v>70</v>
      </c>
      <c r="V420">
        <f>30</f>
        <v>30</v>
      </c>
      <c r="W420">
        <f t="shared" ca="1" si="132"/>
        <v>312.56319431289296</v>
      </c>
      <c r="X420">
        <f t="shared" ca="1" si="142"/>
        <v>309.07124174599943</v>
      </c>
      <c r="Y420">
        <f t="shared" ca="1" si="141"/>
        <v>3.5864249101977634</v>
      </c>
      <c r="Z420">
        <f t="shared" ca="1" si="122"/>
        <v>3.3076430293678887</v>
      </c>
      <c r="AA420">
        <f t="shared" ca="1" si="123"/>
        <v>0.27878188082987476</v>
      </c>
      <c r="AB420">
        <f t="shared" ca="1" si="124"/>
        <v>306.30539999999996</v>
      </c>
    </row>
    <row r="421" spans="1:28" x14ac:dyDescent="0.25">
      <c r="A421" s="21">
        <f t="shared" ca="1" si="125"/>
        <v>45901</v>
      </c>
      <c r="B421" vm="1247">
        <f ca="1"/>
        <v>45904</v>
      </c>
      <c r="C421" vm="1248">
        <f ca="1"/>
        <v>316.99</v>
      </c>
      <c r="D421" vm="1249">
        <f ca="1"/>
        <v>2881528</v>
      </c>
      <c r="E421">
        <f t="shared" ca="1" si="126"/>
        <v>913415560.72000003</v>
      </c>
      <c r="F421">
        <f ca="1">SUM($E$2:E421)/SUM($D$2:D421)</f>
        <v>290.18707164636623</v>
      </c>
      <c r="G421">
        <f ca="1">_xlfn.STDEV.P($C$2:C421)</f>
        <v>17.921478912842804</v>
      </c>
      <c r="H421">
        <f t="shared" ca="1" si="127"/>
        <v>308.10855055920905</v>
      </c>
      <c r="I421">
        <f t="shared" ca="1" si="128"/>
        <v>272.26559273352342</v>
      </c>
      <c r="J421">
        <f t="shared" ca="1" si="137"/>
        <v>310.75100000000003</v>
      </c>
      <c r="K421">
        <f t="shared" ca="1" si="138"/>
        <v>4.2542151233558334</v>
      </c>
      <c r="L421">
        <f t="shared" ca="1" si="139"/>
        <v>319.2594302467117</v>
      </c>
      <c r="M421">
        <f t="shared" ca="1" si="140"/>
        <v>302.24256975328836</v>
      </c>
      <c r="N421">
        <f t="shared" ca="1" si="129"/>
        <v>0.60000000000002274</v>
      </c>
      <c r="O421">
        <f t="shared" ca="1" si="130"/>
        <v>0.60000000000002274</v>
      </c>
      <c r="P421">
        <f t="shared" ca="1" si="131"/>
        <v>0</v>
      </c>
      <c r="Q421">
        <f t="shared" ca="1" si="135"/>
        <v>1.1151772627896823</v>
      </c>
      <c r="R421">
        <f t="shared" ca="1" si="136"/>
        <v>0.53594570731114577</v>
      </c>
      <c r="S421">
        <f t="shared" ca="1" si="133"/>
        <v>2.080765360328301</v>
      </c>
      <c r="T421">
        <f t="shared" ca="1" si="134"/>
        <v>67.540533502576281</v>
      </c>
      <c r="U421">
        <f>70</f>
        <v>70</v>
      </c>
      <c r="V421">
        <f>30</f>
        <v>30</v>
      </c>
      <c r="W421">
        <f t="shared" ca="1" si="132"/>
        <v>313.24424134167867</v>
      </c>
      <c r="X421">
        <f t="shared" ca="1" si="142"/>
        <v>309.65781643148091</v>
      </c>
      <c r="Y421">
        <f t="shared" ca="1" si="141"/>
        <v>3.4113656360321443</v>
      </c>
      <c r="Z421">
        <f t="shared" ca="1" si="122"/>
        <v>3.3283875507007399</v>
      </c>
      <c r="AA421">
        <f t="shared" ca="1" si="123"/>
        <v>8.2978085331404383E-2</v>
      </c>
      <c r="AB421">
        <f t="shared" ca="1" si="124"/>
        <v>306.40750000000003</v>
      </c>
    </row>
    <row r="422" spans="1:28" x14ac:dyDescent="0.25">
      <c r="A422" s="21">
        <f t="shared" ca="1" si="125"/>
        <v>45901</v>
      </c>
      <c r="B422" vm="1250">
        <f ca="1"/>
        <v>45905</v>
      </c>
      <c r="C422" vm="1251">
        <f ca="1"/>
        <v>314.38</v>
      </c>
      <c r="D422" vm="1252">
        <f ca="1"/>
        <v>2533259</v>
      </c>
      <c r="E422">
        <f t="shared" ca="1" si="126"/>
        <v>796405964.41999996</v>
      </c>
      <c r="F422">
        <f ca="1">SUM($E$2:E422)/SUM($D$2:D422)</f>
        <v>290.22875857284203</v>
      </c>
      <c r="G422">
        <f ca="1">_xlfn.STDEV.P($C$2:C422)</f>
        <v>17.936333256306199</v>
      </c>
      <c r="H422">
        <f t="shared" ca="1" si="127"/>
        <v>308.1650918291482</v>
      </c>
      <c r="I422">
        <f t="shared" ca="1" si="128"/>
        <v>272.29242531653586</v>
      </c>
      <c r="J422">
        <f t="shared" ca="1" si="137"/>
        <v>311.07450000000006</v>
      </c>
      <c r="K422">
        <f t="shared" ca="1" si="138"/>
        <v>4.2727650051779937</v>
      </c>
      <c r="L422">
        <f t="shared" ca="1" si="139"/>
        <v>319.62003001035606</v>
      </c>
      <c r="M422">
        <f t="shared" ca="1" si="140"/>
        <v>302.52896998964405</v>
      </c>
      <c r="N422">
        <f t="shared" ca="1" si="129"/>
        <v>-2.6100000000000136</v>
      </c>
      <c r="O422">
        <f t="shared" ca="1" si="130"/>
        <v>0</v>
      </c>
      <c r="P422">
        <f t="shared" ca="1" si="131"/>
        <v>2.6100000000000136</v>
      </c>
      <c r="Q422">
        <f t="shared" ca="1" si="135"/>
        <v>1.0355217440189908</v>
      </c>
      <c r="R422">
        <f t="shared" ca="1" si="136"/>
        <v>0.68409244250320778</v>
      </c>
      <c r="S422">
        <f t="shared" ca="1" si="133"/>
        <v>1.5137160998736441</v>
      </c>
      <c r="T422">
        <f t="shared" ca="1" si="134"/>
        <v>60.218260126898713</v>
      </c>
      <c r="U422">
        <f>70</f>
        <v>70</v>
      </c>
      <c r="V422">
        <f>30</f>
        <v>30</v>
      </c>
      <c r="W422">
        <f t="shared" ca="1" si="132"/>
        <v>313.41897344295887</v>
      </c>
      <c r="X422">
        <f t="shared" ca="1" si="142"/>
        <v>310.00760780692673</v>
      </c>
      <c r="Y422">
        <f t="shared" ca="1" si="141"/>
        <v>3.1092950863464353</v>
      </c>
      <c r="Z422">
        <f t="shared" ref="Z422:Z485" ca="1" si="143">Y422*(2/(9+1)) + Z421*(1-(2/(9+1)))</f>
        <v>3.284569057829879</v>
      </c>
      <c r="AA422">
        <f t="shared" ref="AA422:AA485" ca="1" si="144">Y422-Z422</f>
        <v>-0.1752739714834437</v>
      </c>
      <c r="AB422">
        <f t="shared" ref="AB422:AB485" ca="1" si="145">AVERAGE(C323:C422)</f>
        <v>306.45229999999998</v>
      </c>
    </row>
    <row r="423" spans="1:28" x14ac:dyDescent="0.25">
      <c r="A423" s="21">
        <f t="shared" ca="1" si="125"/>
        <v>45908</v>
      </c>
      <c r="B423" vm="1253">
        <f ca="1"/>
        <v>45908</v>
      </c>
      <c r="C423" vm="1254">
        <f ca="1"/>
        <v>312.8</v>
      </c>
      <c r="D423" vm="1255">
        <f ca="1"/>
        <v>2873797</v>
      </c>
      <c r="E423">
        <f t="shared" ca="1" si="126"/>
        <v>898923701.60000002</v>
      </c>
      <c r="F423">
        <f ca="1">SUM($E$2:E423)/SUM($D$2:D423)</f>
        <v>290.27279329636156</v>
      </c>
      <c r="G423">
        <f ca="1">_xlfn.STDEV.P($C$2:C423)</f>
        <v>17.946244399126396</v>
      </c>
      <c r="H423">
        <f t="shared" ca="1" si="127"/>
        <v>308.21903769548794</v>
      </c>
      <c r="I423">
        <f t="shared" ca="1" si="128"/>
        <v>272.32654889723517</v>
      </c>
      <c r="J423">
        <f t="shared" ca="1" si="137"/>
        <v>311.44200000000006</v>
      </c>
      <c r="K423">
        <f t="shared" ca="1" si="138"/>
        <v>4.0750532447280294</v>
      </c>
      <c r="L423">
        <f t="shared" ca="1" si="139"/>
        <v>319.59210648945611</v>
      </c>
      <c r="M423">
        <f t="shared" ca="1" si="140"/>
        <v>303.29189351054401</v>
      </c>
      <c r="N423">
        <f t="shared" ca="1" si="129"/>
        <v>-1.5799999999999841</v>
      </c>
      <c r="O423">
        <f t="shared" ca="1" si="130"/>
        <v>0</v>
      </c>
      <c r="P423">
        <f t="shared" ca="1" si="131"/>
        <v>1.5799999999999841</v>
      </c>
      <c r="Q423">
        <f t="shared" ca="1" si="135"/>
        <v>0.96155590516049139</v>
      </c>
      <c r="R423">
        <f t="shared" ca="1" si="136"/>
        <v>0.74808583946726326</v>
      </c>
      <c r="S423">
        <f t="shared" ca="1" si="133"/>
        <v>1.285355041401729</v>
      </c>
      <c r="T423">
        <f t="shared" ca="1" si="134"/>
        <v>56.243122758438133</v>
      </c>
      <c r="U423">
        <f>70</f>
        <v>70</v>
      </c>
      <c r="V423">
        <f>30</f>
        <v>30</v>
      </c>
      <c r="W423">
        <f t="shared" ca="1" si="132"/>
        <v>313.32374675942674</v>
      </c>
      <c r="X423">
        <f t="shared" ca="1" si="142"/>
        <v>310.2144516730803</v>
      </c>
      <c r="Y423">
        <f t="shared" ca="1" si="141"/>
        <v>2.814860381192716</v>
      </c>
      <c r="Z423">
        <f t="shared" ca="1" si="143"/>
        <v>3.1906273225024466</v>
      </c>
      <c r="AA423">
        <f t="shared" ca="1" si="144"/>
        <v>-0.37576694130973065</v>
      </c>
      <c r="AB423">
        <f t="shared" ca="1" si="145"/>
        <v>306.4196</v>
      </c>
    </row>
    <row r="424" spans="1:28" x14ac:dyDescent="0.25">
      <c r="A424" s="21">
        <f t="shared" ca="1" si="125"/>
        <v>45908</v>
      </c>
      <c r="B424" vm="1256">
        <f ca="1"/>
        <v>45909</v>
      </c>
      <c r="C424" vm="1257">
        <f ca="1"/>
        <v>312.52</v>
      </c>
      <c r="D424" vm="1258">
        <f ca="1"/>
        <v>2310842</v>
      </c>
      <c r="E424">
        <f t="shared" ca="1" si="126"/>
        <v>722184341.83999991</v>
      </c>
      <c r="F424">
        <f ca="1">SUM($E$2:E424)/SUM($D$2:D424)</f>
        <v>290.30763895814238</v>
      </c>
      <c r="G424">
        <f ca="1">_xlfn.STDEV.P($C$2:C424)</f>
        <v>17.955163649381859</v>
      </c>
      <c r="H424">
        <f t="shared" ca="1" si="127"/>
        <v>308.26280260752424</v>
      </c>
      <c r="I424">
        <f t="shared" ca="1" si="128"/>
        <v>272.35247530876052</v>
      </c>
      <c r="J424">
        <f t="shared" ca="1" si="137"/>
        <v>311.85000000000008</v>
      </c>
      <c r="K424">
        <f t="shared" ca="1" si="138"/>
        <v>3.7218642753612801</v>
      </c>
      <c r="L424">
        <f t="shared" ca="1" si="139"/>
        <v>319.29372855072262</v>
      </c>
      <c r="M424">
        <f t="shared" ca="1" si="140"/>
        <v>304.40627144927754</v>
      </c>
      <c r="N424">
        <f t="shared" ca="1" si="129"/>
        <v>-0.28000000000002956</v>
      </c>
      <c r="O424">
        <f t="shared" ca="1" si="130"/>
        <v>0</v>
      </c>
      <c r="P424">
        <f t="shared" ca="1" si="131"/>
        <v>0.28000000000002956</v>
      </c>
      <c r="Q424">
        <f t="shared" ca="1" si="135"/>
        <v>0.89287334050617062</v>
      </c>
      <c r="R424">
        <f t="shared" ca="1" si="136"/>
        <v>0.71465113664817514</v>
      </c>
      <c r="S424">
        <f t="shared" ca="1" si="133"/>
        <v>1.2493835029688545</v>
      </c>
      <c r="T424">
        <f t="shared" ca="1" si="134"/>
        <v>55.543374498828349</v>
      </c>
      <c r="U424">
        <f>70</f>
        <v>70</v>
      </c>
      <c r="V424">
        <f>30</f>
        <v>30</v>
      </c>
      <c r="W424">
        <f t="shared" ca="1" si="132"/>
        <v>313.20009341182259</v>
      </c>
      <c r="X424">
        <f t="shared" ca="1" si="142"/>
        <v>310.38523303062988</v>
      </c>
      <c r="Y424">
        <f t="shared" ca="1" si="141"/>
        <v>2.0271994540074161</v>
      </c>
      <c r="Z424">
        <f t="shared" ca="1" si="143"/>
        <v>2.9579417488034405</v>
      </c>
      <c r="AA424">
        <f t="shared" ca="1" si="144"/>
        <v>-0.93074229479602444</v>
      </c>
      <c r="AB424">
        <f t="shared" ca="1" si="145"/>
        <v>306.42</v>
      </c>
    </row>
    <row r="425" spans="1:28" x14ac:dyDescent="0.25">
      <c r="A425" s="21">
        <f t="shared" ca="1" si="125"/>
        <v>45908</v>
      </c>
      <c r="B425" vm="1259">
        <f ca="1"/>
        <v>45910</v>
      </c>
      <c r="C425" vm="1260">
        <f ca="1"/>
        <v>305.94</v>
      </c>
      <c r="D425" vm="1261">
        <f ca="1"/>
        <v>3479927</v>
      </c>
      <c r="E425">
        <f t="shared" ca="1" si="126"/>
        <v>1064648866.38</v>
      </c>
      <c r="F425">
        <f ca="1">SUM($E$2:E425)/SUM($D$2:D425)</f>
        <v>290.34442427659025</v>
      </c>
      <c r="G425">
        <f ca="1">_xlfn.STDEV.P($C$2:C425)</f>
        <v>17.94831051832573</v>
      </c>
      <c r="H425">
        <f t="shared" ca="1" si="127"/>
        <v>308.29273479491599</v>
      </c>
      <c r="I425">
        <f t="shared" ca="1" si="128"/>
        <v>272.39611375826451</v>
      </c>
      <c r="J425">
        <f t="shared" ca="1" si="137"/>
        <v>312.065</v>
      </c>
      <c r="K425">
        <f t="shared" ca="1" si="138"/>
        <v>3.1867546600197985</v>
      </c>
      <c r="L425">
        <f t="shared" ca="1" si="139"/>
        <v>318.4385093200396</v>
      </c>
      <c r="M425">
        <f t="shared" ca="1" si="140"/>
        <v>305.6914906799604</v>
      </c>
      <c r="N425">
        <f t="shared" ca="1" si="129"/>
        <v>-6.5799999999999841</v>
      </c>
      <c r="O425">
        <f t="shared" ca="1" si="130"/>
        <v>0</v>
      </c>
      <c r="P425">
        <f t="shared" ca="1" si="131"/>
        <v>6.5799999999999841</v>
      </c>
      <c r="Q425">
        <f t="shared" ca="1" si="135"/>
        <v>0.82909667332715842</v>
      </c>
      <c r="R425">
        <f t="shared" ca="1" si="136"/>
        <v>1.1336046268875901</v>
      </c>
      <c r="S425">
        <f t="shared" ca="1" si="133"/>
        <v>0.73138081272966859</v>
      </c>
      <c r="T425">
        <f t="shared" ca="1" si="134"/>
        <v>42.242631277435997</v>
      </c>
      <c r="U425">
        <f>70</f>
        <v>70</v>
      </c>
      <c r="V425">
        <f>30</f>
        <v>30</v>
      </c>
      <c r="W425">
        <f t="shared" ca="1" si="132"/>
        <v>312.08315596384989</v>
      </c>
      <c r="X425">
        <f t="shared" ca="1" si="142"/>
        <v>310.05595650984247</v>
      </c>
      <c r="Y425">
        <f t="shared" ca="1" si="141"/>
        <v>1.5856166825202536</v>
      </c>
      <c r="Z425">
        <f t="shared" ca="1" si="143"/>
        <v>2.6834767355468032</v>
      </c>
      <c r="AA425">
        <f t="shared" ca="1" si="144"/>
        <v>-1.0978600530265497</v>
      </c>
      <c r="AB425">
        <f t="shared" ca="1" si="145"/>
        <v>306.38839999999999</v>
      </c>
    </row>
    <row r="426" spans="1:28" x14ac:dyDescent="0.25">
      <c r="A426" s="21">
        <f t="shared" ca="1" si="125"/>
        <v>45908</v>
      </c>
      <c r="B426" vm="1262">
        <f ca="1"/>
        <v>45911</v>
      </c>
      <c r="C426" vm="1263">
        <f ca="1"/>
        <v>308.43</v>
      </c>
      <c r="D426" vm="1264">
        <f ca="1"/>
        <v>2761496</v>
      </c>
      <c r="E426">
        <f t="shared" ca="1" si="126"/>
        <v>851728211.27999997</v>
      </c>
      <c r="F426">
        <f ca="1">SUM($E$2:E426)/SUM($D$2:D426)</f>
        <v>290.37813331357722</v>
      </c>
      <c r="G426">
        <f ca="1">_xlfn.STDEV.P($C$2:C426)</f>
        <v>17.94662975560524</v>
      </c>
      <c r="H426">
        <f t="shared" ca="1" si="127"/>
        <v>308.32476306918244</v>
      </c>
      <c r="I426">
        <f t="shared" ca="1" si="128"/>
        <v>272.43150355797201</v>
      </c>
      <c r="J426">
        <f t="shared" ca="1" si="137"/>
        <v>312.23300000000006</v>
      </c>
      <c r="K426">
        <f t="shared" ca="1" si="138"/>
        <v>2.8715612844803289</v>
      </c>
      <c r="L426">
        <f t="shared" ca="1" si="139"/>
        <v>317.9761225689607</v>
      </c>
      <c r="M426">
        <f t="shared" ca="1" si="140"/>
        <v>306.48987743103942</v>
      </c>
      <c r="N426">
        <f t="shared" ca="1" si="129"/>
        <v>2.4900000000000091</v>
      </c>
      <c r="O426">
        <f t="shared" ca="1" si="130"/>
        <v>2.4900000000000091</v>
      </c>
      <c r="P426">
        <f t="shared" ca="1" si="131"/>
        <v>0</v>
      </c>
      <c r="Q426">
        <f t="shared" ca="1" si="135"/>
        <v>0.94773262523236201</v>
      </c>
      <c r="R426">
        <f t="shared" ca="1" si="136"/>
        <v>1.0526328678241907</v>
      </c>
      <c r="S426">
        <f t="shared" ca="1" si="133"/>
        <v>0.90034489155876418</v>
      </c>
      <c r="T426">
        <f t="shared" ca="1" si="134"/>
        <v>47.377973101517028</v>
      </c>
      <c r="U426">
        <f>70</f>
        <v>70</v>
      </c>
      <c r="V426">
        <f>30</f>
        <v>30</v>
      </c>
      <c r="W426">
        <f t="shared" ca="1" si="132"/>
        <v>311.52113196941144</v>
      </c>
      <c r="X426">
        <f t="shared" ca="1" si="142"/>
        <v>309.93551528689119</v>
      </c>
      <c r="Y426">
        <f t="shared" ca="1" si="141"/>
        <v>0.97986816716684189</v>
      </c>
      <c r="Z426">
        <f t="shared" ca="1" si="143"/>
        <v>2.3427550218708109</v>
      </c>
      <c r="AA426">
        <f t="shared" ca="1" si="144"/>
        <v>-1.362886854703969</v>
      </c>
      <c r="AB426">
        <f t="shared" ca="1" si="145"/>
        <v>306.35969999999998</v>
      </c>
    </row>
    <row r="427" spans="1:28" x14ac:dyDescent="0.25">
      <c r="A427" s="21">
        <f t="shared" ca="1" si="125"/>
        <v>45908</v>
      </c>
      <c r="B427" vm="1265">
        <f ca="1"/>
        <v>45912</v>
      </c>
      <c r="C427" vm="1266">
        <f ca="1"/>
        <v>305.39999999999998</v>
      </c>
      <c r="D427" vm="1267">
        <f ca="1"/>
        <v>2072848</v>
      </c>
      <c r="E427">
        <f t="shared" ca="1" si="126"/>
        <v>633047779.19999993</v>
      </c>
      <c r="F427">
        <f ca="1">SUM($E$2:E427)/SUM($D$2:D427)</f>
        <v>290.39912047817944</v>
      </c>
      <c r="G427">
        <f ca="1">_xlfn.STDEV.P($C$2:C427)</f>
        <v>17.93866267126095</v>
      </c>
      <c r="H427">
        <f t="shared" ca="1" si="127"/>
        <v>308.33778314944038</v>
      </c>
      <c r="I427">
        <f t="shared" ca="1" si="128"/>
        <v>272.4604578069185</v>
      </c>
      <c r="J427">
        <f t="shared" ca="1" si="137"/>
        <v>312.05549999999999</v>
      </c>
      <c r="K427">
        <f t="shared" ca="1" si="138"/>
        <v>3.1784893382995989</v>
      </c>
      <c r="L427">
        <f t="shared" ca="1" si="139"/>
        <v>318.41247867659922</v>
      </c>
      <c r="M427">
        <f t="shared" ca="1" si="140"/>
        <v>305.69852132340077</v>
      </c>
      <c r="N427">
        <f t="shared" ca="1" si="129"/>
        <v>-3.0300000000000296</v>
      </c>
      <c r="O427">
        <f t="shared" ca="1" si="130"/>
        <v>0</v>
      </c>
      <c r="P427">
        <f t="shared" ca="1" si="131"/>
        <v>3.0300000000000296</v>
      </c>
      <c r="Q427">
        <f t="shared" ca="1" si="135"/>
        <v>0.8800374377157647</v>
      </c>
      <c r="R427">
        <f t="shared" ca="1" si="136"/>
        <v>1.1938733772653218</v>
      </c>
      <c r="S427">
        <f t="shared" ca="1" si="133"/>
        <v>0.73712795215483606</v>
      </c>
      <c r="T427">
        <f t="shared" ca="1" si="134"/>
        <v>42.433716597586205</v>
      </c>
      <c r="U427">
        <f>70</f>
        <v>70</v>
      </c>
      <c r="V427">
        <f>30</f>
        <v>30</v>
      </c>
      <c r="W427">
        <f t="shared" ca="1" si="132"/>
        <v>310.57941935873276</v>
      </c>
      <c r="X427">
        <f t="shared" ca="1" si="142"/>
        <v>309.59955119156592</v>
      </c>
      <c r="Y427">
        <f t="shared" ca="1" si="141"/>
        <v>0.22847126007042107</v>
      </c>
      <c r="Z427">
        <f t="shared" ca="1" si="143"/>
        <v>1.9198982695107329</v>
      </c>
      <c r="AA427">
        <f t="shared" ca="1" si="144"/>
        <v>-1.6914270094403119</v>
      </c>
      <c r="AB427">
        <f t="shared" ca="1" si="145"/>
        <v>306.32649999999995</v>
      </c>
    </row>
    <row r="428" spans="1:28" x14ac:dyDescent="0.25">
      <c r="A428" s="21">
        <f t="shared" ca="1" si="125"/>
        <v>45915</v>
      </c>
      <c r="B428" vm="1268">
        <f ca="1"/>
        <v>45915</v>
      </c>
      <c r="C428" vm="1269">
        <f ca="1"/>
        <v>302.07</v>
      </c>
      <c r="D428" vm="1270">
        <f ca="1"/>
        <v>3584545</v>
      </c>
      <c r="E428">
        <f t="shared" ca="1" si="126"/>
        <v>1082783508.1499999</v>
      </c>
      <c r="F428">
        <f ca="1">SUM($E$2:E428)/SUM($D$2:D428)</f>
        <v>290.42724933239782</v>
      </c>
      <c r="G428">
        <f ca="1">_xlfn.STDEV.P($C$2:C428)</f>
        <v>17.925256130770908</v>
      </c>
      <c r="H428">
        <f t="shared" ca="1" si="127"/>
        <v>308.35250546316871</v>
      </c>
      <c r="I428">
        <f t="shared" ca="1" si="128"/>
        <v>272.50199320162693</v>
      </c>
      <c r="J428">
        <f t="shared" ca="1" si="137"/>
        <v>311.71249999999998</v>
      </c>
      <c r="K428">
        <f t="shared" ca="1" si="138"/>
        <v>3.8357156403576416</v>
      </c>
      <c r="L428">
        <f t="shared" ca="1" si="139"/>
        <v>319.38393128071527</v>
      </c>
      <c r="M428">
        <f t="shared" ca="1" si="140"/>
        <v>304.04106871928468</v>
      </c>
      <c r="N428">
        <f t="shared" ca="1" si="129"/>
        <v>-3.3299999999999841</v>
      </c>
      <c r="O428">
        <f t="shared" ca="1" si="130"/>
        <v>0</v>
      </c>
      <c r="P428">
        <f t="shared" ca="1" si="131"/>
        <v>3.3299999999999841</v>
      </c>
      <c r="Q428">
        <f t="shared" ca="1" si="135"/>
        <v>0.81717762073606715</v>
      </c>
      <c r="R428">
        <f t="shared" ca="1" si="136"/>
        <v>1.3464538503177976</v>
      </c>
      <c r="S428">
        <f t="shared" ca="1" si="133"/>
        <v>0.6069109762233531</v>
      </c>
      <c r="T428">
        <f t="shared" ca="1" si="134"/>
        <v>37.768798969171726</v>
      </c>
      <c r="U428">
        <f>70</f>
        <v>70</v>
      </c>
      <c r="V428">
        <f>30</f>
        <v>30</v>
      </c>
      <c r="W428">
        <f t="shared" ca="1" si="132"/>
        <v>309.27027791892772</v>
      </c>
      <c r="X428">
        <f t="shared" ca="1" si="142"/>
        <v>309.0418066588573</v>
      </c>
      <c r="Y428">
        <f t="shared" ca="1" si="141"/>
        <v>-0.26551174417977563</v>
      </c>
      <c r="Z428">
        <f t="shared" ca="1" si="143"/>
        <v>1.4828162667726312</v>
      </c>
      <c r="AA428">
        <f t="shared" ca="1" si="144"/>
        <v>-1.7483280109524069</v>
      </c>
      <c r="AB428">
        <f t="shared" ca="1" si="145"/>
        <v>306.15640000000002</v>
      </c>
    </row>
    <row r="429" spans="1:28" x14ac:dyDescent="0.25">
      <c r="A429" s="21">
        <f t="shared" ca="1" si="125"/>
        <v>45915</v>
      </c>
      <c r="B429" vm="1271">
        <f ca="1"/>
        <v>45916</v>
      </c>
      <c r="C429" vm="1272">
        <f ca="1"/>
        <v>303.29000000000002</v>
      </c>
      <c r="D429" vm="1273">
        <f ca="1"/>
        <v>3578515</v>
      </c>
      <c r="E429">
        <f t="shared" ca="1" si="126"/>
        <v>1085327814.3500001</v>
      </c>
      <c r="F429">
        <f ca="1">SUM($E$2:E429)/SUM($D$2:D429)</f>
        <v>290.45812436347552</v>
      </c>
      <c r="G429">
        <f ca="1">_xlfn.STDEV.P($C$2:C429)</f>
        <v>17.913675091635202</v>
      </c>
      <c r="H429">
        <f t="shared" ca="1" si="127"/>
        <v>308.3717994551107</v>
      </c>
      <c r="I429">
        <f t="shared" ca="1" si="128"/>
        <v>272.54444927184034</v>
      </c>
      <c r="J429">
        <f t="shared" ca="1" si="137"/>
        <v>311.44200000000001</v>
      </c>
      <c r="K429">
        <f t="shared" ca="1" si="138"/>
        <v>4.2298533009276369</v>
      </c>
      <c r="L429">
        <f t="shared" ca="1" si="139"/>
        <v>319.90170660185527</v>
      </c>
      <c r="M429">
        <f t="shared" ca="1" si="140"/>
        <v>302.98229339814475</v>
      </c>
      <c r="N429">
        <f t="shared" ca="1" si="129"/>
        <v>1.2200000000000273</v>
      </c>
      <c r="O429">
        <f t="shared" ca="1" si="130"/>
        <v>1.2200000000000273</v>
      </c>
      <c r="P429">
        <f t="shared" ca="1" si="131"/>
        <v>0</v>
      </c>
      <c r="Q429">
        <f t="shared" ca="1" si="135"/>
        <v>0.84595064782634999</v>
      </c>
      <c r="R429">
        <f t="shared" ca="1" si="136"/>
        <v>1.2502785752950978</v>
      </c>
      <c r="S429">
        <f t="shared" ca="1" si="133"/>
        <v>0.67660972885717408</v>
      </c>
      <c r="T429">
        <f t="shared" ca="1" si="134"/>
        <v>40.355827430297154</v>
      </c>
      <c r="U429">
        <f>70</f>
        <v>70</v>
      </c>
      <c r="V429">
        <f>30</f>
        <v>30</v>
      </c>
      <c r="W429">
        <f t="shared" ca="1" si="132"/>
        <v>308.35023516216961</v>
      </c>
      <c r="X429">
        <f t="shared" ca="1" si="142"/>
        <v>308.61574690634939</v>
      </c>
      <c r="Y429">
        <f t="shared" ca="1" si="141"/>
        <v>-0.51549259657883795</v>
      </c>
      <c r="Z429">
        <f t="shared" ca="1" si="143"/>
        <v>1.0831544941023374</v>
      </c>
      <c r="AA429">
        <f t="shared" ca="1" si="144"/>
        <v>-1.5986470906811754</v>
      </c>
      <c r="AB429">
        <f t="shared" ca="1" si="145"/>
        <v>306.00449999999995</v>
      </c>
    </row>
    <row r="430" spans="1:28" x14ac:dyDescent="0.25">
      <c r="A430" s="21">
        <f t="shared" ca="1" si="125"/>
        <v>45915</v>
      </c>
      <c r="B430" vm="1274">
        <f ca="1"/>
        <v>45917</v>
      </c>
      <c r="C430" vm="1275">
        <f ca="1"/>
        <v>304.97000000000003</v>
      </c>
      <c r="D430" vm="1276">
        <f ca="1"/>
        <v>2681606</v>
      </c>
      <c r="E430">
        <f t="shared" ca="1" si="126"/>
        <v>817809381.82000005</v>
      </c>
      <c r="F430">
        <f ca="1">SUM($E$2:E430)/SUM($D$2:D430)</f>
        <v>290.48418042376551</v>
      </c>
      <c r="G430">
        <f ca="1">_xlfn.STDEV.P($C$2:C430)</f>
        <v>17.904892944259867</v>
      </c>
      <c r="H430">
        <f t="shared" ca="1" si="127"/>
        <v>308.38907336802538</v>
      </c>
      <c r="I430">
        <f t="shared" ca="1" si="128"/>
        <v>272.57928747950564</v>
      </c>
      <c r="J430">
        <f t="shared" ca="1" si="137"/>
        <v>311.14400000000001</v>
      </c>
      <c r="K430">
        <f t="shared" ca="1" si="138"/>
        <v>4.4709005333318874</v>
      </c>
      <c r="L430">
        <f t="shared" ca="1" si="139"/>
        <v>320.08580106666381</v>
      </c>
      <c r="M430">
        <f t="shared" ca="1" si="140"/>
        <v>302.20219893333621</v>
      </c>
      <c r="N430">
        <f t="shared" ca="1" si="129"/>
        <v>1.6800000000000068</v>
      </c>
      <c r="O430">
        <f t="shared" ca="1" si="130"/>
        <v>1.6800000000000068</v>
      </c>
      <c r="P430">
        <f t="shared" ca="1" si="131"/>
        <v>0</v>
      </c>
      <c r="Q430">
        <f t="shared" ca="1" si="135"/>
        <v>0.90552560155303985</v>
      </c>
      <c r="R430">
        <f t="shared" ca="1" si="136"/>
        <v>1.1609729627740195</v>
      </c>
      <c r="S430">
        <f t="shared" ca="1" si="133"/>
        <v>0.77997130905562539</v>
      </c>
      <c r="T430">
        <f t="shared" ca="1" si="134"/>
        <v>43.819319170343476</v>
      </c>
      <c r="U430">
        <f>70</f>
        <v>70</v>
      </c>
      <c r="V430">
        <f>30</f>
        <v>30</v>
      </c>
      <c r="W430">
        <f t="shared" ca="1" si="132"/>
        <v>307.83019898337426</v>
      </c>
      <c r="X430">
        <f t="shared" ca="1" si="142"/>
        <v>308.3456915799531</v>
      </c>
      <c r="Y430">
        <f t="shared" ca="1" si="141"/>
        <v>-1.0109990467880721</v>
      </c>
      <c r="Z430">
        <f t="shared" ca="1" si="143"/>
        <v>0.66432378592425556</v>
      </c>
      <c r="AA430">
        <f t="shared" ca="1" si="144"/>
        <v>-1.6753228327123275</v>
      </c>
      <c r="AB430">
        <f t="shared" ca="1" si="145"/>
        <v>305.892</v>
      </c>
    </row>
    <row r="431" spans="1:28" x14ac:dyDescent="0.25">
      <c r="A431" s="21">
        <f t="shared" ca="1" si="125"/>
        <v>45915</v>
      </c>
      <c r="B431" vm="1277">
        <f ca="1"/>
        <v>45918</v>
      </c>
      <c r="C431" vm="1278">
        <f ca="1"/>
        <v>301.14</v>
      </c>
      <c r="D431" vm="1279">
        <f ca="1"/>
        <v>4654057</v>
      </c>
      <c r="E431">
        <f t="shared" ca="1" si="126"/>
        <v>1401522724.98</v>
      </c>
      <c r="F431">
        <f ca="1">SUM($E$2:E431)/SUM($D$2:D431)</f>
        <v>290.51728267698945</v>
      </c>
      <c r="G431">
        <f ca="1">_xlfn.STDEV.P($C$2:C431)</f>
        <v>17.890277878940886</v>
      </c>
      <c r="H431">
        <f t="shared" ca="1" si="127"/>
        <v>308.40756055593033</v>
      </c>
      <c r="I431">
        <f t="shared" ca="1" si="128"/>
        <v>272.62700479804857</v>
      </c>
      <c r="J431">
        <f t="shared" ca="1" si="137"/>
        <v>310.54700000000003</v>
      </c>
      <c r="K431">
        <f t="shared" ca="1" si="138"/>
        <v>4.9682879609738704</v>
      </c>
      <c r="L431">
        <f t="shared" ca="1" si="139"/>
        <v>320.48357592194776</v>
      </c>
      <c r="M431">
        <f t="shared" ca="1" si="140"/>
        <v>300.61042407805229</v>
      </c>
      <c r="N431">
        <f t="shared" ca="1" si="129"/>
        <v>-3.8300000000000409</v>
      </c>
      <c r="O431">
        <f t="shared" ca="1" si="130"/>
        <v>0</v>
      </c>
      <c r="P431">
        <f t="shared" ca="1" si="131"/>
        <v>3.8300000000000409</v>
      </c>
      <c r="Q431">
        <f t="shared" ca="1" si="135"/>
        <v>0.84084520144210839</v>
      </c>
      <c r="R431">
        <f t="shared" ca="1" si="136"/>
        <v>1.3516177511473069</v>
      </c>
      <c r="S431">
        <f t="shared" ca="1" si="133"/>
        <v>0.62210281030148173</v>
      </c>
      <c r="T431">
        <f t="shared" ca="1" si="134"/>
        <v>38.351626441351065</v>
      </c>
      <c r="U431">
        <f>70</f>
        <v>70</v>
      </c>
      <c r="V431">
        <f>30</f>
        <v>30</v>
      </c>
      <c r="W431">
        <f t="shared" ca="1" si="132"/>
        <v>306.80093760131666</v>
      </c>
      <c r="X431">
        <f t="shared" ca="1" si="142"/>
        <v>307.81193664810473</v>
      </c>
      <c r="Y431">
        <f t="shared" ca="1" si="141"/>
        <v>-1.2887776155071151</v>
      </c>
      <c r="Z431">
        <f t="shared" ca="1" si="143"/>
        <v>0.2737035056379814</v>
      </c>
      <c r="AA431">
        <f t="shared" ca="1" si="144"/>
        <v>-1.5624811211450966</v>
      </c>
      <c r="AB431">
        <f t="shared" ca="1" si="145"/>
        <v>305.73600000000005</v>
      </c>
    </row>
    <row r="432" spans="1:28" x14ac:dyDescent="0.25">
      <c r="A432" s="21">
        <f t="shared" ca="1" si="125"/>
        <v>45915</v>
      </c>
      <c r="B432" vm="1280">
        <f ca="1"/>
        <v>45919</v>
      </c>
      <c r="C432" vm="1281">
        <f ca="1"/>
        <v>302.38</v>
      </c>
      <c r="D432" vm="1282">
        <f ca="1"/>
        <v>5696853</v>
      </c>
      <c r="E432">
        <f t="shared" ca="1" si="126"/>
        <v>1722614410.1399999</v>
      </c>
      <c r="F432">
        <f ca="1">SUM($E$2:E432)/SUM($D$2:D432)</f>
        <v>290.56222028007522</v>
      </c>
      <c r="G432">
        <f ca="1">_xlfn.STDEV.P($C$2:C432)</f>
        <v>17.877357881968543</v>
      </c>
      <c r="H432">
        <f t="shared" ca="1" si="127"/>
        <v>308.43957816204374</v>
      </c>
      <c r="I432">
        <f t="shared" ca="1" si="128"/>
        <v>272.6848623981067</v>
      </c>
      <c r="J432">
        <f t="shared" ca="1" si="137"/>
        <v>310.005</v>
      </c>
      <c r="K432">
        <f t="shared" ca="1" si="138"/>
        <v>5.2449148304760271</v>
      </c>
      <c r="L432">
        <f t="shared" ca="1" si="139"/>
        <v>320.49482966095206</v>
      </c>
      <c r="M432">
        <f t="shared" ca="1" si="140"/>
        <v>299.51517033904793</v>
      </c>
      <c r="N432">
        <f t="shared" ca="1" si="129"/>
        <v>1.2400000000000091</v>
      </c>
      <c r="O432">
        <f t="shared" ca="1" si="130"/>
        <v>1.2400000000000091</v>
      </c>
      <c r="P432">
        <f t="shared" ca="1" si="131"/>
        <v>0</v>
      </c>
      <c r="Q432">
        <f t="shared" ca="1" si="135"/>
        <v>0.86935625848195841</v>
      </c>
      <c r="R432">
        <f t="shared" ca="1" si="136"/>
        <v>1.2550736260653566</v>
      </c>
      <c r="S432">
        <f t="shared" ca="1" si="133"/>
        <v>0.69267351367057384</v>
      </c>
      <c r="T432">
        <f t="shared" ca="1" si="134"/>
        <v>40.921861663003554</v>
      </c>
      <c r="U432">
        <f>70</f>
        <v>70</v>
      </c>
      <c r="V432">
        <f>30</f>
        <v>30</v>
      </c>
      <c r="W432">
        <f t="shared" ca="1" si="132"/>
        <v>306.12079335496026</v>
      </c>
      <c r="X432">
        <f t="shared" ca="1" si="142"/>
        <v>307.40957097046737</v>
      </c>
      <c r="Y432">
        <f t="shared" ca="1" si="141"/>
        <v>-1.4430625042127758</v>
      </c>
      <c r="Z432">
        <f t="shared" ca="1" si="143"/>
        <v>-6.9649696332170052E-2</v>
      </c>
      <c r="AA432">
        <f t="shared" ca="1" si="144"/>
        <v>-1.3734128078806058</v>
      </c>
      <c r="AB432">
        <f t="shared" ca="1" si="145"/>
        <v>305.5917</v>
      </c>
    </row>
    <row r="433" spans="1:28" x14ac:dyDescent="0.25">
      <c r="A433" s="21">
        <f t="shared" ca="1" si="125"/>
        <v>45922</v>
      </c>
      <c r="B433" vm="1283">
        <f ca="1"/>
        <v>45922</v>
      </c>
      <c r="C433" vm="1284">
        <f ca="1"/>
        <v>302.99</v>
      </c>
      <c r="D433" vm="1285">
        <f ca="1"/>
        <v>3657877</v>
      </c>
      <c r="E433">
        <f t="shared" ca="1" si="126"/>
        <v>1108300152.23</v>
      </c>
      <c r="F433">
        <f ca="1">SUM($E$2:E433)/SUM($D$2:D433)</f>
        <v>290.59237520804129</v>
      </c>
      <c r="G433">
        <f ca="1">_xlfn.STDEV.P($C$2:C433)</f>
        <v>17.865342233037865</v>
      </c>
      <c r="H433">
        <f t="shared" ca="1" si="127"/>
        <v>308.45771744107913</v>
      </c>
      <c r="I433">
        <f t="shared" ca="1" si="128"/>
        <v>272.72703297500345</v>
      </c>
      <c r="J433">
        <f t="shared" ca="1" si="137"/>
        <v>309.45100000000002</v>
      </c>
      <c r="K433">
        <f t="shared" ca="1" si="138"/>
        <v>5.3764651858574179</v>
      </c>
      <c r="L433">
        <f t="shared" ca="1" si="139"/>
        <v>320.20393037171488</v>
      </c>
      <c r="M433">
        <f t="shared" ca="1" si="140"/>
        <v>298.69806962828517</v>
      </c>
      <c r="N433">
        <f t="shared" ca="1" si="129"/>
        <v>0.61000000000001364</v>
      </c>
      <c r="O433">
        <f t="shared" ca="1" si="130"/>
        <v>0.61000000000001364</v>
      </c>
      <c r="P433">
        <f t="shared" ca="1" si="131"/>
        <v>0</v>
      </c>
      <c r="Q433">
        <f t="shared" ca="1" si="135"/>
        <v>0.8508308114475337</v>
      </c>
      <c r="R433">
        <f t="shared" ca="1" si="136"/>
        <v>1.1654255099178312</v>
      </c>
      <c r="S433">
        <f t="shared" ca="1" si="133"/>
        <v>0.7300602262494853</v>
      </c>
      <c r="T433">
        <f t="shared" ca="1" si="134"/>
        <v>42.198544025958441</v>
      </c>
      <c r="U433">
        <f>70</f>
        <v>70</v>
      </c>
      <c r="V433">
        <f>30</f>
        <v>30</v>
      </c>
      <c r="W433">
        <f t="shared" ca="1" si="132"/>
        <v>305.63913283881254</v>
      </c>
      <c r="X433">
        <f t="shared" ca="1" si="142"/>
        <v>307.08219534302532</v>
      </c>
      <c r="Y433">
        <f t="shared" ca="1" si="141"/>
        <v>-1.5315414055723977</v>
      </c>
      <c r="Z433">
        <f t="shared" ca="1" si="143"/>
        <v>-0.36202803818021562</v>
      </c>
      <c r="AA433">
        <f t="shared" ca="1" si="144"/>
        <v>-1.169513367392182</v>
      </c>
      <c r="AB433">
        <f t="shared" ca="1" si="145"/>
        <v>305.47660000000002</v>
      </c>
    </row>
    <row r="434" spans="1:28" x14ac:dyDescent="0.25">
      <c r="A434" s="21">
        <f t="shared" ca="1" si="125"/>
        <v>45922</v>
      </c>
      <c r="B434" vm="1286">
        <f ca="1"/>
        <v>45923</v>
      </c>
      <c r="C434" vm="1287">
        <f ca="1"/>
        <v>303.19</v>
      </c>
      <c r="D434" vm="1288">
        <f ca="1"/>
        <v>2976905</v>
      </c>
      <c r="E434">
        <f t="shared" ca="1" si="126"/>
        <v>902567826.95000005</v>
      </c>
      <c r="F434">
        <f ca="1">SUM($E$2:E434)/SUM($D$2:D434)</f>
        <v>290.61720268232523</v>
      </c>
      <c r="G434">
        <f ca="1">_xlfn.STDEV.P($C$2:C434)</f>
        <v>17.853635102196971</v>
      </c>
      <c r="H434">
        <f t="shared" ca="1" si="127"/>
        <v>308.47083778452219</v>
      </c>
      <c r="I434">
        <f t="shared" ca="1" si="128"/>
        <v>272.76356758012827</v>
      </c>
      <c r="J434">
        <f t="shared" ca="1" si="137"/>
        <v>308.93850000000003</v>
      </c>
      <c r="K434">
        <f t="shared" ca="1" si="138"/>
        <v>5.464026156791828</v>
      </c>
      <c r="L434">
        <f t="shared" ca="1" si="139"/>
        <v>319.86655231358367</v>
      </c>
      <c r="M434">
        <f t="shared" ca="1" si="140"/>
        <v>298.0104476864164</v>
      </c>
      <c r="N434">
        <f t="shared" ca="1" si="129"/>
        <v>0.19999999999998863</v>
      </c>
      <c r="O434">
        <f t="shared" ca="1" si="130"/>
        <v>0.19999999999998863</v>
      </c>
      <c r="P434">
        <f t="shared" ca="1" si="131"/>
        <v>0</v>
      </c>
      <c r="Q434">
        <f t="shared" ca="1" si="135"/>
        <v>0.80434289634413758</v>
      </c>
      <c r="R434">
        <f t="shared" ca="1" si="136"/>
        <v>1.0821808306379861</v>
      </c>
      <c r="S434">
        <f t="shared" ca="1" si="133"/>
        <v>0.74326108314998274</v>
      </c>
      <c r="T434">
        <f t="shared" ca="1" si="134"/>
        <v>42.636245960756973</v>
      </c>
      <c r="U434">
        <f>70</f>
        <v>70</v>
      </c>
      <c r="V434">
        <f>30</f>
        <v>30</v>
      </c>
      <c r="W434">
        <f t="shared" ca="1" si="132"/>
        <v>305.26234317130292</v>
      </c>
      <c r="X434">
        <f t="shared" ca="1" si="142"/>
        <v>306.79388457687531</v>
      </c>
      <c r="Y434">
        <f t="shared" ca="1" si="141"/>
        <v>-1.492468847884652</v>
      </c>
      <c r="Z434">
        <f t="shared" ca="1" si="143"/>
        <v>-0.58811620012110288</v>
      </c>
      <c r="AA434">
        <f t="shared" ca="1" si="144"/>
        <v>-0.90435264776354907</v>
      </c>
      <c r="AB434">
        <f t="shared" ca="1" si="145"/>
        <v>305.31200000000001</v>
      </c>
    </row>
    <row r="435" spans="1:28" x14ac:dyDescent="0.25">
      <c r="A435" s="21">
        <f t="shared" ca="1" si="125"/>
        <v>45922</v>
      </c>
      <c r="B435" vm="1289">
        <f ca="1"/>
        <v>45924</v>
      </c>
      <c r="C435" vm="1290">
        <f ca="1"/>
        <v>304.33</v>
      </c>
      <c r="D435" vm="1291">
        <f ca="1"/>
        <v>2427617</v>
      </c>
      <c r="E435">
        <f t="shared" ca="1" si="126"/>
        <v>738796681.61000001</v>
      </c>
      <c r="F435">
        <f ca="1">SUM($E$2:E435)/SUM($D$2:D435)</f>
        <v>290.63920597637815</v>
      </c>
      <c r="G435">
        <f ca="1">_xlfn.STDEV.P($C$2:C435)</f>
        <v>17.843740970844959</v>
      </c>
      <c r="H435">
        <f t="shared" ca="1" si="127"/>
        <v>308.48294694722313</v>
      </c>
      <c r="I435">
        <f t="shared" ca="1" si="128"/>
        <v>272.79546500553317</v>
      </c>
      <c r="J435">
        <f t="shared" ca="1" si="137"/>
        <v>308.50800000000004</v>
      </c>
      <c r="K435">
        <f t="shared" ca="1" si="138"/>
        <v>5.4713402572428569</v>
      </c>
      <c r="L435">
        <f t="shared" ca="1" si="139"/>
        <v>319.45068051448573</v>
      </c>
      <c r="M435">
        <f t="shared" ca="1" si="140"/>
        <v>297.56531948551435</v>
      </c>
      <c r="N435">
        <f t="shared" ca="1" si="129"/>
        <v>1.1399999999999864</v>
      </c>
      <c r="O435">
        <f t="shared" ca="1" si="130"/>
        <v>1.1399999999999864</v>
      </c>
      <c r="P435">
        <f t="shared" ca="1" si="131"/>
        <v>0</v>
      </c>
      <c r="Q435">
        <f t="shared" ca="1" si="135"/>
        <v>0.82831840374812682</v>
      </c>
      <c r="R435">
        <f t="shared" ca="1" si="136"/>
        <v>1.0048821998781299</v>
      </c>
      <c r="S435">
        <f t="shared" ca="1" si="133"/>
        <v>0.82429403550842439</v>
      </c>
      <c r="T435">
        <f t="shared" ca="1" si="134"/>
        <v>45.184275092951033</v>
      </c>
      <c r="U435">
        <f>70</f>
        <v>70</v>
      </c>
      <c r="V435">
        <f>30</f>
        <v>30</v>
      </c>
      <c r="W435">
        <f t="shared" ca="1" si="132"/>
        <v>305.11890576033323</v>
      </c>
      <c r="X435">
        <f t="shared" ca="1" si="142"/>
        <v>306.61137460821789</v>
      </c>
      <c r="Y435">
        <f t="shared" ca="1" si="141"/>
        <v>-1.6067855750764579</v>
      </c>
      <c r="Z435">
        <f t="shared" ca="1" si="143"/>
        <v>-0.79185007511217398</v>
      </c>
      <c r="AA435">
        <f t="shared" ca="1" si="144"/>
        <v>-0.81493549996428394</v>
      </c>
      <c r="AB435">
        <f t="shared" ca="1" si="145"/>
        <v>305.21890000000002</v>
      </c>
    </row>
    <row r="436" spans="1:28" x14ac:dyDescent="0.25">
      <c r="A436" s="21">
        <f t="shared" ca="1" si="125"/>
        <v>45922</v>
      </c>
      <c r="B436" vm="1292">
        <f ca="1"/>
        <v>45925</v>
      </c>
      <c r="C436" vm="1293">
        <f ca="1"/>
        <v>302.3</v>
      </c>
      <c r="D436" vm="1294">
        <f ca="1"/>
        <v>2558353</v>
      </c>
      <c r="E436">
        <f t="shared" ca="1" si="126"/>
        <v>773390111.89999998</v>
      </c>
      <c r="F436">
        <f ca="1">SUM($E$2:E436)/SUM($D$2:D436)</f>
        <v>290.65889101624879</v>
      </c>
      <c r="G436">
        <f ca="1">_xlfn.STDEV.P($C$2:C436)</f>
        <v>17.830748160776885</v>
      </c>
      <c r="H436">
        <f t="shared" ca="1" si="127"/>
        <v>308.48963917702565</v>
      </c>
      <c r="I436">
        <f t="shared" ca="1" si="128"/>
        <v>272.82814285547192</v>
      </c>
      <c r="J436">
        <f t="shared" ca="1" si="137"/>
        <v>308.05149999999998</v>
      </c>
      <c r="K436">
        <f t="shared" ca="1" si="138"/>
        <v>5.5942124933767614</v>
      </c>
      <c r="L436">
        <f t="shared" ca="1" si="139"/>
        <v>319.23992498675352</v>
      </c>
      <c r="M436">
        <f t="shared" ca="1" si="140"/>
        <v>296.86307501324643</v>
      </c>
      <c r="N436">
        <f t="shared" ca="1" si="129"/>
        <v>-2.0299999999999727</v>
      </c>
      <c r="O436">
        <f t="shared" ca="1" si="130"/>
        <v>0</v>
      </c>
      <c r="P436">
        <f t="shared" ca="1" si="131"/>
        <v>2.0299999999999727</v>
      </c>
      <c r="Q436">
        <f t="shared" ca="1" si="135"/>
        <v>0.76915280348040349</v>
      </c>
      <c r="R436">
        <f t="shared" ca="1" si="136"/>
        <v>1.078104899886833</v>
      </c>
      <c r="S436">
        <f t="shared" ca="1" si="133"/>
        <v>0.71343039398219998</v>
      </c>
      <c r="T436">
        <f t="shared" ca="1" si="134"/>
        <v>41.637547488819173</v>
      </c>
      <c r="U436">
        <f>70</f>
        <v>70</v>
      </c>
      <c r="V436">
        <f>30</f>
        <v>30</v>
      </c>
      <c r="W436">
        <f t="shared" ca="1" si="132"/>
        <v>304.68522795105122</v>
      </c>
      <c r="X436">
        <f t="shared" ca="1" si="142"/>
        <v>306.29201352612768</v>
      </c>
      <c r="Y436">
        <f t="shared" ca="1" si="141"/>
        <v>-1.4435091012230714</v>
      </c>
      <c r="Z436">
        <f t="shared" ca="1" si="143"/>
        <v>-0.92218188033435355</v>
      </c>
      <c r="AA436">
        <f t="shared" ca="1" si="144"/>
        <v>-0.52132722088871786</v>
      </c>
      <c r="AB436">
        <f t="shared" ca="1" si="145"/>
        <v>305.12230000000005</v>
      </c>
    </row>
    <row r="437" spans="1:28" x14ac:dyDescent="0.25">
      <c r="A437" s="21">
        <f t="shared" ca="1" si="125"/>
        <v>45922</v>
      </c>
      <c r="B437" vm="1295">
        <f ca="1"/>
        <v>45926</v>
      </c>
      <c r="C437" vm="1296">
        <f ca="1"/>
        <v>305.24</v>
      </c>
      <c r="D437" vm="1297">
        <f ca="1"/>
        <v>2284795</v>
      </c>
      <c r="E437">
        <f t="shared" ca="1" si="126"/>
        <v>697410825.80000007</v>
      </c>
      <c r="F437">
        <f ca="1">SUM($E$2:E437)/SUM($D$2:D437)</f>
        <v>290.68084085023565</v>
      </c>
      <c r="G437">
        <f ca="1">_xlfn.STDEV.P($C$2:C437)</f>
        <v>17.822400988733211</v>
      </c>
      <c r="H437">
        <f t="shared" ca="1" si="127"/>
        <v>308.50324183896885</v>
      </c>
      <c r="I437">
        <f t="shared" ca="1" si="128"/>
        <v>272.85843986150246</v>
      </c>
      <c r="J437">
        <f t="shared" ca="1" si="137"/>
        <v>307.70249999999999</v>
      </c>
      <c r="K437">
        <f t="shared" ca="1" si="138"/>
        <v>5.5379132256416614</v>
      </c>
      <c r="L437">
        <f t="shared" ca="1" si="139"/>
        <v>318.77832645128331</v>
      </c>
      <c r="M437">
        <f t="shared" ca="1" si="140"/>
        <v>296.62667354871667</v>
      </c>
      <c r="N437">
        <f t="shared" ca="1" si="129"/>
        <v>2.9399999999999977</v>
      </c>
      <c r="O437">
        <f t="shared" ca="1" si="130"/>
        <v>2.9399999999999977</v>
      </c>
      <c r="P437">
        <f t="shared" ca="1" si="131"/>
        <v>0</v>
      </c>
      <c r="Q437">
        <f t="shared" ca="1" si="135"/>
        <v>0.92421331751751734</v>
      </c>
      <c r="R437">
        <f t="shared" ca="1" si="136"/>
        <v>1.0010974070377734</v>
      </c>
      <c r="S437">
        <f t="shared" ca="1" si="133"/>
        <v>0.92320019113049701</v>
      </c>
      <c r="T437">
        <f t="shared" ca="1" si="134"/>
        <v>48.003332954528297</v>
      </c>
      <c r="U437">
        <f>70</f>
        <v>70</v>
      </c>
      <c r="V437">
        <f>30</f>
        <v>30</v>
      </c>
      <c r="W437">
        <f t="shared" ca="1" si="132"/>
        <v>304.77057749704329</v>
      </c>
      <c r="X437">
        <f t="shared" ca="1" si="142"/>
        <v>306.21408659826636</v>
      </c>
      <c r="Y437">
        <f t="shared" ca="1" si="141"/>
        <v>-1.4786228712670209</v>
      </c>
      <c r="Z437">
        <f t="shared" ca="1" si="143"/>
        <v>-1.033470078520887</v>
      </c>
      <c r="AA437">
        <f t="shared" ca="1" si="144"/>
        <v>-0.44515279274613384</v>
      </c>
      <c r="AB437">
        <f t="shared" ca="1" si="145"/>
        <v>305.0175000000001</v>
      </c>
    </row>
    <row r="438" spans="1:28" x14ac:dyDescent="0.25">
      <c r="A438" s="21">
        <f t="shared" ca="1" si="125"/>
        <v>45929</v>
      </c>
      <c r="B438" vm="1298">
        <f ca="1"/>
        <v>45929</v>
      </c>
      <c r="C438" vm="1284">
        <f ca="1"/>
        <v>302.99</v>
      </c>
      <c r="D438" vm="1299">
        <f ca="1"/>
        <v>3073835</v>
      </c>
      <c r="E438">
        <f t="shared" ca="1" si="126"/>
        <v>931341266.64999998</v>
      </c>
      <c r="F438">
        <f ca="1">SUM($E$2:E438)/SUM($D$2:D438)</f>
        <v>290.70571932356773</v>
      </c>
      <c r="G438">
        <f ca="1">_xlfn.STDEV.P($C$2:C438)</f>
        <v>17.810405626579026</v>
      </c>
      <c r="H438">
        <f t="shared" ca="1" si="127"/>
        <v>308.51612495014678</v>
      </c>
      <c r="I438">
        <f t="shared" ca="1" si="128"/>
        <v>272.89531369698869</v>
      </c>
      <c r="J438">
        <f t="shared" ca="1" si="137"/>
        <v>307.1749999999999</v>
      </c>
      <c r="K438">
        <f t="shared" ca="1" si="138"/>
        <v>5.4544395244897315</v>
      </c>
      <c r="L438">
        <f t="shared" ca="1" si="139"/>
        <v>318.08387904897938</v>
      </c>
      <c r="M438">
        <f t="shared" ca="1" si="140"/>
        <v>296.26612095102041</v>
      </c>
      <c r="N438">
        <f t="shared" ca="1" si="129"/>
        <v>-2.25</v>
      </c>
      <c r="O438">
        <f t="shared" ca="1" si="130"/>
        <v>0</v>
      </c>
      <c r="P438">
        <f t="shared" ca="1" si="131"/>
        <v>2.25</v>
      </c>
      <c r="Q438">
        <f t="shared" ca="1" si="135"/>
        <v>0.85819808055198032</v>
      </c>
      <c r="R438">
        <f t="shared" ca="1" si="136"/>
        <v>1.0903047351065038</v>
      </c>
      <c r="S438">
        <f t="shared" ca="1" si="133"/>
        <v>0.78711763135482415</v>
      </c>
      <c r="T438">
        <f t="shared" ca="1" si="134"/>
        <v>44.043974360999719</v>
      </c>
      <c r="U438">
        <f>70</f>
        <v>70</v>
      </c>
      <c r="V438">
        <f>30</f>
        <v>30</v>
      </c>
      <c r="W438">
        <f t="shared" ca="1" si="132"/>
        <v>304.49664249749816</v>
      </c>
      <c r="X438">
        <f t="shared" ca="1" si="142"/>
        <v>305.97526536876518</v>
      </c>
      <c r="Y438">
        <f t="shared" ca="1" si="141"/>
        <v>-1.4174883848767195</v>
      </c>
      <c r="Z438">
        <f t="shared" ca="1" si="143"/>
        <v>-1.1102737397920537</v>
      </c>
      <c r="AA438">
        <f t="shared" ca="1" si="144"/>
        <v>-0.30721464508466578</v>
      </c>
      <c r="AB438">
        <f t="shared" ca="1" si="145"/>
        <v>304.87950000000006</v>
      </c>
    </row>
    <row r="439" spans="1:28" x14ac:dyDescent="0.25">
      <c r="A439" s="21">
        <f t="shared" ca="1" si="125"/>
        <v>45929</v>
      </c>
      <c r="B439" vm="1300">
        <f ca="1"/>
        <v>45930</v>
      </c>
      <c r="C439" vm="1301">
        <f ca="1"/>
        <v>303.89</v>
      </c>
      <c r="D439" vm="1302">
        <f ca="1"/>
        <v>2640436</v>
      </c>
      <c r="E439">
        <f t="shared" ca="1" si="126"/>
        <v>802402096.03999996</v>
      </c>
      <c r="F439">
        <f ca="1">SUM($E$2:E439)/SUM($D$2:D439)</f>
        <v>290.72856970854582</v>
      </c>
      <c r="G439">
        <f ca="1">_xlfn.STDEV.P($C$2:C439)</f>
        <v>17.799786560203209</v>
      </c>
      <c r="H439">
        <f t="shared" ca="1" si="127"/>
        <v>308.52835626874901</v>
      </c>
      <c r="I439">
        <f t="shared" ca="1" si="128"/>
        <v>272.92878314834263</v>
      </c>
      <c r="J439">
        <f t="shared" ca="1" si="137"/>
        <v>306.58150000000001</v>
      </c>
      <c r="K439">
        <f t="shared" ca="1" si="138"/>
        <v>5.1057833823389336</v>
      </c>
      <c r="L439">
        <f t="shared" ca="1" si="139"/>
        <v>316.79306676467786</v>
      </c>
      <c r="M439">
        <f t="shared" ca="1" si="140"/>
        <v>296.36993323532215</v>
      </c>
      <c r="N439">
        <f t="shared" ca="1" si="129"/>
        <v>0.89999999999997726</v>
      </c>
      <c r="O439">
        <f t="shared" ca="1" si="130"/>
        <v>0.89999999999997726</v>
      </c>
      <c r="P439">
        <f t="shared" ca="1" si="131"/>
        <v>0</v>
      </c>
      <c r="Q439">
        <f t="shared" ca="1" si="135"/>
        <v>0.86118393194112297</v>
      </c>
      <c r="R439">
        <f t="shared" ca="1" si="136"/>
        <v>1.0124258254560392</v>
      </c>
      <c r="S439">
        <f t="shared" ca="1" si="133"/>
        <v>0.85061434654060653</v>
      </c>
      <c r="T439">
        <f t="shared" ca="1" si="134"/>
        <v>45.963890214656466</v>
      </c>
      <c r="U439">
        <f>70</f>
        <v>70</v>
      </c>
      <c r="V439">
        <f>30</f>
        <v>30</v>
      </c>
      <c r="W439">
        <f t="shared" ca="1" si="132"/>
        <v>304.40331288249843</v>
      </c>
      <c r="X439">
        <f t="shared" ca="1" si="142"/>
        <v>305.82080126737515</v>
      </c>
      <c r="Y439">
        <f t="shared" ca="1" si="141"/>
        <v>-1.6222691902988231</v>
      </c>
      <c r="Z439">
        <f t="shared" ca="1" si="143"/>
        <v>-1.2126728298934075</v>
      </c>
      <c r="AA439">
        <f t="shared" ca="1" si="144"/>
        <v>-0.40959636040541558</v>
      </c>
      <c r="AB439">
        <f t="shared" ca="1" si="145"/>
        <v>304.73710000000005</v>
      </c>
    </row>
    <row r="440" spans="1:28" x14ac:dyDescent="0.25">
      <c r="A440" s="21">
        <f t="shared" ca="1" si="125"/>
        <v>45929</v>
      </c>
      <c r="B440" vm="1303">
        <f ca="1"/>
        <v>45931</v>
      </c>
      <c r="C440" vm="1304">
        <f ca="1"/>
        <v>300.52</v>
      </c>
      <c r="D440" vm="1305">
        <f ca="1"/>
        <v>3055347</v>
      </c>
      <c r="E440">
        <f t="shared" ca="1" si="126"/>
        <v>918192880.43999994</v>
      </c>
      <c r="F440">
        <f ca="1">SUM($E$2:E440)/SUM($D$2:D440)</f>
        <v>290.74816708833612</v>
      </c>
      <c r="G440">
        <f ca="1">_xlfn.STDEV.P($C$2:C440)</f>
        <v>17.784595474838081</v>
      </c>
      <c r="H440">
        <f t="shared" ca="1" si="127"/>
        <v>308.53276256317417</v>
      </c>
      <c r="I440">
        <f t="shared" ca="1" si="128"/>
        <v>272.96357161349806</v>
      </c>
      <c r="J440">
        <f t="shared" ca="1" si="137"/>
        <v>305.78800000000001</v>
      </c>
      <c r="K440">
        <f t="shared" ca="1" si="138"/>
        <v>4.7197999511576096</v>
      </c>
      <c r="L440">
        <f t="shared" ca="1" si="139"/>
        <v>315.22759990231521</v>
      </c>
      <c r="M440">
        <f t="shared" ca="1" si="140"/>
        <v>296.34840009768482</v>
      </c>
      <c r="N440">
        <f t="shared" ca="1" si="129"/>
        <v>-3.3700000000000045</v>
      </c>
      <c r="O440">
        <f t="shared" ca="1" si="130"/>
        <v>0</v>
      </c>
      <c r="P440">
        <f t="shared" ca="1" si="131"/>
        <v>3.3700000000000045</v>
      </c>
      <c r="Q440">
        <f t="shared" ca="1" si="135"/>
        <v>0.79967079394532858</v>
      </c>
      <c r="R440">
        <f t="shared" ca="1" si="136"/>
        <v>1.1808239807806082</v>
      </c>
      <c r="S440">
        <f t="shared" ca="1" si="133"/>
        <v>0.67721422240822848</v>
      </c>
      <c r="T440">
        <f t="shared" ca="1" si="134"/>
        <v>40.377324098519168</v>
      </c>
      <c r="U440">
        <f>70</f>
        <v>70</v>
      </c>
      <c r="V440">
        <f>30</f>
        <v>30</v>
      </c>
      <c r="W440">
        <f t="shared" ca="1" si="132"/>
        <v>303.80588013134485</v>
      </c>
      <c r="X440">
        <f t="shared" ca="1" si="142"/>
        <v>305.42814932164367</v>
      </c>
      <c r="Y440">
        <f t="shared" ca="1" si="141"/>
        <v>-1.8152767251417572</v>
      </c>
      <c r="Z440">
        <f t="shared" ca="1" si="143"/>
        <v>-1.3331936089430774</v>
      </c>
      <c r="AA440">
        <f t="shared" ca="1" si="144"/>
        <v>-0.48208311619867983</v>
      </c>
      <c r="AB440">
        <f t="shared" ca="1" si="145"/>
        <v>304.60740000000004</v>
      </c>
    </row>
    <row r="441" spans="1:28" x14ac:dyDescent="0.25">
      <c r="A441" s="21">
        <f t="shared" ca="1" si="125"/>
        <v>45929</v>
      </c>
      <c r="B441" vm="1306">
        <f ca="1"/>
        <v>45932</v>
      </c>
      <c r="C441" vm="1307">
        <f ca="1"/>
        <v>299.88</v>
      </c>
      <c r="D441" vm="1308">
        <f ca="1"/>
        <v>2690402</v>
      </c>
      <c r="E441">
        <f t="shared" ca="1" si="126"/>
        <v>806797751.75999999</v>
      </c>
      <c r="F441">
        <f ca="1">SUM($E$2:E441)/SUM($D$2:D441)</f>
        <v>290.76423286523033</v>
      </c>
      <c r="G441">
        <f ca="1">_xlfn.STDEV.P($C$2:C441)</f>
        <v>17.768736067717779</v>
      </c>
      <c r="H441">
        <f t="shared" ca="1" si="127"/>
        <v>308.53296893294811</v>
      </c>
      <c r="I441">
        <f t="shared" ca="1" si="128"/>
        <v>272.99549679751254</v>
      </c>
      <c r="J441">
        <f t="shared" ca="1" si="137"/>
        <v>304.9325</v>
      </c>
      <c r="K441">
        <f t="shared" ca="1" si="138"/>
        <v>4.0912986935690725</v>
      </c>
      <c r="L441">
        <f t="shared" ca="1" si="139"/>
        <v>313.11509738713812</v>
      </c>
      <c r="M441">
        <f t="shared" ca="1" si="140"/>
        <v>296.74990261286189</v>
      </c>
      <c r="N441">
        <f t="shared" ca="1" si="129"/>
        <v>-0.63999999999998636</v>
      </c>
      <c r="O441">
        <f t="shared" ca="1" si="130"/>
        <v>0</v>
      </c>
      <c r="P441">
        <f t="shared" ca="1" si="131"/>
        <v>0.63999999999998636</v>
      </c>
      <c r="Q441">
        <f t="shared" ca="1" si="135"/>
        <v>0.74255145152066226</v>
      </c>
      <c r="R441">
        <f t="shared" ca="1" si="136"/>
        <v>1.1421936964391353</v>
      </c>
      <c r="S441">
        <f t="shared" ca="1" si="133"/>
        <v>0.65010991904054083</v>
      </c>
      <c r="T441">
        <f t="shared" ca="1" si="134"/>
        <v>39.397976555316284</v>
      </c>
      <c r="U441">
        <f>70</f>
        <v>70</v>
      </c>
      <c r="V441">
        <f>30</f>
        <v>30</v>
      </c>
      <c r="W441">
        <f t="shared" ca="1" si="132"/>
        <v>303.20189857267644</v>
      </c>
      <c r="X441">
        <f t="shared" ca="1" si="142"/>
        <v>305.0171752978182</v>
      </c>
      <c r="Y441">
        <f t="shared" ca="1" si="141"/>
        <v>-1.8580572527237109</v>
      </c>
      <c r="Z441">
        <f t="shared" ca="1" si="143"/>
        <v>-1.438166337699204</v>
      </c>
      <c r="AA441">
        <f t="shared" ca="1" si="144"/>
        <v>-0.41989091502450693</v>
      </c>
      <c r="AB441">
        <f t="shared" ca="1" si="145"/>
        <v>304.46940000000012</v>
      </c>
    </row>
    <row r="442" spans="1:28" x14ac:dyDescent="0.25">
      <c r="A442" s="21">
        <f t="shared" ca="1" si="125"/>
        <v>45929</v>
      </c>
      <c r="B442" vm="1309">
        <f ca="1"/>
        <v>45933</v>
      </c>
      <c r="C442" vm="1310">
        <f ca="1"/>
        <v>300.98</v>
      </c>
      <c r="D442" vm="1311">
        <f ca="1"/>
        <v>2599053</v>
      </c>
      <c r="E442">
        <f t="shared" ca="1" si="126"/>
        <v>782262971.94000006</v>
      </c>
      <c r="F442">
        <f ca="1">SUM($E$2:E442)/SUM($D$2:D442)</f>
        <v>290.78156592468162</v>
      </c>
      <c r="G442">
        <f ca="1">_xlfn.STDEV.P($C$2:C442)</f>
        <v>17.754148153540736</v>
      </c>
      <c r="H442">
        <f t="shared" ca="1" si="127"/>
        <v>308.53571407822233</v>
      </c>
      <c r="I442">
        <f t="shared" ca="1" si="128"/>
        <v>273.0274177711409</v>
      </c>
      <c r="J442">
        <f t="shared" ca="1" si="137"/>
        <v>304.26249999999999</v>
      </c>
      <c r="K442">
        <f t="shared" ca="1" si="138"/>
        <v>3.5200536404405756</v>
      </c>
      <c r="L442">
        <f t="shared" ca="1" si="139"/>
        <v>311.30260728088115</v>
      </c>
      <c r="M442">
        <f t="shared" ca="1" si="140"/>
        <v>297.22239271911883</v>
      </c>
      <c r="N442">
        <f t="shared" ca="1" si="129"/>
        <v>1.1000000000000227</v>
      </c>
      <c r="O442">
        <f t="shared" ca="1" si="130"/>
        <v>1.1000000000000227</v>
      </c>
      <c r="P442">
        <f t="shared" ca="1" si="131"/>
        <v>0</v>
      </c>
      <c r="Q442">
        <f t="shared" ca="1" si="135"/>
        <v>0.7680834906977595</v>
      </c>
      <c r="R442">
        <f t="shared" ca="1" si="136"/>
        <v>1.0606084324077685</v>
      </c>
      <c r="S442">
        <f t="shared" ca="1" si="133"/>
        <v>0.72419138602742794</v>
      </c>
      <c r="T442">
        <f t="shared" ca="1" si="134"/>
        <v>42.001798170212396</v>
      </c>
      <c r="U442">
        <f>70</f>
        <v>70</v>
      </c>
      <c r="V442">
        <f>30</f>
        <v>30</v>
      </c>
      <c r="W442">
        <f t="shared" ca="1" si="132"/>
        <v>302.86006802303388</v>
      </c>
      <c r="X442">
        <f t="shared" ca="1" si="142"/>
        <v>304.71812527575759</v>
      </c>
      <c r="Y442">
        <f t="shared" ca="1" si="141"/>
        <v>-2.2644743925360444</v>
      </c>
      <c r="Z442">
        <f t="shared" ca="1" si="143"/>
        <v>-1.6034279486665721</v>
      </c>
      <c r="AA442">
        <f t="shared" ca="1" si="144"/>
        <v>-0.66104644386947231</v>
      </c>
      <c r="AB442">
        <f t="shared" ca="1" si="145"/>
        <v>304.36000000000007</v>
      </c>
    </row>
    <row r="443" spans="1:28" x14ac:dyDescent="0.25">
      <c r="A443" s="21">
        <f t="shared" ca="1" si="125"/>
        <v>45936</v>
      </c>
      <c r="B443" vm="1312">
        <f ca="1"/>
        <v>45936</v>
      </c>
      <c r="C443" vm="1313">
        <f ca="1"/>
        <v>296.04000000000002</v>
      </c>
      <c r="D443" vm="1314">
        <f ca="1"/>
        <v>3814151</v>
      </c>
      <c r="E443">
        <f t="shared" ca="1" si="126"/>
        <v>1129141262.04</v>
      </c>
      <c r="F443">
        <f ca="1">SUM($E$2:E443)/SUM($D$2:D443)</f>
        <v>290.79462653295121</v>
      </c>
      <c r="G443">
        <f ca="1">_xlfn.STDEV.P($C$2:C443)</f>
        <v>17.735278004159106</v>
      </c>
      <c r="H443">
        <f t="shared" ca="1" si="127"/>
        <v>308.52990453711033</v>
      </c>
      <c r="I443">
        <f t="shared" ca="1" si="128"/>
        <v>273.0593485287921</v>
      </c>
      <c r="J443">
        <f t="shared" ca="1" si="137"/>
        <v>303.42450000000002</v>
      </c>
      <c r="K443">
        <f t="shared" ca="1" si="138"/>
        <v>3.3724931820772994</v>
      </c>
      <c r="L443">
        <f t="shared" ca="1" si="139"/>
        <v>310.16948636415464</v>
      </c>
      <c r="M443">
        <f t="shared" ca="1" si="140"/>
        <v>296.67951363584541</v>
      </c>
      <c r="N443">
        <f t="shared" ca="1" si="129"/>
        <v>-4.9399999999999977</v>
      </c>
      <c r="O443">
        <f t="shared" ca="1" si="130"/>
        <v>0</v>
      </c>
      <c r="P443">
        <f t="shared" ca="1" si="131"/>
        <v>4.9399999999999977</v>
      </c>
      <c r="Q443">
        <f t="shared" ca="1" si="135"/>
        <v>0.71322038421934819</v>
      </c>
      <c r="R443">
        <f t="shared" ca="1" si="136"/>
        <v>1.3377078300929277</v>
      </c>
      <c r="S443">
        <f t="shared" ca="1" si="133"/>
        <v>0.53316603833424692</v>
      </c>
      <c r="T443">
        <f t="shared" ca="1" si="134"/>
        <v>34.775492347425114</v>
      </c>
      <c r="U443">
        <f>70</f>
        <v>70</v>
      </c>
      <c r="V443">
        <f>30</f>
        <v>30</v>
      </c>
      <c r="W443">
        <f t="shared" ca="1" si="132"/>
        <v>301.81082678872099</v>
      </c>
      <c r="X443">
        <f t="shared" ca="1" si="142"/>
        <v>304.07530118125703</v>
      </c>
      <c r="Y443">
        <f t="shared" ca="1" si="141"/>
        <v>-2.5347502212489985</v>
      </c>
      <c r="Z443">
        <f t="shared" ca="1" si="143"/>
        <v>-1.7896924031830577</v>
      </c>
      <c r="AA443">
        <f t="shared" ca="1" si="144"/>
        <v>-0.74505781806594085</v>
      </c>
      <c r="AB443">
        <f t="shared" ca="1" si="145"/>
        <v>304.23350000000011</v>
      </c>
    </row>
    <row r="444" spans="1:28" x14ac:dyDescent="0.25">
      <c r="A444" s="21">
        <f t="shared" ca="1" si="125"/>
        <v>45936</v>
      </c>
      <c r="B444" vm="1315">
        <f ca="1"/>
        <v>45937</v>
      </c>
      <c r="C444" vm="1316">
        <f ca="1"/>
        <v>296.32</v>
      </c>
      <c r="D444" vm="1317">
        <f ca="1"/>
        <v>2516057</v>
      </c>
      <c r="E444">
        <f t="shared" ca="1" si="126"/>
        <v>745558010.24000001</v>
      </c>
      <c r="F444">
        <f ca="1">SUM($E$2:E444)/SUM($D$2:D444)</f>
        <v>290.80366469699521</v>
      </c>
      <c r="G444">
        <f ca="1">_xlfn.STDEV.P($C$2:C444)</f>
        <v>17.716628364360677</v>
      </c>
      <c r="H444">
        <f t="shared" ca="1" si="127"/>
        <v>308.52029306135591</v>
      </c>
      <c r="I444">
        <f t="shared" ca="1" si="128"/>
        <v>273.08703633263451</v>
      </c>
      <c r="J444">
        <f t="shared" ca="1" si="137"/>
        <v>302.61450000000002</v>
      </c>
      <c r="K444">
        <f t="shared" ca="1" si="138"/>
        <v>2.9975805594723077</v>
      </c>
      <c r="L444">
        <f t="shared" ca="1" si="139"/>
        <v>308.60966111894464</v>
      </c>
      <c r="M444">
        <f t="shared" ca="1" si="140"/>
        <v>296.6193388810554</v>
      </c>
      <c r="N444">
        <f t="shared" ca="1" si="129"/>
        <v>0.27999999999997272</v>
      </c>
      <c r="O444">
        <f t="shared" ca="1" si="130"/>
        <v>0.27999999999997272</v>
      </c>
      <c r="P444">
        <f t="shared" ca="1" si="131"/>
        <v>0</v>
      </c>
      <c r="Q444">
        <f t="shared" ca="1" si="135"/>
        <v>0.68227607106082133</v>
      </c>
      <c r="R444">
        <f t="shared" ca="1" si="136"/>
        <v>1.2421572708005757</v>
      </c>
      <c r="S444">
        <f t="shared" ca="1" si="133"/>
        <v>0.54926705909074736</v>
      </c>
      <c r="T444">
        <f t="shared" ca="1" si="134"/>
        <v>35.453349109036623</v>
      </c>
      <c r="U444">
        <f>70</f>
        <v>70</v>
      </c>
      <c r="V444">
        <f>30</f>
        <v>30</v>
      </c>
      <c r="W444">
        <f t="shared" ca="1" si="132"/>
        <v>300.96608420584084</v>
      </c>
      <c r="X444">
        <f t="shared" ca="1" si="142"/>
        <v>303.50083442708984</v>
      </c>
      <c r="Y444">
        <f t="shared" ca="1" si="141"/>
        <v>-2.8707811386594813</v>
      </c>
      <c r="Z444">
        <f t="shared" ca="1" si="143"/>
        <v>-2.0059101502783423</v>
      </c>
      <c r="AA444">
        <f t="shared" ca="1" si="144"/>
        <v>-0.86487098838113896</v>
      </c>
      <c r="AB444">
        <f t="shared" ca="1" si="145"/>
        <v>304.12170000000009</v>
      </c>
    </row>
    <row r="445" spans="1:28" x14ac:dyDescent="0.25">
      <c r="A445" s="21">
        <f t="shared" ca="1" si="125"/>
        <v>45936</v>
      </c>
      <c r="B445" vm="1318">
        <f ca="1"/>
        <v>45938</v>
      </c>
      <c r="C445" vm="1319">
        <f ca="1"/>
        <v>294.39999999999998</v>
      </c>
      <c r="D445" vm="1320">
        <f ca="1"/>
        <v>2464566</v>
      </c>
      <c r="E445">
        <f t="shared" ca="1" si="126"/>
        <v>725568230.39999998</v>
      </c>
      <c r="F445">
        <f ca="1">SUM($E$2:E445)/SUM($D$2:D445)</f>
        <v>290.80941781696538</v>
      </c>
      <c r="G445">
        <f ca="1">_xlfn.STDEV.P($C$2:C445)</f>
        <v>17.697138125613026</v>
      </c>
      <c r="H445">
        <f t="shared" ca="1" si="127"/>
        <v>308.50655594257842</v>
      </c>
      <c r="I445">
        <f t="shared" ca="1" si="128"/>
        <v>273.11227969135234</v>
      </c>
      <c r="J445">
        <f t="shared" ca="1" si="137"/>
        <v>302.03750000000002</v>
      </c>
      <c r="K445">
        <f t="shared" ca="1" si="138"/>
        <v>3.4065322311854445</v>
      </c>
      <c r="L445">
        <f t="shared" ca="1" si="139"/>
        <v>308.85056446237093</v>
      </c>
      <c r="M445">
        <f t="shared" ca="1" si="140"/>
        <v>295.22443553762912</v>
      </c>
      <c r="N445">
        <f t="shared" ca="1" si="129"/>
        <v>-1.9200000000000159</v>
      </c>
      <c r="O445">
        <f t="shared" ca="1" si="130"/>
        <v>0</v>
      </c>
      <c r="P445">
        <f t="shared" ca="1" si="131"/>
        <v>1.9200000000000159</v>
      </c>
      <c r="Q445">
        <f t="shared" ca="1" si="135"/>
        <v>0.63354206598504847</v>
      </c>
      <c r="R445">
        <f t="shared" ca="1" si="136"/>
        <v>1.2905746086005359</v>
      </c>
      <c r="S445">
        <f t="shared" ca="1" si="133"/>
        <v>0.49089921788562407</v>
      </c>
      <c r="T445">
        <f t="shared" ca="1" si="134"/>
        <v>32.926385096761379</v>
      </c>
      <c r="U445">
        <f>70</f>
        <v>70</v>
      </c>
      <c r="V445">
        <f>30</f>
        <v>30</v>
      </c>
      <c r="W445">
        <f t="shared" ca="1" si="132"/>
        <v>299.95591740494223</v>
      </c>
      <c r="X445">
        <f t="shared" ca="1" si="142"/>
        <v>302.82669854360171</v>
      </c>
      <c r="Y445">
        <f t="shared" ca="1" si="141"/>
        <v>-3.1484032974436786</v>
      </c>
      <c r="Z445">
        <f t="shared" ca="1" si="143"/>
        <v>-2.2344087797114098</v>
      </c>
      <c r="AA445">
        <f t="shared" ca="1" si="144"/>
        <v>-0.91399451773226881</v>
      </c>
      <c r="AB445">
        <f t="shared" ca="1" si="145"/>
        <v>303.92090000000013</v>
      </c>
    </row>
    <row r="446" spans="1:28" x14ac:dyDescent="0.25">
      <c r="A446" s="21">
        <f t="shared" ca="1" si="125"/>
        <v>45936</v>
      </c>
      <c r="B446" vm="1321">
        <f ca="1"/>
        <v>45939</v>
      </c>
      <c r="C446" vm="1322">
        <f ca="1"/>
        <v>293.81</v>
      </c>
      <c r="D446" vm="1323">
        <f ca="1"/>
        <v>2802739</v>
      </c>
      <c r="E446">
        <f t="shared" ca="1" si="126"/>
        <v>823472745.59000003</v>
      </c>
      <c r="F446">
        <f ca="1">SUM($E$2:E446)/SUM($D$2:D446)</f>
        <v>290.81486662646546</v>
      </c>
      <c r="G446">
        <f ca="1">_xlfn.STDEV.P($C$2:C446)</f>
        <v>17.6775304832823</v>
      </c>
      <c r="H446">
        <f t="shared" ca="1" si="127"/>
        <v>308.49239710974774</v>
      </c>
      <c r="I446">
        <f t="shared" ca="1" si="128"/>
        <v>273.13733614318318</v>
      </c>
      <c r="J446">
        <f t="shared" ca="1" si="137"/>
        <v>301.30649999999997</v>
      </c>
      <c r="K446">
        <f t="shared" ca="1" si="138"/>
        <v>3.5290169721147131</v>
      </c>
      <c r="L446">
        <f t="shared" ca="1" si="139"/>
        <v>308.36453394422938</v>
      </c>
      <c r="M446">
        <f t="shared" ca="1" si="140"/>
        <v>294.24846605577056</v>
      </c>
      <c r="N446">
        <f t="shared" ca="1" si="129"/>
        <v>-0.58999999999997499</v>
      </c>
      <c r="O446">
        <f t="shared" ca="1" si="130"/>
        <v>0</v>
      </c>
      <c r="P446">
        <f t="shared" ca="1" si="131"/>
        <v>0.58999999999997499</v>
      </c>
      <c r="Q446">
        <f t="shared" ca="1" si="135"/>
        <v>0.58828906127183078</v>
      </c>
      <c r="R446">
        <f t="shared" ca="1" si="136"/>
        <v>1.2405335651290674</v>
      </c>
      <c r="S446">
        <f t="shared" ca="1" si="133"/>
        <v>0.47422260695592228</v>
      </c>
      <c r="T446">
        <f t="shared" ca="1" si="134"/>
        <v>32.167639047072427</v>
      </c>
      <c r="U446">
        <f>70</f>
        <v>70</v>
      </c>
      <c r="V446">
        <f>30</f>
        <v>30</v>
      </c>
      <c r="W446">
        <f t="shared" ca="1" si="132"/>
        <v>299.01039165033569</v>
      </c>
      <c r="X446">
        <f t="shared" ca="1" si="142"/>
        <v>302.15879494777937</v>
      </c>
      <c r="Y446">
        <f t="shared" ca="1" si="141"/>
        <v>-3.0747636406798051</v>
      </c>
      <c r="Z446">
        <f t="shared" ca="1" si="143"/>
        <v>-2.4024797519050889</v>
      </c>
      <c r="AA446">
        <f t="shared" ca="1" si="144"/>
        <v>-0.67228388877471623</v>
      </c>
      <c r="AB446">
        <f t="shared" ca="1" si="145"/>
        <v>303.67290000000014</v>
      </c>
    </row>
    <row r="447" spans="1:28" x14ac:dyDescent="0.25">
      <c r="A447" s="21">
        <f t="shared" ca="1" si="125"/>
        <v>45936</v>
      </c>
      <c r="B447" vm="1324">
        <f ca="1"/>
        <v>45940</v>
      </c>
      <c r="C447" vm="1325">
        <f ca="1"/>
        <v>297.01</v>
      </c>
      <c r="D447" vm="1326">
        <f ca="1"/>
        <v>4016226</v>
      </c>
      <c r="E447">
        <f t="shared" ca="1" si="126"/>
        <v>1192859284.26</v>
      </c>
      <c r="F447">
        <f ca="1">SUM($E$2:E447)/SUM($D$2:D447)</f>
        <v>290.83094542582427</v>
      </c>
      <c r="G447">
        <f ca="1">_xlfn.STDEV.P($C$2:C447)</f>
        <v>17.659498406042733</v>
      </c>
      <c r="H447">
        <f t="shared" ca="1" si="127"/>
        <v>308.49044383186703</v>
      </c>
      <c r="I447">
        <f t="shared" ca="1" si="128"/>
        <v>273.17144701978151</v>
      </c>
      <c r="J447">
        <f t="shared" ca="1" si="137"/>
        <v>300.887</v>
      </c>
      <c r="K447">
        <f t="shared" ca="1" si="138"/>
        <v>3.5154457679458586</v>
      </c>
      <c r="L447">
        <f t="shared" ca="1" si="139"/>
        <v>307.91789153589173</v>
      </c>
      <c r="M447">
        <f t="shared" ca="1" si="140"/>
        <v>293.85610846410827</v>
      </c>
      <c r="N447">
        <f t="shared" ca="1" si="129"/>
        <v>3.1999999999999886</v>
      </c>
      <c r="O447">
        <f t="shared" ca="1" si="130"/>
        <v>3.1999999999999886</v>
      </c>
      <c r="P447">
        <f t="shared" ca="1" si="131"/>
        <v>0</v>
      </c>
      <c r="Q447">
        <f t="shared" ca="1" si="135"/>
        <v>0.7748398426095563</v>
      </c>
      <c r="R447">
        <f t="shared" ca="1" si="136"/>
        <v>1.1519240247627054</v>
      </c>
      <c r="S447">
        <f t="shared" ca="1" si="133"/>
        <v>0.6726483916933429</v>
      </c>
      <c r="T447">
        <f t="shared" ca="1" si="134"/>
        <v>40.214571994558419</v>
      </c>
      <c r="U447">
        <f>70</f>
        <v>70</v>
      </c>
      <c r="V447">
        <f>30</f>
        <v>30</v>
      </c>
      <c r="W447">
        <f t="shared" ca="1" si="132"/>
        <v>298.70263908874557</v>
      </c>
      <c r="X447">
        <f t="shared" ca="1" si="142"/>
        <v>301.77740272942538</v>
      </c>
      <c r="Y447">
        <f t="shared" ca="1" si="141"/>
        <v>-2.7347352641191378</v>
      </c>
      <c r="Z447">
        <f t="shared" ca="1" si="143"/>
        <v>-2.4689308543478985</v>
      </c>
      <c r="AA447">
        <f t="shared" ca="1" si="144"/>
        <v>-0.26580440977123931</v>
      </c>
      <c r="AB447">
        <f t="shared" ca="1" si="145"/>
        <v>303.43070000000012</v>
      </c>
    </row>
    <row r="448" spans="1:28" x14ac:dyDescent="0.25">
      <c r="A448" s="21">
        <f t="shared" ca="1" si="125"/>
        <v>45943</v>
      </c>
      <c r="B448" vm="1327">
        <f ca="1"/>
        <v>45943</v>
      </c>
      <c r="C448" vm="940">
        <f ca="1"/>
        <v>300.11</v>
      </c>
      <c r="D448" vm="1328">
        <f ca="1"/>
        <v>3369584</v>
      </c>
      <c r="E448">
        <f t="shared" ca="1" si="126"/>
        <v>1011245854.24</v>
      </c>
      <c r="F448">
        <f ca="1">SUM($E$2:E448)/SUM($D$2:D448)</f>
        <v>290.85110680203928</v>
      </c>
      <c r="G448">
        <f ca="1">_xlfn.STDEV.P($C$2:C448)</f>
        <v>17.644212829034633</v>
      </c>
      <c r="H448">
        <f t="shared" ca="1" si="127"/>
        <v>308.49531963107393</v>
      </c>
      <c r="I448">
        <f t="shared" ca="1" si="128"/>
        <v>273.20689397300464</v>
      </c>
      <c r="J448">
        <f t="shared" ca="1" si="137"/>
        <v>300.78899999999999</v>
      </c>
      <c r="K448">
        <f t="shared" ca="1" si="138"/>
        <v>3.5080432392462151</v>
      </c>
      <c r="L448">
        <f t="shared" ca="1" si="139"/>
        <v>307.8050864784924</v>
      </c>
      <c r="M448">
        <f t="shared" ca="1" si="140"/>
        <v>293.77291352150758</v>
      </c>
      <c r="N448">
        <f t="shared" ca="1" si="129"/>
        <v>3.1000000000000227</v>
      </c>
      <c r="O448">
        <f t="shared" ca="1" si="130"/>
        <v>3.1000000000000227</v>
      </c>
      <c r="P448">
        <f t="shared" ca="1" si="131"/>
        <v>0</v>
      </c>
      <c r="Q448">
        <f t="shared" ca="1" si="135"/>
        <v>0.94092271099458968</v>
      </c>
      <c r="R448">
        <f t="shared" ca="1" si="136"/>
        <v>1.069643737279655</v>
      </c>
      <c r="S448">
        <f t="shared" ca="1" si="133"/>
        <v>0.87965990750113499</v>
      </c>
      <c r="T448">
        <f t="shared" ca="1" si="134"/>
        <v>46.798886542756343</v>
      </c>
      <c r="U448">
        <f>70</f>
        <v>70</v>
      </c>
      <c r="V448">
        <f>30</f>
        <v>30</v>
      </c>
      <c r="W448">
        <f t="shared" ca="1" si="132"/>
        <v>298.91915615201549</v>
      </c>
      <c r="X448">
        <f t="shared" ca="1" si="142"/>
        <v>301.65389141613463</v>
      </c>
      <c r="Y448">
        <f t="shared" ca="1" si="141"/>
        <v>-2.0821804361685281</v>
      </c>
      <c r="Z448">
        <f t="shared" ca="1" si="143"/>
        <v>-2.3915807707120242</v>
      </c>
      <c r="AA448">
        <f t="shared" ca="1" si="144"/>
        <v>0.30940033454349614</v>
      </c>
      <c r="AB448">
        <f t="shared" ca="1" si="145"/>
        <v>303.23380000000014</v>
      </c>
    </row>
    <row r="449" spans="1:28" x14ac:dyDescent="0.25">
      <c r="A449" s="21">
        <f t="shared" ca="1" si="125"/>
        <v>45943</v>
      </c>
      <c r="B449" vm="1329">
        <f ca="1"/>
        <v>45944</v>
      </c>
      <c r="C449" vm="1330">
        <f ca="1"/>
        <v>304.56</v>
      </c>
      <c r="D449" vm="1331">
        <f ca="1"/>
        <v>2992849</v>
      </c>
      <c r="E449">
        <f t="shared" ca="1" si="126"/>
        <v>911502091.44000006</v>
      </c>
      <c r="F449">
        <f ca="1">SUM($E$2:E449)/SUM($D$2:D449)</f>
        <v>290.87751203709115</v>
      </c>
      <c r="G449">
        <f ca="1">_xlfn.STDEV.P($C$2:C449)</f>
        <v>17.634932025797774</v>
      </c>
      <c r="H449">
        <f t="shared" ca="1" si="127"/>
        <v>308.5124440628889</v>
      </c>
      <c r="I449">
        <f t="shared" ca="1" si="128"/>
        <v>273.2425800112934</v>
      </c>
      <c r="J449">
        <f t="shared" ca="1" si="137"/>
        <v>300.85250000000002</v>
      </c>
      <c r="K449">
        <f t="shared" ca="1" si="138"/>
        <v>3.5667010778795847</v>
      </c>
      <c r="L449">
        <f t="shared" ca="1" si="139"/>
        <v>307.98590215575916</v>
      </c>
      <c r="M449">
        <f t="shared" ca="1" si="140"/>
        <v>293.71909784424088</v>
      </c>
      <c r="N449">
        <f t="shared" ca="1" si="129"/>
        <v>4.4499999999999886</v>
      </c>
      <c r="O449">
        <f t="shared" ca="1" si="130"/>
        <v>4.4499999999999886</v>
      </c>
      <c r="P449">
        <f t="shared" ca="1" si="131"/>
        <v>0</v>
      </c>
      <c r="Q449">
        <f t="shared" ca="1" si="135"/>
        <v>1.1915710887806894</v>
      </c>
      <c r="R449">
        <f t="shared" ca="1" si="136"/>
        <v>0.99324061318825108</v>
      </c>
      <c r="S449">
        <f t="shared" ca="1" si="133"/>
        <v>1.1996801912436985</v>
      </c>
      <c r="T449">
        <f t="shared" ca="1" si="134"/>
        <v>54.538845965849234</v>
      </c>
      <c r="U449">
        <f>70</f>
        <v>70</v>
      </c>
      <c r="V449">
        <f>30</f>
        <v>30</v>
      </c>
      <c r="W449">
        <f t="shared" ca="1" si="132"/>
        <v>299.78697828247465</v>
      </c>
      <c r="X449">
        <f t="shared" ca="1" si="142"/>
        <v>301.86915871864318</v>
      </c>
      <c r="Y449">
        <f t="shared" ca="1" si="141"/>
        <v>-1.4921482440571481</v>
      </c>
      <c r="Z449">
        <f t="shared" ca="1" si="143"/>
        <v>-2.2116942653810492</v>
      </c>
      <c r="AA449">
        <f t="shared" ca="1" si="144"/>
        <v>0.71954602132390111</v>
      </c>
      <c r="AB449">
        <f t="shared" ca="1" si="145"/>
        <v>303.11500000000012</v>
      </c>
    </row>
    <row r="450" spans="1:28" x14ac:dyDescent="0.25">
      <c r="A450" s="21">
        <f t="shared" ca="1" si="125"/>
        <v>45943</v>
      </c>
      <c r="B450" vm="1332">
        <f ca="1"/>
        <v>45945</v>
      </c>
      <c r="C450" vm="1333">
        <f ca="1"/>
        <v>305.25</v>
      </c>
      <c r="D450" vm="1334">
        <f ca="1"/>
        <v>2522103</v>
      </c>
      <c r="E450">
        <f t="shared" ca="1" si="126"/>
        <v>769871940.75</v>
      </c>
      <c r="F450">
        <f ca="1">SUM($E$2:E450)/SUM($D$2:D450)</f>
        <v>290.90080331120015</v>
      </c>
      <c r="G450">
        <f ca="1">_xlfn.STDEV.P($C$2:C450)</f>
        <v>17.626786326030935</v>
      </c>
      <c r="H450">
        <f t="shared" ca="1" si="127"/>
        <v>308.52758963723107</v>
      </c>
      <c r="I450">
        <f t="shared" ca="1" si="128"/>
        <v>273.27401698516923</v>
      </c>
      <c r="J450">
        <f t="shared" ca="1" si="137"/>
        <v>300.86649999999997</v>
      </c>
      <c r="K450">
        <f t="shared" ca="1" si="138"/>
        <v>3.5842202044076781</v>
      </c>
      <c r="L450">
        <f t="shared" ca="1" si="139"/>
        <v>308.03494040881532</v>
      </c>
      <c r="M450">
        <f t="shared" ca="1" si="140"/>
        <v>293.69805959118463</v>
      </c>
      <c r="N450">
        <f t="shared" ca="1" si="129"/>
        <v>0.68999999999999773</v>
      </c>
      <c r="O450">
        <f t="shared" ca="1" si="130"/>
        <v>0.68999999999999773</v>
      </c>
      <c r="P450">
        <f t="shared" ca="1" si="131"/>
        <v>0</v>
      </c>
      <c r="Q450">
        <f t="shared" ca="1" si="135"/>
        <v>1.1557445824392114</v>
      </c>
      <c r="R450">
        <f t="shared" ca="1" si="136"/>
        <v>0.92229485510337594</v>
      </c>
      <c r="S450">
        <f t="shared" ca="1" si="133"/>
        <v>1.253118323325862</v>
      </c>
      <c r="T450">
        <f t="shared" ca="1" si="134"/>
        <v>55.617066815919152</v>
      </c>
      <c r="U450">
        <f>70</f>
        <v>70</v>
      </c>
      <c r="V450">
        <f>30</f>
        <v>30</v>
      </c>
      <c r="W450">
        <f t="shared" ca="1" si="132"/>
        <v>300.62744316209393</v>
      </c>
      <c r="X450">
        <f t="shared" ca="1" si="142"/>
        <v>302.11959140615107</v>
      </c>
      <c r="Y450">
        <f t="shared" ca="1" si="141"/>
        <v>-1.0064860052911513</v>
      </c>
      <c r="Z450">
        <f t="shared" ca="1" si="143"/>
        <v>-1.9706526133630697</v>
      </c>
      <c r="AA450">
        <f t="shared" ca="1" si="144"/>
        <v>0.96416660807191845</v>
      </c>
      <c r="AB450">
        <f t="shared" ca="1" si="145"/>
        <v>303.02440000000018</v>
      </c>
    </row>
    <row r="451" spans="1:28" x14ac:dyDescent="0.25">
      <c r="A451" s="21">
        <f t="shared" ref="A451:A514" ca="1" si="146">B451 - WEEKDAY(B451, 2) + 1</f>
        <v>45943</v>
      </c>
      <c r="B451" vm="1335">
        <f ca="1"/>
        <v>45946</v>
      </c>
      <c r="C451" vm="1336">
        <f ca="1"/>
        <v>305.33</v>
      </c>
      <c r="D451" vm="1337">
        <f ca="1"/>
        <v>2021608</v>
      </c>
      <c r="E451">
        <f t="shared" ref="E451:E514" ca="1" si="147">C451*D451</f>
        <v>617257570.63999999</v>
      </c>
      <c r="F451">
        <f ca="1">SUM($E$2:E451)/SUM($D$2:D451)</f>
        <v>290.91952193045165</v>
      </c>
      <c r="G451">
        <f ca="1">_xlfn.STDEV.P($C$2:C451)</f>
        <v>17.61875815285768</v>
      </c>
      <c r="H451">
        <f t="shared" ref="H451:H514" ca="1" si="148">F451 + G451</f>
        <v>308.53828008330936</v>
      </c>
      <c r="I451">
        <f t="shared" ref="I451:I514" ca="1" si="149">F451 - G451</f>
        <v>273.30076377759394</v>
      </c>
      <c r="J451">
        <f t="shared" ca="1" si="137"/>
        <v>301.07600000000002</v>
      </c>
      <c r="K451">
        <f t="shared" ca="1" si="138"/>
        <v>3.7208960437535818</v>
      </c>
      <c r="L451">
        <f t="shared" ca="1" si="139"/>
        <v>308.51779208750719</v>
      </c>
      <c r="M451">
        <f t="shared" ca="1" si="140"/>
        <v>293.63420791249285</v>
      </c>
      <c r="N451">
        <f t="shared" ca="1" si="129"/>
        <v>7.9999999999984084E-2</v>
      </c>
      <c r="O451">
        <f t="shared" ca="1" si="130"/>
        <v>7.9999999999984084E-2</v>
      </c>
      <c r="P451">
        <f t="shared" ca="1" si="131"/>
        <v>0</v>
      </c>
      <c r="Q451">
        <f t="shared" ca="1" si="135"/>
        <v>1.0789056836935524</v>
      </c>
      <c r="R451">
        <f t="shared" ca="1" si="136"/>
        <v>0.8564166511674205</v>
      </c>
      <c r="S451">
        <f t="shared" ca="1" si="133"/>
        <v>1.2597906430507242</v>
      </c>
      <c r="T451">
        <f t="shared" ca="1" si="134"/>
        <v>55.748113079625959</v>
      </c>
      <c r="U451">
        <f>70</f>
        <v>70</v>
      </c>
      <c r="V451">
        <f>30</f>
        <v>30</v>
      </c>
      <c r="W451">
        <f t="shared" ca="1" si="132"/>
        <v>301.35091344484874</v>
      </c>
      <c r="X451">
        <f t="shared" ca="1" si="142"/>
        <v>302.35739945013989</v>
      </c>
      <c r="Y451">
        <f t="shared" ca="1" si="141"/>
        <v>-0.39434053611222453</v>
      </c>
      <c r="Z451">
        <f t="shared" ca="1" si="143"/>
        <v>-1.6553901979129007</v>
      </c>
      <c r="AA451">
        <f t="shared" ca="1" si="144"/>
        <v>1.2610496618006761</v>
      </c>
      <c r="AB451">
        <f t="shared" ca="1" si="145"/>
        <v>302.93200000000019</v>
      </c>
    </row>
    <row r="452" spans="1:28" x14ac:dyDescent="0.25">
      <c r="A452" s="21">
        <f t="shared" ca="1" si="146"/>
        <v>45943</v>
      </c>
      <c r="B452" vm="1338">
        <f ca="1"/>
        <v>45947</v>
      </c>
      <c r="C452" vm="1339">
        <f ca="1"/>
        <v>308.08999999999997</v>
      </c>
      <c r="D452" vm="1340">
        <f ca="1"/>
        <v>2194185</v>
      </c>
      <c r="E452">
        <f t="shared" ca="1" si="147"/>
        <v>676006456.64999998</v>
      </c>
      <c r="F452">
        <f ca="1">SUM($E$2:E452)/SUM($D$2:D452)</f>
        <v>290.94366426559827</v>
      </c>
      <c r="G452">
        <f ca="1">_xlfn.STDEV.P($C$2:C452)</f>
        <v>17.615878517046923</v>
      </c>
      <c r="H452">
        <f t="shared" ca="1" si="148"/>
        <v>308.55954278264517</v>
      </c>
      <c r="I452">
        <f t="shared" ca="1" si="149"/>
        <v>273.32778574855138</v>
      </c>
      <c r="J452">
        <f t="shared" ca="1" si="137"/>
        <v>301.36150000000004</v>
      </c>
      <c r="K452">
        <f t="shared" ca="1" si="138"/>
        <v>4.0322506122511763</v>
      </c>
      <c r="L452">
        <f t="shared" ca="1" si="139"/>
        <v>309.42600122450239</v>
      </c>
      <c r="M452">
        <f t="shared" ca="1" si="140"/>
        <v>293.29699877549768</v>
      </c>
      <c r="N452">
        <f t="shared" ref="N452:N514" ca="1" si="150">C452-C451</f>
        <v>2.7599999999999909</v>
      </c>
      <c r="O452">
        <f t="shared" ref="O452:O514" ca="1" si="151">MAX(N452,0)</f>
        <v>2.7599999999999909</v>
      </c>
      <c r="P452">
        <f t="shared" ref="P452:P514" ca="1" si="152">MAX(-N452,0)</f>
        <v>0</v>
      </c>
      <c r="Q452">
        <f t="shared" ca="1" si="135"/>
        <v>1.1989838491440123</v>
      </c>
      <c r="R452">
        <f t="shared" ca="1" si="136"/>
        <v>0.79524403322689052</v>
      </c>
      <c r="S452">
        <f t="shared" ca="1" si="133"/>
        <v>1.5076929835975659</v>
      </c>
      <c r="T452">
        <f t="shared" ca="1" si="134"/>
        <v>60.122710134739528</v>
      </c>
      <c r="U452">
        <f>70</f>
        <v>70</v>
      </c>
      <c r="V452">
        <f>30</f>
        <v>30</v>
      </c>
      <c r="W452">
        <f t="shared" ca="1" si="132"/>
        <v>302.38769599179511</v>
      </c>
      <c r="X452">
        <f t="shared" ca="1" si="142"/>
        <v>302.78203652790734</v>
      </c>
      <c r="Y452">
        <f t="shared" ca="1" si="141"/>
        <v>6.422745867030244E-2</v>
      </c>
      <c r="Z452">
        <f t="shared" ca="1" si="143"/>
        <v>-1.31146666659626</v>
      </c>
      <c r="AA452">
        <f t="shared" ca="1" si="144"/>
        <v>1.3756941252665624</v>
      </c>
      <c r="AB452">
        <f t="shared" ca="1" si="145"/>
        <v>302.86340000000013</v>
      </c>
    </row>
    <row r="453" spans="1:28" x14ac:dyDescent="0.25">
      <c r="A453" s="21">
        <f t="shared" ca="1" si="146"/>
        <v>45950</v>
      </c>
      <c r="B453" vm="1341">
        <f ca="1"/>
        <v>45950</v>
      </c>
      <c r="C453" vm="1342">
        <f ca="1"/>
        <v>307.77</v>
      </c>
      <c r="D453" vm="1343">
        <f ca="1"/>
        <v>2329755</v>
      </c>
      <c r="E453">
        <f t="shared" ca="1" si="147"/>
        <v>717028696.3499999</v>
      </c>
      <c r="F453">
        <f ca="1">SUM($E$2:E453)/SUM($D$2:D453)</f>
        <v>290.9687470398041</v>
      </c>
      <c r="G453">
        <f ca="1">_xlfn.STDEV.P($C$2:C453)</f>
        <v>17.612292261502404</v>
      </c>
      <c r="H453">
        <f t="shared" ca="1" si="148"/>
        <v>308.58103930130653</v>
      </c>
      <c r="I453">
        <f t="shared" ca="1" si="149"/>
        <v>273.35645477830167</v>
      </c>
      <c r="J453">
        <f t="shared" ca="1" si="137"/>
        <v>301.60050000000001</v>
      </c>
      <c r="K453">
        <f t="shared" ca="1" si="138"/>
        <v>4.2685896536887826</v>
      </c>
      <c r="L453">
        <f t="shared" ca="1" si="139"/>
        <v>310.1376793073776</v>
      </c>
      <c r="M453">
        <f t="shared" ca="1" si="140"/>
        <v>293.06332069262243</v>
      </c>
      <c r="N453">
        <f t="shared" ca="1" si="150"/>
        <v>-0.31999999999999318</v>
      </c>
      <c r="O453">
        <f t="shared" ca="1" si="151"/>
        <v>0</v>
      </c>
      <c r="P453">
        <f t="shared" ca="1" si="152"/>
        <v>0.31999999999999318</v>
      </c>
      <c r="Q453">
        <f t="shared" ca="1" si="135"/>
        <v>1.1133421456337258</v>
      </c>
      <c r="R453">
        <f t="shared" ca="1" si="136"/>
        <v>0.76129803085354075</v>
      </c>
      <c r="S453">
        <f t="shared" ca="1" si="133"/>
        <v>1.4624261465453752</v>
      </c>
      <c r="T453">
        <f t="shared" ca="1" si="134"/>
        <v>59.389644988827975</v>
      </c>
      <c r="U453">
        <f>70</f>
        <v>70</v>
      </c>
      <c r="V453">
        <f>30</f>
        <v>30</v>
      </c>
      <c r="W453">
        <f t="shared" ca="1" si="132"/>
        <v>303.21574276228819</v>
      </c>
      <c r="X453">
        <f t="shared" ca="1" si="142"/>
        <v>303.15151530361788</v>
      </c>
      <c r="Y453">
        <f t="shared" ca="1" si="141"/>
        <v>0.39963853767454793</v>
      </c>
      <c r="Z453">
        <f t="shared" ca="1" si="143"/>
        <v>-0.96924562574209849</v>
      </c>
      <c r="AA453">
        <f t="shared" ca="1" si="144"/>
        <v>1.3688841634166464</v>
      </c>
      <c r="AB453">
        <f t="shared" ca="1" si="145"/>
        <v>302.81270000000018</v>
      </c>
    </row>
    <row r="454" spans="1:28" x14ac:dyDescent="0.25">
      <c r="A454" s="21">
        <f t="shared" ca="1" si="146"/>
        <v>45950</v>
      </c>
      <c r="B454" vm="1344">
        <f ca="1"/>
        <v>45951</v>
      </c>
      <c r="C454" vm="1345">
        <f ca="1"/>
        <v>307.48</v>
      </c>
      <c r="D454" vm="1346">
        <f ca="1"/>
        <v>2461407</v>
      </c>
      <c r="E454">
        <f t="shared" ca="1" si="147"/>
        <v>756833424.36000001</v>
      </c>
      <c r="F454">
        <f ca="1">SUM($E$2:E454)/SUM($D$2:D454)</f>
        <v>290.99471009438707</v>
      </c>
      <c r="G454">
        <f ca="1">_xlfn.STDEV.P($C$2:C454)</f>
        <v>17.608079685235399</v>
      </c>
      <c r="H454">
        <f t="shared" ca="1" si="148"/>
        <v>308.60278977962247</v>
      </c>
      <c r="I454">
        <f t="shared" ca="1" si="149"/>
        <v>273.38663040915168</v>
      </c>
      <c r="J454">
        <f t="shared" ca="1" si="137"/>
        <v>301.81499999999994</v>
      </c>
      <c r="K454">
        <f t="shared" ca="1" si="138"/>
        <v>4.456326667606521</v>
      </c>
      <c r="L454">
        <f t="shared" ca="1" si="139"/>
        <v>310.72765333521301</v>
      </c>
      <c r="M454">
        <f t="shared" ca="1" si="140"/>
        <v>292.90234666478688</v>
      </c>
      <c r="N454">
        <f t="shared" ca="1" si="150"/>
        <v>-0.28999999999996362</v>
      </c>
      <c r="O454">
        <f t="shared" ca="1" si="151"/>
        <v>0</v>
      </c>
      <c r="P454">
        <f t="shared" ca="1" si="152"/>
        <v>0.28999999999996362</v>
      </c>
      <c r="Q454">
        <f t="shared" ca="1" si="135"/>
        <v>1.0338177066598884</v>
      </c>
      <c r="R454">
        <f t="shared" ca="1" si="136"/>
        <v>0.72763388579257093</v>
      </c>
      <c r="S454">
        <f t="shared" ca="1" si="133"/>
        <v>1.4207937904565955</v>
      </c>
      <c r="T454">
        <f t="shared" ca="1" si="134"/>
        <v>58.691235744974954</v>
      </c>
      <c r="U454">
        <f>70</f>
        <v>70</v>
      </c>
      <c r="V454">
        <f>30</f>
        <v>30</v>
      </c>
      <c r="W454">
        <f t="shared" ca="1" si="132"/>
        <v>303.87178233732078</v>
      </c>
      <c r="X454">
        <f t="shared" ca="1" si="142"/>
        <v>303.47214379964623</v>
      </c>
      <c r="Y454">
        <f t="shared" ca="1" si="141"/>
        <v>0.86767128005487848</v>
      </c>
      <c r="Z454">
        <f t="shared" ca="1" si="143"/>
        <v>-0.6018622445827031</v>
      </c>
      <c r="AA454">
        <f t="shared" ca="1" si="144"/>
        <v>1.4695335246375816</v>
      </c>
      <c r="AB454">
        <f t="shared" ca="1" si="145"/>
        <v>302.76890000000014</v>
      </c>
    </row>
    <row r="455" spans="1:28" x14ac:dyDescent="0.25">
      <c r="A455" s="21">
        <f t="shared" ca="1" si="146"/>
        <v>45950</v>
      </c>
      <c r="B455" vm="1347">
        <f ca="1"/>
        <v>45952</v>
      </c>
      <c r="C455" vm="1348">
        <f ca="1"/>
        <v>310.11</v>
      </c>
      <c r="D455" vm="1349">
        <f ca="1"/>
        <v>2735723</v>
      </c>
      <c r="E455">
        <f t="shared" ca="1" si="147"/>
        <v>848375059.53000009</v>
      </c>
      <c r="F455">
        <f ca="1">SUM($E$2:E455)/SUM($D$2:D455)</f>
        <v>291.0280594145363</v>
      </c>
      <c r="G455">
        <f ca="1">_xlfn.STDEV.P($C$2:C455)</f>
        <v>17.609361212582392</v>
      </c>
      <c r="H455">
        <f t="shared" ca="1" si="148"/>
        <v>308.63742062711867</v>
      </c>
      <c r="I455">
        <f t="shared" ca="1" si="149"/>
        <v>273.41869820195393</v>
      </c>
      <c r="J455">
        <f t="shared" ca="1" si="137"/>
        <v>302.10399999999993</v>
      </c>
      <c r="K455">
        <f t="shared" ca="1" si="138"/>
        <v>4.8020252306489892</v>
      </c>
      <c r="L455">
        <f t="shared" ca="1" si="139"/>
        <v>311.70805046129789</v>
      </c>
      <c r="M455">
        <f t="shared" ca="1" si="140"/>
        <v>292.49994953870197</v>
      </c>
      <c r="N455">
        <f t="shared" ca="1" si="150"/>
        <v>2.6299999999999955</v>
      </c>
      <c r="O455">
        <f t="shared" ca="1" si="151"/>
        <v>2.6299999999999955</v>
      </c>
      <c r="P455">
        <f t="shared" ca="1" si="152"/>
        <v>0</v>
      </c>
      <c r="Q455">
        <f t="shared" ca="1" si="135"/>
        <v>1.1478307276127531</v>
      </c>
      <c r="R455">
        <f t="shared" ca="1" si="136"/>
        <v>0.67566003680738729</v>
      </c>
      <c r="S455">
        <f t="shared" ca="1" si="133"/>
        <v>1.6988287971513831</v>
      </c>
      <c r="T455">
        <f t="shared" ca="1" si="134"/>
        <v>62.946890108201707</v>
      </c>
      <c r="U455">
        <f>70</f>
        <v>70</v>
      </c>
      <c r="V455">
        <f>30</f>
        <v>30</v>
      </c>
      <c r="W455">
        <f t="shared" ca="1" si="132"/>
        <v>304.83150813157914</v>
      </c>
      <c r="X455">
        <f t="shared" ca="1" si="142"/>
        <v>303.96383685152426</v>
      </c>
      <c r="Y455">
        <f t="shared" ca="1" si="141"/>
        <v>0.97399127730375312</v>
      </c>
      <c r="Z455">
        <f t="shared" ca="1" si="143"/>
        <v>-0.28669154020541188</v>
      </c>
      <c r="AA455">
        <f t="shared" ca="1" si="144"/>
        <v>1.2606828175091649</v>
      </c>
      <c r="AB455">
        <f t="shared" ca="1" si="145"/>
        <v>302.73150000000015</v>
      </c>
    </row>
    <row r="456" spans="1:28" x14ac:dyDescent="0.25">
      <c r="A456" s="21">
        <f t="shared" ca="1" si="146"/>
        <v>45950</v>
      </c>
      <c r="B456" vm="1350">
        <f ca="1"/>
        <v>45953</v>
      </c>
      <c r="C456" vm="1351">
        <f ca="1"/>
        <v>306.97000000000003</v>
      </c>
      <c r="D456" vm="1352">
        <f ca="1"/>
        <v>2081527</v>
      </c>
      <c r="E456">
        <f t="shared" ca="1" si="147"/>
        <v>638966343.19000006</v>
      </c>
      <c r="F456">
        <f ca="1">SUM($E$2:E456)/SUM($D$2:D456)</f>
        <v>291.04919338470222</v>
      </c>
      <c r="G456">
        <f ca="1">_xlfn.STDEV.P($C$2:C456)</f>
        <v>17.604058048155562</v>
      </c>
      <c r="H456">
        <f t="shared" ca="1" si="148"/>
        <v>308.65325143285776</v>
      </c>
      <c r="I456">
        <f t="shared" ca="1" si="149"/>
        <v>273.44513533654668</v>
      </c>
      <c r="J456">
        <f t="shared" ca="1" si="137"/>
        <v>302.33749999999998</v>
      </c>
      <c r="K456">
        <f t="shared" ca="1" si="138"/>
        <v>4.9240471961054251</v>
      </c>
      <c r="L456">
        <f t="shared" ca="1" si="139"/>
        <v>312.18559439221082</v>
      </c>
      <c r="M456">
        <f t="shared" ca="1" si="140"/>
        <v>292.48940560778914</v>
      </c>
      <c r="N456">
        <f t="shared" ca="1" si="150"/>
        <v>-3.1399999999999864</v>
      </c>
      <c r="O456">
        <f t="shared" ca="1" si="151"/>
        <v>0</v>
      </c>
      <c r="P456">
        <f t="shared" ca="1" si="152"/>
        <v>3.1399999999999864</v>
      </c>
      <c r="Q456">
        <f t="shared" ca="1" si="135"/>
        <v>1.0658428184975564</v>
      </c>
      <c r="R456">
        <f t="shared" ca="1" si="136"/>
        <v>0.85168431989257287</v>
      </c>
      <c r="S456">
        <f t="shared" ca="1" si="133"/>
        <v>1.2514529076125251</v>
      </c>
      <c r="T456">
        <f t="shared" ca="1" si="134"/>
        <v>55.584236444882379</v>
      </c>
      <c r="U456">
        <f>70</f>
        <v>70</v>
      </c>
      <c r="V456">
        <f>30</f>
        <v>30</v>
      </c>
      <c r="W456">
        <f t="shared" ca="1" si="132"/>
        <v>305.16050688056697</v>
      </c>
      <c r="X456">
        <f t="shared" ca="1" si="142"/>
        <v>304.18651560326322</v>
      </c>
      <c r="Y456">
        <f t="shared" ca="1" si="141"/>
        <v>0.95205975062066273</v>
      </c>
      <c r="Z456">
        <f t="shared" ca="1" si="143"/>
        <v>-3.8941282040196951E-2</v>
      </c>
      <c r="AA456">
        <f t="shared" ca="1" si="144"/>
        <v>0.9910010326608597</v>
      </c>
      <c r="AB456">
        <f t="shared" ca="1" si="145"/>
        <v>302.67440000000022</v>
      </c>
    </row>
    <row r="457" spans="1:28" x14ac:dyDescent="0.25">
      <c r="A457" s="21">
        <f t="shared" ca="1" si="146"/>
        <v>45950</v>
      </c>
      <c r="B457" vm="1353">
        <f ca="1"/>
        <v>45954</v>
      </c>
      <c r="C457" vm="1354">
        <f ca="1"/>
        <v>305.79000000000002</v>
      </c>
      <c r="D457" vm="1355">
        <f ca="1"/>
        <v>1994545</v>
      </c>
      <c r="E457">
        <f t="shared" ca="1" si="147"/>
        <v>609911915.55000007</v>
      </c>
      <c r="F457">
        <f ca="1">SUM($E$2:E457)/SUM($D$2:D457)</f>
        <v>291.06789467684825</v>
      </c>
      <c r="G457">
        <f ca="1">_xlfn.STDEV.P($C$2:C457)</f>
        <v>17.596602532181958</v>
      </c>
      <c r="H457">
        <f t="shared" ca="1" si="148"/>
        <v>308.66449720903023</v>
      </c>
      <c r="I457">
        <f t="shared" ca="1" si="149"/>
        <v>273.47129214466628</v>
      </c>
      <c r="J457">
        <f t="shared" ca="1" si="137"/>
        <v>302.36500000000001</v>
      </c>
      <c r="K457">
        <f t="shared" ca="1" si="138"/>
        <v>4.9426111786340137</v>
      </c>
      <c r="L457">
        <f t="shared" ca="1" si="139"/>
        <v>312.25022235726806</v>
      </c>
      <c r="M457">
        <f t="shared" ca="1" si="140"/>
        <v>292.47977764273196</v>
      </c>
      <c r="N457">
        <f t="shared" ca="1" si="150"/>
        <v>-1.1800000000000068</v>
      </c>
      <c r="O457">
        <f t="shared" ca="1" si="151"/>
        <v>0</v>
      </c>
      <c r="P457">
        <f t="shared" ca="1" si="152"/>
        <v>1.1800000000000068</v>
      </c>
      <c r="Q457">
        <f t="shared" ca="1" si="135"/>
        <v>0.98971118860487373</v>
      </c>
      <c r="R457">
        <f t="shared" ca="1" si="136"/>
        <v>0.87513543990024678</v>
      </c>
      <c r="S457">
        <f t="shared" ca="1" si="133"/>
        <v>1.1309234473668293</v>
      </c>
      <c r="T457">
        <f t="shared" ca="1" si="134"/>
        <v>53.071988520484169</v>
      </c>
      <c r="U457">
        <f>70</f>
        <v>70</v>
      </c>
      <c r="V457">
        <f>30</f>
        <v>30</v>
      </c>
      <c r="W457">
        <f t="shared" ca="1" si="132"/>
        <v>305.25735197586437</v>
      </c>
      <c r="X457">
        <f t="shared" ca="1" si="142"/>
        <v>304.3052922252437</v>
      </c>
      <c r="Y457">
        <f t="shared" ca="1" si="141"/>
        <v>1.2598677026423957</v>
      </c>
      <c r="Z457">
        <f t="shared" ca="1" si="143"/>
        <v>0.2208205148963216</v>
      </c>
      <c r="AA457">
        <f t="shared" ca="1" si="144"/>
        <v>1.0390471877460741</v>
      </c>
      <c r="AB457">
        <f t="shared" ca="1" si="145"/>
        <v>302.60840000000019</v>
      </c>
    </row>
    <row r="458" spans="1:28" x14ac:dyDescent="0.25">
      <c r="A458" s="21">
        <f t="shared" ca="1" si="146"/>
        <v>45957</v>
      </c>
      <c r="B458" vm="1356">
        <f ca="1"/>
        <v>45957</v>
      </c>
      <c r="C458" vm="1357">
        <f ca="1"/>
        <v>310</v>
      </c>
      <c r="D458" vm="1358">
        <f ca="1"/>
        <v>2139674</v>
      </c>
      <c r="E458">
        <f t="shared" ca="1" si="147"/>
        <v>663298940</v>
      </c>
      <c r="F458">
        <f ca="1">SUM($E$2:E458)/SUM($D$2:D458)</f>
        <v>291.09362601550288</v>
      </c>
      <c r="G458">
        <f ca="1">_xlfn.STDEV.P($C$2:C458)</f>
        <v>17.597422859678296</v>
      </c>
      <c r="H458">
        <f t="shared" ca="1" si="148"/>
        <v>308.6910488751812</v>
      </c>
      <c r="I458">
        <f t="shared" ca="1" si="149"/>
        <v>273.49620315582456</v>
      </c>
      <c r="J458">
        <f t="shared" ca="1" si="137"/>
        <v>302.71549999999991</v>
      </c>
      <c r="K458">
        <f t="shared" ca="1" si="138"/>
        <v>5.2294927549126822</v>
      </c>
      <c r="L458">
        <f t="shared" ca="1" si="139"/>
        <v>313.17448550982527</v>
      </c>
      <c r="M458">
        <f t="shared" ca="1" si="140"/>
        <v>292.25651449017454</v>
      </c>
      <c r="N458">
        <f t="shared" ca="1" si="150"/>
        <v>4.2099999999999795</v>
      </c>
      <c r="O458">
        <f t="shared" ca="1" si="151"/>
        <v>4.2099999999999795</v>
      </c>
      <c r="P458">
        <f t="shared" ca="1" si="152"/>
        <v>0</v>
      </c>
      <c r="Q458">
        <f t="shared" ca="1" si="135"/>
        <v>1.2197318179902383</v>
      </c>
      <c r="R458">
        <f t="shared" ca="1" si="136"/>
        <v>0.81262576562165767</v>
      </c>
      <c r="S458">
        <f t="shared" ca="1" si="133"/>
        <v>1.500976057604013</v>
      </c>
      <c r="T458">
        <f t="shared" ca="1" si="134"/>
        <v>60.015610826837708</v>
      </c>
      <c r="U458">
        <f>70</f>
        <v>70</v>
      </c>
      <c r="V458">
        <f>30</f>
        <v>30</v>
      </c>
      <c r="W458">
        <f t="shared" ca="1" si="132"/>
        <v>305.98699013342366</v>
      </c>
      <c r="X458">
        <f t="shared" ca="1" si="142"/>
        <v>304.72712243078126</v>
      </c>
      <c r="Y458">
        <f t="shared" ca="1" si="141"/>
        <v>1.1994908251364791</v>
      </c>
      <c r="Z458">
        <f t="shared" ca="1" si="143"/>
        <v>0.41655457694435311</v>
      </c>
      <c r="AA458">
        <f t="shared" ca="1" si="144"/>
        <v>0.78293624819212604</v>
      </c>
      <c r="AB458">
        <f t="shared" ca="1" si="145"/>
        <v>302.59270000000021</v>
      </c>
    </row>
    <row r="459" spans="1:28" x14ac:dyDescent="0.25">
      <c r="A459" s="21">
        <f t="shared" ca="1" si="146"/>
        <v>45957</v>
      </c>
      <c r="B459" vm="1359">
        <f ca="1"/>
        <v>45958</v>
      </c>
      <c r="C459" vm="1360">
        <f ca="1"/>
        <v>306.39999999999998</v>
      </c>
      <c r="D459" vm="1361">
        <f ca="1"/>
        <v>2336495</v>
      </c>
      <c r="E459">
        <f t="shared" ca="1" si="147"/>
        <v>715902068</v>
      </c>
      <c r="F459">
        <f ca="1">SUM($E$2:E459)/SUM($D$2:D459)</f>
        <v>291.11630945727887</v>
      </c>
      <c r="G459">
        <f ca="1">_xlfn.STDEV.P($C$2:C459)</f>
        <v>17.590953875995087</v>
      </c>
      <c r="H459">
        <f t="shared" ca="1" si="148"/>
        <v>308.70726333327394</v>
      </c>
      <c r="I459">
        <f t="shared" ca="1" si="149"/>
        <v>273.5253555812838</v>
      </c>
      <c r="J459">
        <f t="shared" ca="1" si="137"/>
        <v>302.84099999999995</v>
      </c>
      <c r="K459">
        <f t="shared" ca="1" si="138"/>
        <v>5.2889426860991904</v>
      </c>
      <c r="L459">
        <f t="shared" ca="1" si="139"/>
        <v>313.41888537219836</v>
      </c>
      <c r="M459">
        <f t="shared" ca="1" si="140"/>
        <v>292.26311462780154</v>
      </c>
      <c r="N459">
        <f t="shared" ca="1" si="150"/>
        <v>-3.6000000000000227</v>
      </c>
      <c r="O459">
        <f t="shared" ca="1" si="151"/>
        <v>0</v>
      </c>
      <c r="P459">
        <f t="shared" ca="1" si="152"/>
        <v>3.6000000000000227</v>
      </c>
      <c r="Q459">
        <f t="shared" ca="1" si="135"/>
        <v>1.1326081167052213</v>
      </c>
      <c r="R459">
        <f t="shared" ca="1" si="136"/>
        <v>1.0117239252201122</v>
      </c>
      <c r="S459">
        <f t="shared" ca="1" si="133"/>
        <v>1.1194833773045441</v>
      </c>
      <c r="T459">
        <f t="shared" ca="1" si="134"/>
        <v>52.818691068398401</v>
      </c>
      <c r="U459">
        <f>70</f>
        <v>70</v>
      </c>
      <c r="V459">
        <f>30</f>
        <v>30</v>
      </c>
      <c r="W459">
        <f t="shared" ca="1" si="132"/>
        <v>306.05053011289692</v>
      </c>
      <c r="X459">
        <f t="shared" ca="1" si="142"/>
        <v>304.85103928776044</v>
      </c>
      <c r="Y459">
        <f t="shared" ca="1" si="141"/>
        <v>0.81544066953921401</v>
      </c>
      <c r="Z459">
        <f t="shared" ca="1" si="143"/>
        <v>0.49633179546332534</v>
      </c>
      <c r="AA459">
        <f t="shared" ca="1" si="144"/>
        <v>0.31910887407588867</v>
      </c>
      <c r="AB459">
        <f t="shared" ca="1" si="145"/>
        <v>302.56690000000015</v>
      </c>
    </row>
    <row r="460" spans="1:28" x14ac:dyDescent="0.25">
      <c r="A460" s="21">
        <f t="shared" ca="1" si="146"/>
        <v>45957</v>
      </c>
      <c r="B460" vm="1362">
        <f ca="1"/>
        <v>45959</v>
      </c>
      <c r="C460" vm="1363">
        <f ca="1"/>
        <v>302.35000000000002</v>
      </c>
      <c r="D460" vm="1364">
        <f ca="1"/>
        <v>2502261</v>
      </c>
      <c r="E460">
        <f t="shared" ca="1" si="147"/>
        <v>756558613.35000002</v>
      </c>
      <c r="F460">
        <f ca="1">SUM($E$2:E460)/SUM($D$2:D460)</f>
        <v>291.13411019967668</v>
      </c>
      <c r="G460">
        <f ca="1">_xlfn.STDEV.P($C$2:C460)</f>
        <v>17.578299951782864</v>
      </c>
      <c r="H460">
        <f t="shared" ca="1" si="148"/>
        <v>308.71241015145955</v>
      </c>
      <c r="I460">
        <f t="shared" ca="1" si="149"/>
        <v>273.55581024789382</v>
      </c>
      <c r="J460">
        <f t="shared" ca="1" si="137"/>
        <v>302.9325</v>
      </c>
      <c r="K460">
        <f t="shared" ca="1" si="138"/>
        <v>5.262438773240528</v>
      </c>
      <c r="L460">
        <f t="shared" ca="1" si="139"/>
        <v>313.45737754648104</v>
      </c>
      <c r="M460">
        <f t="shared" ca="1" si="140"/>
        <v>292.40762245351897</v>
      </c>
      <c r="N460">
        <f t="shared" ca="1" si="150"/>
        <v>-4.0499999999999545</v>
      </c>
      <c r="O460">
        <f t="shared" ca="1" si="151"/>
        <v>0</v>
      </c>
      <c r="P460">
        <f t="shared" ca="1" si="152"/>
        <v>4.0499999999999545</v>
      </c>
      <c r="Q460">
        <f t="shared" ca="1" si="135"/>
        <v>1.0517075369405626</v>
      </c>
      <c r="R460">
        <f t="shared" ca="1" si="136"/>
        <v>1.228743644847244</v>
      </c>
      <c r="S460">
        <f t="shared" ca="1" si="133"/>
        <v>0.85592103881954129</v>
      </c>
      <c r="T460">
        <f t="shared" ca="1" si="134"/>
        <v>46.118397330306138</v>
      </c>
      <c r="U460">
        <f>70</f>
        <v>70</v>
      </c>
      <c r="V460">
        <f>30</f>
        <v>30</v>
      </c>
      <c r="W460">
        <f t="shared" ca="1" si="132"/>
        <v>305.48121778783587</v>
      </c>
      <c r="X460">
        <f t="shared" ca="1" si="142"/>
        <v>304.66577711829666</v>
      </c>
      <c r="Y460">
        <f t="shared" ca="1" si="141"/>
        <v>0.51163566820747519</v>
      </c>
      <c r="Z460">
        <f t="shared" ca="1" si="143"/>
        <v>0.49939257001215531</v>
      </c>
      <c r="AA460">
        <f t="shared" ca="1" si="144"/>
        <v>1.2243098195319879E-2</v>
      </c>
      <c r="AB460">
        <f t="shared" ca="1" si="145"/>
        <v>302.51680000000016</v>
      </c>
    </row>
    <row r="461" spans="1:28" x14ac:dyDescent="0.25">
      <c r="A461" s="21">
        <f t="shared" ca="1" si="146"/>
        <v>45957</v>
      </c>
      <c r="B461" vm="1365">
        <f ca="1"/>
        <v>45960</v>
      </c>
      <c r="C461" vm="1366">
        <f ca="1"/>
        <v>302.43</v>
      </c>
      <c r="D461" vm="1367">
        <f ca="1"/>
        <v>3128398</v>
      </c>
      <c r="E461">
        <f t="shared" ca="1" si="147"/>
        <v>946121407.13999999</v>
      </c>
      <c r="F461">
        <f ca="1">SUM($E$2:E461)/SUM($D$2:D461)</f>
        <v>291.15644417189731</v>
      </c>
      <c r="G461">
        <f ca="1">_xlfn.STDEV.P($C$2:C461)</f>
        <v>17.565765292197401</v>
      </c>
      <c r="H461">
        <f t="shared" ca="1" si="148"/>
        <v>308.7222094640947</v>
      </c>
      <c r="I461">
        <f t="shared" ca="1" si="149"/>
        <v>273.59067887969991</v>
      </c>
      <c r="J461">
        <f t="shared" ca="1" si="137"/>
        <v>303.06</v>
      </c>
      <c r="K461">
        <f t="shared" ca="1" si="138"/>
        <v>5.215269080205486</v>
      </c>
      <c r="L461">
        <f t="shared" ca="1" si="139"/>
        <v>313.49053816041095</v>
      </c>
      <c r="M461">
        <f t="shared" ca="1" si="140"/>
        <v>292.62946183958906</v>
      </c>
      <c r="N461">
        <f t="shared" ca="1" si="150"/>
        <v>7.9999999999984084E-2</v>
      </c>
      <c r="O461">
        <f t="shared" ca="1" si="151"/>
        <v>7.9999999999984084E-2</v>
      </c>
      <c r="P461">
        <f t="shared" ca="1" si="152"/>
        <v>0</v>
      </c>
      <c r="Q461">
        <f t="shared" ca="1" si="135"/>
        <v>0.98229985573052125</v>
      </c>
      <c r="R461">
        <f t="shared" ca="1" si="136"/>
        <v>1.1409762416438693</v>
      </c>
      <c r="S461">
        <f t="shared" ca="1" si="133"/>
        <v>0.86092928132777413</v>
      </c>
      <c r="T461">
        <f t="shared" ca="1" si="134"/>
        <v>46.263406673546484</v>
      </c>
      <c r="U461">
        <f>70</f>
        <v>70</v>
      </c>
      <c r="V461">
        <f>30</f>
        <v>30</v>
      </c>
      <c r="W461">
        <f t="shared" ca="1" si="132"/>
        <v>305.01179966663034</v>
      </c>
      <c r="X461">
        <f t="shared" ca="1" si="142"/>
        <v>304.50016399842286</v>
      </c>
      <c r="Y461">
        <f t="shared" ca="1" si="141"/>
        <v>-5.1307118228578474E-2</v>
      </c>
      <c r="Z461">
        <f t="shared" ca="1" si="143"/>
        <v>0.38925263236400859</v>
      </c>
      <c r="AA461">
        <f t="shared" ca="1" si="144"/>
        <v>-0.44055975059258706</v>
      </c>
      <c r="AB461">
        <f t="shared" ca="1" si="145"/>
        <v>302.4933000000002</v>
      </c>
    </row>
    <row r="462" spans="1:28" x14ac:dyDescent="0.25">
      <c r="A462" s="21">
        <f t="shared" ca="1" si="146"/>
        <v>45957</v>
      </c>
      <c r="B462" vm="1368">
        <f ca="1"/>
        <v>45961</v>
      </c>
      <c r="C462" vm="1369">
        <f ca="1"/>
        <v>298.43</v>
      </c>
      <c r="D462" vm="1370">
        <f ca="1"/>
        <v>3582719</v>
      </c>
      <c r="E462">
        <f t="shared" ca="1" si="147"/>
        <v>1069190831.1700001</v>
      </c>
      <c r="F462">
        <f ca="1">SUM($E$2:E462)/SUM($D$2:D462)</f>
        <v>291.17287656372758</v>
      </c>
      <c r="G462">
        <f ca="1">_xlfn.STDEV.P($C$2:C462)</f>
        <v>17.549152358424802</v>
      </c>
      <c r="H462">
        <f t="shared" ca="1" si="148"/>
        <v>308.72202892215239</v>
      </c>
      <c r="I462">
        <f t="shared" ca="1" si="149"/>
        <v>273.62372420530278</v>
      </c>
      <c r="J462">
        <f t="shared" ca="1" si="137"/>
        <v>302.9325</v>
      </c>
      <c r="K462">
        <f t="shared" ca="1" si="138"/>
        <v>5.2992897984938558</v>
      </c>
      <c r="L462">
        <f t="shared" ca="1" si="139"/>
        <v>313.53107959698769</v>
      </c>
      <c r="M462">
        <f t="shared" ca="1" si="140"/>
        <v>292.33392040301231</v>
      </c>
      <c r="N462">
        <f t="shared" ca="1" si="150"/>
        <v>-4</v>
      </c>
      <c r="O462">
        <f t="shared" ca="1" si="151"/>
        <v>0</v>
      </c>
      <c r="P462">
        <f t="shared" ca="1" si="152"/>
        <v>4</v>
      </c>
      <c r="Q462">
        <f t="shared" ca="1" si="135"/>
        <v>0.91213558032119835</v>
      </c>
      <c r="R462">
        <f t="shared" ca="1" si="136"/>
        <v>1.345192224383593</v>
      </c>
      <c r="S462">
        <f t="shared" ca="1" si="133"/>
        <v>0.67807080935155273</v>
      </c>
      <c r="T462">
        <f t="shared" ca="1" si="134"/>
        <v>40.407759051215237</v>
      </c>
      <c r="U462">
        <f>70</f>
        <v>70</v>
      </c>
      <c r="V462">
        <f>30</f>
        <v>30</v>
      </c>
      <c r="W462">
        <f t="shared" ca="1" si="132"/>
        <v>303.99921510253336</v>
      </c>
      <c r="X462">
        <f t="shared" ca="1" si="142"/>
        <v>304.05052222076193</v>
      </c>
      <c r="Y462">
        <f t="shared" ca="1" si="141"/>
        <v>-0.65610494671000197</v>
      </c>
      <c r="Z462">
        <f t="shared" ca="1" si="143"/>
        <v>0.18018111654920646</v>
      </c>
      <c r="AA462">
        <f t="shared" ca="1" si="144"/>
        <v>-0.8362860632592084</v>
      </c>
      <c r="AB462">
        <f t="shared" ca="1" si="145"/>
        <v>302.47330000000022</v>
      </c>
    </row>
    <row r="463" spans="1:28" x14ac:dyDescent="0.25">
      <c r="A463" s="21">
        <f t="shared" ca="1" si="146"/>
        <v>45964</v>
      </c>
      <c r="B463" vm="1371">
        <f ca="1"/>
        <v>45964</v>
      </c>
      <c r="C463" vm="1372">
        <f ca="1"/>
        <v>296.37</v>
      </c>
      <c r="D463" vm="1373">
        <f ca="1"/>
        <v>3899313</v>
      </c>
      <c r="E463">
        <f t="shared" ca="1" si="147"/>
        <v>1155639393.8099999</v>
      </c>
      <c r="F463">
        <f ca="1">SUM($E$2:E463)/SUM($D$2:D463)</f>
        <v>291.18562408778911</v>
      </c>
      <c r="G463">
        <f ca="1">_xlfn.STDEV.P($C$2:C463)</f>
        <v>17.531250717915498</v>
      </c>
      <c r="H463">
        <f t="shared" ca="1" si="148"/>
        <v>308.71687480570461</v>
      </c>
      <c r="I463">
        <f t="shared" ca="1" si="149"/>
        <v>273.65437336987361</v>
      </c>
      <c r="J463">
        <f t="shared" ca="1" si="137"/>
        <v>302.94900000000001</v>
      </c>
      <c r="K463">
        <f t="shared" ca="1" si="138"/>
        <v>5.277167202601273</v>
      </c>
      <c r="L463">
        <f t="shared" ca="1" si="139"/>
        <v>313.50333440520257</v>
      </c>
      <c r="M463">
        <f t="shared" ca="1" si="140"/>
        <v>292.39466559479746</v>
      </c>
      <c r="N463">
        <f t="shared" ca="1" si="150"/>
        <v>-2.0600000000000023</v>
      </c>
      <c r="O463">
        <f t="shared" ca="1" si="151"/>
        <v>0</v>
      </c>
      <c r="P463">
        <f t="shared" ca="1" si="152"/>
        <v>2.0600000000000023</v>
      </c>
      <c r="Q463">
        <f t="shared" ca="1" si="135"/>
        <v>0.84698303886968418</v>
      </c>
      <c r="R463">
        <f t="shared" ca="1" si="136"/>
        <v>1.3962499226419081</v>
      </c>
      <c r="S463">
        <f t="shared" ca="1" si="133"/>
        <v>0.6066127740706112</v>
      </c>
      <c r="T463">
        <f t="shared" ca="1" si="134"/>
        <v>37.75724828414382</v>
      </c>
      <c r="U463">
        <f>70</f>
        <v>70</v>
      </c>
      <c r="V463">
        <f>30</f>
        <v>30</v>
      </c>
      <c r="W463">
        <f t="shared" ref="W463:W514" ca="1" si="153">C463*(2/(12+1)) + W462*(1-(2/(12+1)))</f>
        <v>302.82548970214361</v>
      </c>
      <c r="X463">
        <f t="shared" ca="1" si="142"/>
        <v>303.48159464885362</v>
      </c>
      <c r="Y463">
        <f t="shared" ca="1" si="141"/>
        <v>-0.89591971322153086</v>
      </c>
      <c r="Z463">
        <f t="shared" ca="1" si="143"/>
        <v>-3.5039049404941014E-2</v>
      </c>
      <c r="AA463">
        <f t="shared" ca="1" si="144"/>
        <v>-0.86088066381658979</v>
      </c>
      <c r="AB463">
        <f t="shared" ca="1" si="145"/>
        <v>302.41980000000012</v>
      </c>
    </row>
    <row r="464" spans="1:28" x14ac:dyDescent="0.25">
      <c r="A464" s="21">
        <f t="shared" ca="1" si="146"/>
        <v>45964</v>
      </c>
      <c r="B464" vm="1374">
        <f ca="1"/>
        <v>45965</v>
      </c>
      <c r="C464" vm="1375">
        <f ca="1"/>
        <v>299.20999999999998</v>
      </c>
      <c r="D464" vm="1376">
        <f ca="1"/>
        <v>4151259</v>
      </c>
      <c r="E464">
        <f t="shared" ca="1" si="147"/>
        <v>1242098205.3899999</v>
      </c>
      <c r="F464">
        <f ca="1">SUM($E$2:E464)/SUM($D$2:D464)</f>
        <v>291.20652345888016</v>
      </c>
      <c r="G464">
        <f ca="1">_xlfn.STDEV.P($C$2:C464)</f>
        <v>17.515374092836954</v>
      </c>
      <c r="H464">
        <f t="shared" ca="1" si="148"/>
        <v>308.72189755171712</v>
      </c>
      <c r="I464">
        <f t="shared" ca="1" si="149"/>
        <v>273.69114936604319</v>
      </c>
      <c r="J464">
        <f t="shared" ca="1" si="137"/>
        <v>303.09350000000006</v>
      </c>
      <c r="K464">
        <f t="shared" ca="1" si="138"/>
        <v>5.123425329334192</v>
      </c>
      <c r="L464">
        <f t="shared" ca="1" si="139"/>
        <v>313.34035065866846</v>
      </c>
      <c r="M464">
        <f t="shared" ca="1" si="140"/>
        <v>292.84664934133167</v>
      </c>
      <c r="N464">
        <f t="shared" ca="1" si="150"/>
        <v>2.839999999999975</v>
      </c>
      <c r="O464">
        <f t="shared" ca="1" si="151"/>
        <v>2.839999999999975</v>
      </c>
      <c r="P464">
        <f t="shared" ca="1" si="152"/>
        <v>0</v>
      </c>
      <c r="Q464">
        <f t="shared" ca="1" si="135"/>
        <v>0.98934139323613357</v>
      </c>
      <c r="R464">
        <f t="shared" ca="1" si="136"/>
        <v>1.2965177853103431</v>
      </c>
      <c r="S464">
        <f t="shared" ref="S464:S514" ca="1" si="154">IF(R464=0,NA(),Q464/R464)</f>
        <v>0.76307583624802977</v>
      </c>
      <c r="T464">
        <f t="shared" ref="T464:T514" ca="1" si="155">100-(100/(1+S464))</f>
        <v>43.280942348567251</v>
      </c>
      <c r="U464">
        <f>70</f>
        <v>70</v>
      </c>
      <c r="V464">
        <f>30</f>
        <v>30</v>
      </c>
      <c r="W464">
        <f t="shared" ca="1" si="153"/>
        <v>302.26926051719846</v>
      </c>
      <c r="X464">
        <f t="shared" ca="1" si="142"/>
        <v>303.16518023041999</v>
      </c>
      <c r="Y464">
        <f t="shared" ca="1" si="141"/>
        <v>-0.55827122871386337</v>
      </c>
      <c r="Z464">
        <f t="shared" ca="1" si="143"/>
        <v>-0.13968548526672547</v>
      </c>
      <c r="AA464">
        <f t="shared" ca="1" si="144"/>
        <v>-0.41858574344713789</v>
      </c>
      <c r="AB464">
        <f t="shared" ca="1" si="145"/>
        <v>302.38030000000015</v>
      </c>
    </row>
    <row r="465" spans="1:28" x14ac:dyDescent="0.25">
      <c r="A465" s="21">
        <f t="shared" ca="1" si="146"/>
        <v>45964</v>
      </c>
      <c r="B465" vm="1377">
        <f ca="1"/>
        <v>45966</v>
      </c>
      <c r="C465" vm="914">
        <f ca="1"/>
        <v>305.67</v>
      </c>
      <c r="D465" vm="1378">
        <f ca="1"/>
        <v>6070334</v>
      </c>
      <c r="E465">
        <f t="shared" ca="1" si="147"/>
        <v>1855518993.7800002</v>
      </c>
      <c r="F465">
        <f ca="1">SUM($E$2:E465)/SUM($D$2:D465)</f>
        <v>291.26139871153856</v>
      </c>
      <c r="G465">
        <f ca="1">_xlfn.STDEV.P($C$2:C465)</f>
        <v>17.507692516813933</v>
      </c>
      <c r="H465">
        <f t="shared" ca="1" si="148"/>
        <v>308.76909122835252</v>
      </c>
      <c r="I465">
        <f t="shared" ca="1" si="149"/>
        <v>273.7537061947246</v>
      </c>
      <c r="J465">
        <f t="shared" ca="1" si="137"/>
        <v>303.65700000000004</v>
      </c>
      <c r="K465">
        <f t="shared" ca="1" si="138"/>
        <v>4.7208998919140077</v>
      </c>
      <c r="L465">
        <f t="shared" ca="1" si="139"/>
        <v>313.09879978382804</v>
      </c>
      <c r="M465">
        <f t="shared" ca="1" si="140"/>
        <v>294.21520021617204</v>
      </c>
      <c r="N465">
        <f t="shared" ca="1" si="150"/>
        <v>6.4600000000000364</v>
      </c>
      <c r="O465">
        <f t="shared" ca="1" si="151"/>
        <v>6.4600000000000364</v>
      </c>
      <c r="P465">
        <f t="shared" ca="1" si="152"/>
        <v>0</v>
      </c>
      <c r="Q465">
        <f t="shared" ref="Q465:Q514" ca="1" si="156">(Q464*13+O465)/14</f>
        <v>1.3801027222906979</v>
      </c>
      <c r="R465">
        <f t="shared" ref="R465:R514" ca="1" si="157">(R464*13+P465)/14</f>
        <v>1.20390937207389</v>
      </c>
      <c r="S465">
        <f t="shared" ca="1" si="154"/>
        <v>1.146351008060758</v>
      </c>
      <c r="T465">
        <f t="shared" ca="1" si="155"/>
        <v>53.40929809502564</v>
      </c>
      <c r="U465">
        <f>70</f>
        <v>70</v>
      </c>
      <c r="V465">
        <f>30</f>
        <v>30</v>
      </c>
      <c r="W465">
        <f t="shared" ca="1" si="153"/>
        <v>302.79245120686022</v>
      </c>
      <c r="X465">
        <f t="shared" ca="1" si="142"/>
        <v>303.35072243557408</v>
      </c>
      <c r="Y465">
        <f t="shared" ca="1" si="141"/>
        <v>-0.86651505163558795</v>
      </c>
      <c r="Z465">
        <f t="shared" ca="1" si="143"/>
        <v>-0.28505139854049799</v>
      </c>
      <c r="AA465">
        <f t="shared" ca="1" si="144"/>
        <v>-0.58146365309508996</v>
      </c>
      <c r="AB465">
        <f t="shared" ca="1" si="145"/>
        <v>302.41790000000015</v>
      </c>
    </row>
    <row r="466" spans="1:28" x14ac:dyDescent="0.25">
      <c r="A466" s="21">
        <f t="shared" ca="1" si="146"/>
        <v>45964</v>
      </c>
      <c r="B466" vm="1379">
        <f ca="1"/>
        <v>45967</v>
      </c>
      <c r="C466" vm="41">
        <f ca="1"/>
        <v>298.41000000000003</v>
      </c>
      <c r="D466" vm="1380">
        <f ca="1"/>
        <v>3544869</v>
      </c>
      <c r="E466">
        <f t="shared" ca="1" si="147"/>
        <v>1057824358.2900001</v>
      </c>
      <c r="F466">
        <f ca="1">SUM($E$2:E466)/SUM($D$2:D466)</f>
        <v>291.27720214153186</v>
      </c>
      <c r="G466">
        <f ca="1">_xlfn.STDEV.P($C$2:C466)</f>
        <v>17.491226204675815</v>
      </c>
      <c r="H466">
        <f t="shared" ca="1" si="148"/>
        <v>308.76842834620766</v>
      </c>
      <c r="I466">
        <f t="shared" ca="1" si="149"/>
        <v>273.78597593685606</v>
      </c>
      <c r="J466">
        <f t="shared" ca="1" si="137"/>
        <v>303.88700000000006</v>
      </c>
      <c r="K466">
        <f t="shared" ca="1" si="138"/>
        <v>4.3100898757267343</v>
      </c>
      <c r="L466">
        <f t="shared" ca="1" si="139"/>
        <v>312.50717975145352</v>
      </c>
      <c r="M466">
        <f t="shared" ca="1" si="140"/>
        <v>295.26682024854659</v>
      </c>
      <c r="N466">
        <f t="shared" ca="1" si="150"/>
        <v>-7.2599999999999909</v>
      </c>
      <c r="O466">
        <f t="shared" ca="1" si="151"/>
        <v>0</v>
      </c>
      <c r="P466">
        <f t="shared" ca="1" si="152"/>
        <v>7.2599999999999909</v>
      </c>
      <c r="Q466">
        <f t="shared" ca="1" si="156"/>
        <v>1.2815239564127909</v>
      </c>
      <c r="R466">
        <f t="shared" ca="1" si="157"/>
        <v>1.6364872740686116</v>
      </c>
      <c r="S466">
        <f t="shared" ca="1" si="154"/>
        <v>0.78309436114751085</v>
      </c>
      <c r="T466">
        <f t="shared" ca="1" si="155"/>
        <v>43.917718445565058</v>
      </c>
      <c r="U466">
        <f>70</f>
        <v>70</v>
      </c>
      <c r="V466">
        <f>30</f>
        <v>30</v>
      </c>
      <c r="W466">
        <f t="shared" ca="1" si="153"/>
        <v>302.11822794426632</v>
      </c>
      <c r="X466">
        <f t="shared" ca="1" si="142"/>
        <v>302.98474299590191</v>
      </c>
      <c r="Y466">
        <f t="shared" ca="1" si="141"/>
        <v>-0.99842670718243198</v>
      </c>
      <c r="Z466">
        <f t="shared" ca="1" si="143"/>
        <v>-0.42772646026888483</v>
      </c>
      <c r="AA466">
        <f t="shared" ca="1" si="144"/>
        <v>-0.57070024691354715</v>
      </c>
      <c r="AB466">
        <f t="shared" ca="1" si="145"/>
        <v>302.43910000000017</v>
      </c>
    </row>
    <row r="467" spans="1:28" x14ac:dyDescent="0.25">
      <c r="A467" s="21">
        <f t="shared" ca="1" si="146"/>
        <v>45964</v>
      </c>
      <c r="B467" vm="1381">
        <f ca="1"/>
        <v>45968</v>
      </c>
      <c r="C467" vm="1382">
        <f ca="1"/>
        <v>299.66000000000003</v>
      </c>
      <c r="D467" vm="1383">
        <f ca="1"/>
        <v>3250197</v>
      </c>
      <c r="E467">
        <f t="shared" ca="1" si="147"/>
        <v>973954033.0200001</v>
      </c>
      <c r="F467">
        <f ca="1">SUM($E$2:E467)/SUM($D$2:D467)</f>
        <v>291.29415915536822</v>
      </c>
      <c r="G467">
        <f ca="1">_xlfn.STDEV.P($C$2:C467)</f>
        <v>17.475850548728637</v>
      </c>
      <c r="H467">
        <f t="shared" ca="1" si="148"/>
        <v>308.77000970409688</v>
      </c>
      <c r="I467">
        <f t="shared" ca="1" si="149"/>
        <v>273.81830860663956</v>
      </c>
      <c r="J467">
        <f t="shared" ca="1" si="137"/>
        <v>304.01949999999999</v>
      </c>
      <c r="K467">
        <f t="shared" ca="1" si="138"/>
        <v>4.1242791714686939</v>
      </c>
      <c r="L467">
        <f t="shared" ca="1" si="139"/>
        <v>312.26805834293737</v>
      </c>
      <c r="M467">
        <f t="shared" ca="1" si="140"/>
        <v>295.77094165706262</v>
      </c>
      <c r="N467">
        <f t="shared" ca="1" si="150"/>
        <v>1.25</v>
      </c>
      <c r="O467">
        <f t="shared" ca="1" si="151"/>
        <v>1.25</v>
      </c>
      <c r="P467">
        <f t="shared" ca="1" si="152"/>
        <v>0</v>
      </c>
      <c r="Q467">
        <f t="shared" ca="1" si="156"/>
        <v>1.2792722452404488</v>
      </c>
      <c r="R467">
        <f t="shared" ca="1" si="157"/>
        <v>1.5195953259208537</v>
      </c>
      <c r="S467">
        <f t="shared" ca="1" si="154"/>
        <v>0.84185060549934743</v>
      </c>
      <c r="T467">
        <f t="shared" ca="1" si="155"/>
        <v>45.706780071400622</v>
      </c>
      <c r="U467">
        <f>70</f>
        <v>70</v>
      </c>
      <c r="V467">
        <f>30</f>
        <v>30</v>
      </c>
      <c r="W467">
        <f t="shared" ca="1" si="153"/>
        <v>301.74003902976381</v>
      </c>
      <c r="X467">
        <f t="shared" ca="1" si="142"/>
        <v>302.73846573694624</v>
      </c>
      <c r="Y467">
        <f t="shared" ca="1" si="141"/>
        <v>-1.1350705774008247</v>
      </c>
      <c r="Z467">
        <f t="shared" ca="1" si="143"/>
        <v>-0.56919528369527284</v>
      </c>
      <c r="AA467">
        <f t="shared" ca="1" si="144"/>
        <v>-0.5658752937055519</v>
      </c>
      <c r="AB467">
        <f t="shared" ca="1" si="145"/>
        <v>302.51260000000013</v>
      </c>
    </row>
    <row r="468" spans="1:28" x14ac:dyDescent="0.25">
      <c r="A468" s="21">
        <f t="shared" ca="1" si="146"/>
        <v>45971</v>
      </c>
      <c r="B468" vm="1384">
        <f ca="1"/>
        <v>45971</v>
      </c>
      <c r="C468" vm="1385">
        <f ca="1"/>
        <v>299.10000000000002</v>
      </c>
      <c r="D468" vm="1386">
        <f ca="1"/>
        <v>3824334</v>
      </c>
      <c r="E468">
        <f t="shared" ca="1" si="147"/>
        <v>1143858299.4000001</v>
      </c>
      <c r="F468">
        <f ca="1">SUM($E$2:E468)/SUM($D$2:D468)</f>
        <v>291.31269420440475</v>
      </c>
      <c r="G468">
        <f ca="1">_xlfn.STDEV.P($C$2:C468)</f>
        <v>17.460022380058259</v>
      </c>
      <c r="H468">
        <f t="shared" ca="1" si="148"/>
        <v>308.77271658446301</v>
      </c>
      <c r="I468">
        <f t="shared" ca="1" si="149"/>
        <v>273.85267182434649</v>
      </c>
      <c r="J468">
        <f t="shared" ca="1" si="137"/>
        <v>303.96899999999994</v>
      </c>
      <c r="K468">
        <f t="shared" ca="1" si="138"/>
        <v>4.1804695027183083</v>
      </c>
      <c r="L468">
        <f t="shared" ca="1" si="139"/>
        <v>312.32993900543653</v>
      </c>
      <c r="M468">
        <f t="shared" ca="1" si="140"/>
        <v>295.60806099456335</v>
      </c>
      <c r="N468">
        <f t="shared" ca="1" si="150"/>
        <v>-0.56000000000000227</v>
      </c>
      <c r="O468">
        <f t="shared" ca="1" si="151"/>
        <v>0</v>
      </c>
      <c r="P468">
        <f t="shared" ca="1" si="152"/>
        <v>0.56000000000000227</v>
      </c>
      <c r="Q468">
        <f t="shared" ca="1" si="156"/>
        <v>1.1878956562947025</v>
      </c>
      <c r="R468">
        <f t="shared" ca="1" si="157"/>
        <v>1.4510528026407929</v>
      </c>
      <c r="S468">
        <f t="shared" ca="1" si="154"/>
        <v>0.81864399016550826</v>
      </c>
      <c r="T468">
        <f t="shared" ca="1" si="155"/>
        <v>45.013977149590801</v>
      </c>
      <c r="U468">
        <f>70</f>
        <v>70</v>
      </c>
      <c r="V468">
        <f>30</f>
        <v>30</v>
      </c>
      <c r="W468">
        <f t="shared" ca="1" si="153"/>
        <v>301.33387917903087</v>
      </c>
      <c r="X468">
        <f t="shared" ca="1" si="142"/>
        <v>302.4689497564317</v>
      </c>
      <c r="Y468">
        <f t="shared" ca="1" si="141"/>
        <v>-0.61255428680379964</v>
      </c>
      <c r="Z468">
        <f t="shared" ca="1" si="143"/>
        <v>-0.5778670843169782</v>
      </c>
      <c r="AA468">
        <f t="shared" ca="1" si="144"/>
        <v>-3.4687202486821445E-2</v>
      </c>
      <c r="AB468">
        <f t="shared" ca="1" si="145"/>
        <v>302.60730000000012</v>
      </c>
    </row>
    <row r="469" spans="1:28" x14ac:dyDescent="0.25">
      <c r="A469" s="21">
        <f t="shared" ca="1" si="146"/>
        <v>45971</v>
      </c>
      <c r="B469" vm="1387">
        <f ca="1"/>
        <v>45972</v>
      </c>
      <c r="C469" vm="1388">
        <f ca="1"/>
        <v>306.83</v>
      </c>
      <c r="D469" vm="1389">
        <f ca="1"/>
        <v>2755799</v>
      </c>
      <c r="E469">
        <f t="shared" ca="1" si="147"/>
        <v>845561807.16999996</v>
      </c>
      <c r="F469">
        <f ca="1">SUM($E$2:E469)/SUM($D$2:D469)</f>
        <v>291.33919992525654</v>
      </c>
      <c r="G469">
        <f ca="1">_xlfn.STDEV.P($C$2:C469)</f>
        <v>17.454366081745327</v>
      </c>
      <c r="H469">
        <f t="shared" ca="1" si="148"/>
        <v>308.79356600700186</v>
      </c>
      <c r="I469">
        <f t="shared" ca="1" si="149"/>
        <v>273.88483384351122</v>
      </c>
      <c r="J469">
        <f t="shared" ca="1" si="137"/>
        <v>304.08249999999998</v>
      </c>
      <c r="K469">
        <f t="shared" ca="1" si="138"/>
        <v>4.2279058832824905</v>
      </c>
      <c r="L469">
        <f t="shared" ca="1" si="139"/>
        <v>312.53831176656496</v>
      </c>
      <c r="M469">
        <f t="shared" ca="1" si="140"/>
        <v>295.626688233435</v>
      </c>
      <c r="N469">
        <f t="shared" ca="1" si="150"/>
        <v>7.7299999999999613</v>
      </c>
      <c r="O469">
        <f t="shared" ca="1" si="151"/>
        <v>7.7299999999999613</v>
      </c>
      <c r="P469">
        <f t="shared" ca="1" si="152"/>
        <v>0</v>
      </c>
      <c r="Q469">
        <f t="shared" ca="1" si="156"/>
        <v>1.6551888237022208</v>
      </c>
      <c r="R469">
        <f t="shared" ca="1" si="157"/>
        <v>1.3474061738807364</v>
      </c>
      <c r="S469">
        <f t="shared" ca="1" si="154"/>
        <v>1.2284260349906393</v>
      </c>
      <c r="T469">
        <f t="shared" ca="1" si="155"/>
        <v>55.125277469476323</v>
      </c>
      <c r="U469">
        <f>70</f>
        <v>70</v>
      </c>
      <c r="V469">
        <f>30</f>
        <v>30</v>
      </c>
      <c r="W469">
        <f t="shared" ca="1" si="153"/>
        <v>302.17943622841074</v>
      </c>
      <c r="X469">
        <f t="shared" ca="1" si="142"/>
        <v>302.79199051521454</v>
      </c>
      <c r="Y469">
        <f t="shared" ca="1" si="141"/>
        <v>-0.18741982224145204</v>
      </c>
      <c r="Z469">
        <f t="shared" ca="1" si="143"/>
        <v>-0.49977763190187297</v>
      </c>
      <c r="AA469">
        <f t="shared" ca="1" si="144"/>
        <v>0.31235780966042093</v>
      </c>
      <c r="AB469">
        <f t="shared" ca="1" si="145"/>
        <v>302.80100000000016</v>
      </c>
    </row>
    <row r="470" spans="1:28" x14ac:dyDescent="0.25">
      <c r="A470" s="21">
        <f t="shared" ca="1" si="146"/>
        <v>45971</v>
      </c>
      <c r="B470" vm="1390">
        <f ca="1"/>
        <v>45973</v>
      </c>
      <c r="C470" vm="1391">
        <f ca="1"/>
        <v>306.94</v>
      </c>
      <c r="D470" vm="1392">
        <f ca="1"/>
        <v>2818642</v>
      </c>
      <c r="E470">
        <f t="shared" ca="1" si="147"/>
        <v>865153975.48000002</v>
      </c>
      <c r="F470">
        <f ca="1">SUM($E$2:E470)/SUM($D$2:D470)</f>
        <v>291.36640841668282</v>
      </c>
      <c r="G470">
        <f ca="1">_xlfn.STDEV.P($C$2:C470)</f>
        <v>17.448872757190742</v>
      </c>
      <c r="H470">
        <f t="shared" ca="1" si="148"/>
        <v>308.81528117387359</v>
      </c>
      <c r="I470">
        <f t="shared" ca="1" si="149"/>
        <v>273.91753565949205</v>
      </c>
      <c r="J470">
        <f t="shared" ref="J470:J514" ca="1" si="158">AVERAGE(C451:C470)</f>
        <v>304.16699999999997</v>
      </c>
      <c r="K470">
        <f t="shared" ref="K470:K514" ca="1" si="159">_xlfn.STDEV.S(C451:C470)</f>
        <v>4.2691550994497556</v>
      </c>
      <c r="L470">
        <f t="shared" ref="L470:L514" ca="1" si="160">J470 + 2*K470</f>
        <v>312.7053101988995</v>
      </c>
      <c r="M470">
        <f t="shared" ref="M470:M514" ca="1" si="161">J470-2*K470</f>
        <v>295.62868980110045</v>
      </c>
      <c r="N470">
        <f t="shared" ca="1" si="150"/>
        <v>0.11000000000001364</v>
      </c>
      <c r="O470">
        <f t="shared" ca="1" si="151"/>
        <v>0.11000000000001364</v>
      </c>
      <c r="P470">
        <f t="shared" ca="1" si="152"/>
        <v>0</v>
      </c>
      <c r="Q470">
        <f t="shared" ca="1" si="156"/>
        <v>1.5448181934377774</v>
      </c>
      <c r="R470">
        <f t="shared" ca="1" si="157"/>
        <v>1.2511628757463982</v>
      </c>
      <c r="S470">
        <f t="shared" ca="1" si="154"/>
        <v>1.2347059071075739</v>
      </c>
      <c r="T470">
        <f t="shared" ca="1" si="155"/>
        <v>55.251382438312845</v>
      </c>
      <c r="U470">
        <f>70</f>
        <v>70</v>
      </c>
      <c r="V470">
        <f>30</f>
        <v>30</v>
      </c>
      <c r="W470">
        <f t="shared" ca="1" si="153"/>
        <v>302.91183065480908</v>
      </c>
      <c r="X470">
        <f t="shared" ca="1" si="142"/>
        <v>303.09925047705053</v>
      </c>
      <c r="Y470">
        <f t="shared" ca="1" si="141"/>
        <v>0.19885270494836504</v>
      </c>
      <c r="Z470">
        <f t="shared" ca="1" si="143"/>
        <v>-0.36005156453182535</v>
      </c>
      <c r="AA470">
        <f t="shared" ca="1" si="144"/>
        <v>0.55890426948019045</v>
      </c>
      <c r="AB470">
        <f t="shared" ca="1" si="145"/>
        <v>302.97520000000009</v>
      </c>
    </row>
    <row r="471" spans="1:28" x14ac:dyDescent="0.25">
      <c r="A471" s="21">
        <f t="shared" ca="1" si="146"/>
        <v>45971</v>
      </c>
      <c r="B471" vm="1393">
        <f ca="1"/>
        <v>45974</v>
      </c>
      <c r="C471" vm="1394">
        <f ca="1"/>
        <v>307.58</v>
      </c>
      <c r="D471" vm="1395">
        <f ca="1"/>
        <v>2294288</v>
      </c>
      <c r="E471">
        <f t="shared" ca="1" si="147"/>
        <v>705677103.03999996</v>
      </c>
      <c r="F471">
        <f ca="1">SUM($E$2:E471)/SUM($D$2:D471)</f>
        <v>291.38939258262798</v>
      </c>
      <c r="G471">
        <f ca="1">_xlfn.STDEV.P($C$2:C471)</f>
        <v>17.444510530499553</v>
      </c>
      <c r="H471">
        <f t="shared" ca="1" si="148"/>
        <v>308.83390311312752</v>
      </c>
      <c r="I471">
        <f t="shared" ca="1" si="149"/>
        <v>273.94488205212843</v>
      </c>
      <c r="J471">
        <f t="shared" ca="1" si="158"/>
        <v>304.27949999999998</v>
      </c>
      <c r="K471">
        <f t="shared" ca="1" si="159"/>
        <v>4.3306186199640004</v>
      </c>
      <c r="L471">
        <f t="shared" ca="1" si="160"/>
        <v>312.94073723992801</v>
      </c>
      <c r="M471">
        <f t="shared" ca="1" si="161"/>
        <v>295.61826276007196</v>
      </c>
      <c r="N471">
        <f t="shared" ca="1" si="150"/>
        <v>0.63999999999998636</v>
      </c>
      <c r="O471">
        <f t="shared" ca="1" si="151"/>
        <v>0.63999999999998636</v>
      </c>
      <c r="P471">
        <f t="shared" ca="1" si="152"/>
        <v>0</v>
      </c>
      <c r="Q471">
        <f t="shared" ca="1" si="156"/>
        <v>1.4801883224779353</v>
      </c>
      <c r="R471">
        <f t="shared" ca="1" si="157"/>
        <v>1.1617940989073698</v>
      </c>
      <c r="S471">
        <f t="shared" ca="1" si="154"/>
        <v>1.2740539170150762</v>
      </c>
      <c r="T471">
        <f t="shared" ca="1" si="155"/>
        <v>56.025668849901315</v>
      </c>
      <c r="U471">
        <f>70</f>
        <v>70</v>
      </c>
      <c r="V471">
        <f>30</f>
        <v>30</v>
      </c>
      <c r="W471">
        <f t="shared" ca="1" si="153"/>
        <v>303.6300105540692</v>
      </c>
      <c r="X471">
        <f t="shared" ca="1" si="142"/>
        <v>303.43115784912084</v>
      </c>
      <c r="Y471">
        <f t="shared" ca="1" si="141"/>
        <v>0.4553471042571573</v>
      </c>
      <c r="Z471">
        <f t="shared" ca="1" si="143"/>
        <v>-0.19697183077402883</v>
      </c>
      <c r="AA471">
        <f t="shared" ca="1" si="144"/>
        <v>0.6523189350311861</v>
      </c>
      <c r="AB471">
        <f t="shared" ca="1" si="145"/>
        <v>303.13630000000018</v>
      </c>
    </row>
    <row r="472" spans="1:28" x14ac:dyDescent="0.25">
      <c r="A472" s="21">
        <f t="shared" ca="1" si="146"/>
        <v>45971</v>
      </c>
      <c r="B472" vm="1396">
        <f ca="1"/>
        <v>45975</v>
      </c>
      <c r="C472" vm="1397">
        <f ca="1"/>
        <v>307.02999999999997</v>
      </c>
      <c r="D472" vm="1398">
        <f ca="1"/>
        <v>3112574</v>
      </c>
      <c r="E472">
        <f t="shared" ca="1" si="147"/>
        <v>955653595.21999991</v>
      </c>
      <c r="F472">
        <f ca="1">SUM($E$2:E472)/SUM($D$2:D472)</f>
        <v>291.41941464063171</v>
      </c>
      <c r="G472">
        <f ca="1">_xlfn.STDEV.P($C$2:C472)</f>
        <v>17.439105261909297</v>
      </c>
      <c r="H472">
        <f t="shared" ca="1" si="148"/>
        <v>308.85851990254099</v>
      </c>
      <c r="I472">
        <f t="shared" ca="1" si="149"/>
        <v>273.98030937872244</v>
      </c>
      <c r="J472">
        <f t="shared" ca="1" si="158"/>
        <v>304.22649999999993</v>
      </c>
      <c r="K472">
        <f t="shared" ca="1" si="159"/>
        <v>4.2878043393596608</v>
      </c>
      <c r="L472">
        <f t="shared" ca="1" si="160"/>
        <v>312.80210867871926</v>
      </c>
      <c r="M472">
        <f t="shared" ca="1" si="161"/>
        <v>295.6508913212806</v>
      </c>
      <c r="N472">
        <f t="shared" ca="1" si="150"/>
        <v>-0.55000000000001137</v>
      </c>
      <c r="O472">
        <f t="shared" ca="1" si="151"/>
        <v>0</v>
      </c>
      <c r="P472">
        <f t="shared" ca="1" si="152"/>
        <v>0.55000000000001137</v>
      </c>
      <c r="Q472">
        <f t="shared" ca="1" si="156"/>
        <v>1.3744605851580829</v>
      </c>
      <c r="R472">
        <f t="shared" ca="1" si="157"/>
        <v>1.1180945204139872</v>
      </c>
      <c r="S472">
        <f t="shared" ca="1" si="154"/>
        <v>1.2292883652172566</v>
      </c>
      <c r="T472">
        <f t="shared" ca="1" si="155"/>
        <v>55.142635847267599</v>
      </c>
      <c r="U472">
        <f>70</f>
        <v>70</v>
      </c>
      <c r="V472">
        <f>30</f>
        <v>30</v>
      </c>
      <c r="W472">
        <f t="shared" ca="1" si="153"/>
        <v>304.15308585344314</v>
      </c>
      <c r="X472">
        <f t="shared" ca="1" si="142"/>
        <v>303.69773874918599</v>
      </c>
      <c r="Y472">
        <f t="shared" ca="1" si="141"/>
        <v>0.48120058400900234</v>
      </c>
      <c r="Z472">
        <f t="shared" ca="1" si="143"/>
        <v>-6.1337347817422588E-2</v>
      </c>
      <c r="AA472">
        <f t="shared" ca="1" si="144"/>
        <v>0.54253793182642496</v>
      </c>
      <c r="AB472">
        <f t="shared" ca="1" si="145"/>
        <v>303.35110000000009</v>
      </c>
    </row>
    <row r="473" spans="1:28" x14ac:dyDescent="0.25">
      <c r="A473" s="21">
        <f t="shared" ca="1" si="146"/>
        <v>45978</v>
      </c>
      <c r="B473" vm="1399">
        <f ca="1"/>
        <v>45978</v>
      </c>
      <c r="C473" vm="1400">
        <f ca="1"/>
        <v>304.89999999999998</v>
      </c>
      <c r="D473" vm="1401">
        <f ca="1"/>
        <v>2435713</v>
      </c>
      <c r="E473">
        <f t="shared" ca="1" si="147"/>
        <v>742648893.69999993</v>
      </c>
      <c r="F473">
        <f ca="1">SUM($E$2:E473)/SUM($D$2:D473)</f>
        <v>291.43963319815191</v>
      </c>
      <c r="G473">
        <f ca="1">_xlfn.STDEV.P($C$2:C473)</f>
        <v>17.430152646988219</v>
      </c>
      <c r="H473">
        <f t="shared" ca="1" si="148"/>
        <v>308.86978584514014</v>
      </c>
      <c r="I473">
        <f t="shared" ca="1" si="149"/>
        <v>274.00948055116368</v>
      </c>
      <c r="J473">
        <f t="shared" ca="1" si="158"/>
        <v>304.08299999999997</v>
      </c>
      <c r="K473">
        <f t="shared" ca="1" si="159"/>
        <v>4.2102970266516282</v>
      </c>
      <c r="L473">
        <f t="shared" ca="1" si="160"/>
        <v>312.50359405330323</v>
      </c>
      <c r="M473">
        <f t="shared" ca="1" si="161"/>
        <v>295.66240594669671</v>
      </c>
      <c r="N473">
        <f t="shared" ca="1" si="150"/>
        <v>-2.1299999999999955</v>
      </c>
      <c r="O473">
        <f t="shared" ca="1" si="151"/>
        <v>0</v>
      </c>
      <c r="P473">
        <f t="shared" ca="1" si="152"/>
        <v>2.1299999999999955</v>
      </c>
      <c r="Q473">
        <f t="shared" ca="1" si="156"/>
        <v>1.2762848290753628</v>
      </c>
      <c r="R473">
        <f t="shared" ca="1" si="157"/>
        <v>1.1903734832415591</v>
      </c>
      <c r="S473">
        <f t="shared" ca="1" si="154"/>
        <v>1.0721717570521268</v>
      </c>
      <c r="T473">
        <f t="shared" ca="1" si="155"/>
        <v>51.741452097455436</v>
      </c>
      <c r="U473">
        <f>70</f>
        <v>70</v>
      </c>
      <c r="V473">
        <f>30</f>
        <v>30</v>
      </c>
      <c r="W473">
        <f t="shared" ca="1" si="153"/>
        <v>304.26799572214418</v>
      </c>
      <c r="X473">
        <f t="shared" ca="1" si="142"/>
        <v>303.78679513813518</v>
      </c>
      <c r="Y473">
        <f t="shared" ca="1" si="141"/>
        <v>0.47124304724474086</v>
      </c>
      <c r="Z473">
        <f t="shared" ca="1" si="143"/>
        <v>4.5178731195010105E-2</v>
      </c>
      <c r="AA473">
        <f t="shared" ca="1" si="144"/>
        <v>0.42606431604973077</v>
      </c>
      <c r="AB473">
        <f t="shared" ca="1" si="145"/>
        <v>303.54380000000015</v>
      </c>
    </row>
    <row r="474" spans="1:28" x14ac:dyDescent="0.25">
      <c r="A474" s="21">
        <f t="shared" ca="1" si="146"/>
        <v>45978</v>
      </c>
      <c r="B474" vm="1402">
        <f ca="1"/>
        <v>45979</v>
      </c>
      <c r="C474" vm="1403">
        <f ca="1"/>
        <v>304.58999999999997</v>
      </c>
      <c r="D474" vm="1404">
        <f ca="1"/>
        <v>2774197</v>
      </c>
      <c r="E474">
        <f t="shared" ca="1" si="147"/>
        <v>844992664.2299999</v>
      </c>
      <c r="F474">
        <f ca="1">SUM($E$2:E474)/SUM($D$2:D474)</f>
        <v>291.46205906374814</v>
      </c>
      <c r="G474">
        <f ca="1">_xlfn.STDEV.P($C$2:C474)</f>
        <v>17.420729350481228</v>
      </c>
      <c r="H474">
        <f t="shared" ca="1" si="148"/>
        <v>308.88278841422937</v>
      </c>
      <c r="I474">
        <f t="shared" ca="1" si="149"/>
        <v>274.04132971326692</v>
      </c>
      <c r="J474">
        <f t="shared" ca="1" si="158"/>
        <v>303.93849999999992</v>
      </c>
      <c r="K474">
        <f t="shared" ca="1" si="159"/>
        <v>4.1365206266543382</v>
      </c>
      <c r="L474">
        <f t="shared" ca="1" si="160"/>
        <v>312.21154125330861</v>
      </c>
      <c r="M474">
        <f t="shared" ca="1" si="161"/>
        <v>295.66545874669123</v>
      </c>
      <c r="N474">
        <f t="shared" ca="1" si="150"/>
        <v>-0.31000000000000227</v>
      </c>
      <c r="O474">
        <f t="shared" ca="1" si="151"/>
        <v>0</v>
      </c>
      <c r="P474">
        <f t="shared" ca="1" si="152"/>
        <v>0.31000000000000227</v>
      </c>
      <c r="Q474">
        <f t="shared" ca="1" si="156"/>
        <v>1.1851216269985512</v>
      </c>
      <c r="R474">
        <f t="shared" ca="1" si="157"/>
        <v>1.1274896630100193</v>
      </c>
      <c r="S474">
        <f t="shared" ca="1" si="154"/>
        <v>1.0511152925647884</v>
      </c>
      <c r="T474">
        <f t="shared" ca="1" si="155"/>
        <v>51.2460365526521</v>
      </c>
      <c r="U474">
        <f>70</f>
        <v>70</v>
      </c>
      <c r="V474">
        <f>30</f>
        <v>30</v>
      </c>
      <c r="W474">
        <f t="shared" ca="1" si="153"/>
        <v>304.31753484181434</v>
      </c>
      <c r="X474">
        <f t="shared" ca="1" si="142"/>
        <v>303.84629179456959</v>
      </c>
      <c r="Y474">
        <f t="shared" ca="1" si="141"/>
        <v>0.3104929196118178</v>
      </c>
      <c r="Z474">
        <f t="shared" ca="1" si="143"/>
        <v>9.8241568878371655E-2</v>
      </c>
      <c r="AA474">
        <f t="shared" ca="1" si="144"/>
        <v>0.21225135073344614</v>
      </c>
      <c r="AB474">
        <f t="shared" ca="1" si="145"/>
        <v>303.67420000000016</v>
      </c>
    </row>
    <row r="475" spans="1:28" x14ac:dyDescent="0.25">
      <c r="A475" s="21">
        <f t="shared" ca="1" si="146"/>
        <v>45978</v>
      </c>
      <c r="B475" vm="1405">
        <f ca="1"/>
        <v>45980</v>
      </c>
      <c r="C475" vm="1406">
        <f ca="1"/>
        <v>302.74</v>
      </c>
      <c r="D475" vm="1407">
        <f ca="1"/>
        <v>2008521</v>
      </c>
      <c r="E475">
        <f t="shared" ca="1" si="147"/>
        <v>608059647.53999996</v>
      </c>
      <c r="F475">
        <f ca="1">SUM($E$2:E475)/SUM($D$2:D475)</f>
        <v>291.4759664130961</v>
      </c>
      <c r="G475">
        <f ca="1">_xlfn.STDEV.P($C$2:C475)</f>
        <v>17.408786772717193</v>
      </c>
      <c r="H475">
        <f t="shared" ca="1" si="148"/>
        <v>308.88475318581328</v>
      </c>
      <c r="I475">
        <f t="shared" ca="1" si="149"/>
        <v>274.06717964037892</v>
      </c>
      <c r="J475">
        <f t="shared" ca="1" si="158"/>
        <v>303.56999999999994</v>
      </c>
      <c r="K475">
        <f t="shared" ca="1" si="159"/>
        <v>3.8779973127755878</v>
      </c>
      <c r="L475">
        <f t="shared" ca="1" si="160"/>
        <v>311.32599462555112</v>
      </c>
      <c r="M475">
        <f t="shared" ca="1" si="161"/>
        <v>295.81400537444875</v>
      </c>
      <c r="N475">
        <f t="shared" ca="1" si="150"/>
        <v>-1.8499999999999659</v>
      </c>
      <c r="O475">
        <f t="shared" ca="1" si="151"/>
        <v>0</v>
      </c>
      <c r="P475">
        <f t="shared" ca="1" si="152"/>
        <v>1.8499999999999659</v>
      </c>
      <c r="Q475">
        <f t="shared" ca="1" si="156"/>
        <v>1.1004700822129403</v>
      </c>
      <c r="R475">
        <f t="shared" ca="1" si="157"/>
        <v>1.1790975442235871</v>
      </c>
      <c r="S475">
        <f t="shared" ca="1" si="154"/>
        <v>0.93331555782145104</v>
      </c>
      <c r="T475">
        <f t="shared" ca="1" si="155"/>
        <v>48.275386500957659</v>
      </c>
      <c r="U475">
        <f>70</f>
        <v>70</v>
      </c>
      <c r="V475">
        <f>30</f>
        <v>30</v>
      </c>
      <c r="W475">
        <f t="shared" ca="1" si="153"/>
        <v>304.07483717384292</v>
      </c>
      <c r="X475">
        <f t="shared" ca="1" si="142"/>
        <v>303.7643442542311</v>
      </c>
      <c r="Y475">
        <f t="shared" ca="1" si="141"/>
        <v>0.29428705984685166</v>
      </c>
      <c r="Z475">
        <f t="shared" ca="1" si="143"/>
        <v>0.13745066707206766</v>
      </c>
      <c r="AA475">
        <f t="shared" ca="1" si="144"/>
        <v>0.15683639277478401</v>
      </c>
      <c r="AB475">
        <f t="shared" ca="1" si="145"/>
        <v>303.77990000000017</v>
      </c>
    </row>
    <row r="476" spans="1:28" x14ac:dyDescent="0.25">
      <c r="A476" s="21">
        <f t="shared" ca="1" si="146"/>
        <v>45978</v>
      </c>
      <c r="B476" vm="1408">
        <f ca="1"/>
        <v>45981</v>
      </c>
      <c r="C476" vm="1409">
        <f ca="1"/>
        <v>304.16000000000003</v>
      </c>
      <c r="D476" vm="1410">
        <f ca="1"/>
        <v>4205133</v>
      </c>
      <c r="E476">
        <f t="shared" ca="1" si="147"/>
        <v>1279033253.2800002</v>
      </c>
      <c r="F476">
        <f ca="1">SUM($E$2:E476)/SUM($D$2:D476)</f>
        <v>291.50862936914996</v>
      </c>
      <c r="G476">
        <f ca="1">_xlfn.STDEV.P($C$2:C476)</f>
        <v>17.398747160933254</v>
      </c>
      <c r="H476">
        <f t="shared" ca="1" si="148"/>
        <v>308.90737653008318</v>
      </c>
      <c r="I476">
        <f t="shared" ca="1" si="149"/>
        <v>274.10988220821673</v>
      </c>
      <c r="J476">
        <f t="shared" ca="1" si="158"/>
        <v>303.4294999999999</v>
      </c>
      <c r="K476">
        <f t="shared" ca="1" si="159"/>
        <v>3.7984186113918983</v>
      </c>
      <c r="L476">
        <f t="shared" ca="1" si="160"/>
        <v>311.0263372227837</v>
      </c>
      <c r="M476">
        <f t="shared" ca="1" si="161"/>
        <v>295.83266277721611</v>
      </c>
      <c r="N476">
        <f t="shared" ca="1" si="150"/>
        <v>1.4200000000000159</v>
      </c>
      <c r="O476">
        <f t="shared" ca="1" si="151"/>
        <v>1.4200000000000159</v>
      </c>
      <c r="P476">
        <f t="shared" ca="1" si="152"/>
        <v>0</v>
      </c>
      <c r="Q476">
        <f t="shared" ca="1" si="156"/>
        <v>1.12329364776916</v>
      </c>
      <c r="R476">
        <f t="shared" ca="1" si="157"/>
        <v>1.0948762910647596</v>
      </c>
      <c r="S476">
        <f t="shared" ca="1" si="154"/>
        <v>1.0259548562118965</v>
      </c>
      <c r="T476">
        <f t="shared" ca="1" si="155"/>
        <v>50.640558602091126</v>
      </c>
      <c r="U476">
        <f>70</f>
        <v>70</v>
      </c>
      <c r="V476">
        <f>30</f>
        <v>30</v>
      </c>
      <c r="W476">
        <f t="shared" ca="1" si="153"/>
        <v>304.08793914709787</v>
      </c>
      <c r="X476">
        <f t="shared" ca="1" si="142"/>
        <v>303.79365208725102</v>
      </c>
      <c r="Y476">
        <f t="shared" ref="Y476:Y514" ca="1" si="162">W477-X477</f>
        <v>0.69225355649996345</v>
      </c>
      <c r="Z476">
        <f t="shared" ca="1" si="143"/>
        <v>0.24841124495764683</v>
      </c>
      <c r="AA476">
        <f t="shared" ca="1" si="144"/>
        <v>0.44384231154231663</v>
      </c>
      <c r="AB476">
        <f t="shared" ca="1" si="145"/>
        <v>303.84660000000014</v>
      </c>
    </row>
    <row r="477" spans="1:28" x14ac:dyDescent="0.25">
      <c r="A477" s="21">
        <f t="shared" ca="1" si="146"/>
        <v>45978</v>
      </c>
      <c r="B477" vm="1411">
        <f ca="1"/>
        <v>45982</v>
      </c>
      <c r="C477" vm="1412">
        <f ca="1"/>
        <v>309.35000000000002</v>
      </c>
      <c r="D477" vm="1413">
        <f ca="1"/>
        <v>3348908</v>
      </c>
      <c r="E477">
        <f t="shared" ca="1" si="147"/>
        <v>1035984689.8000001</v>
      </c>
      <c r="F477">
        <f ca="1">SUM($E$2:E477)/SUM($D$2:D477)</f>
        <v>291.54514342399636</v>
      </c>
      <c r="G477">
        <f ca="1">_xlfn.STDEV.P($C$2:C477)</f>
        <v>17.397648777123866</v>
      </c>
      <c r="H477">
        <f t="shared" ca="1" si="148"/>
        <v>308.94279220112026</v>
      </c>
      <c r="I477">
        <f t="shared" ca="1" si="149"/>
        <v>274.14749464687247</v>
      </c>
      <c r="J477">
        <f t="shared" ca="1" si="158"/>
        <v>303.60749999999996</v>
      </c>
      <c r="K477">
        <f t="shared" ca="1" si="159"/>
        <v>3.9932731265414141</v>
      </c>
      <c r="L477">
        <f t="shared" ca="1" si="160"/>
        <v>311.59404625308281</v>
      </c>
      <c r="M477">
        <f t="shared" ca="1" si="161"/>
        <v>295.62095374691711</v>
      </c>
      <c r="N477">
        <f t="shared" ca="1" si="150"/>
        <v>5.1899999999999977</v>
      </c>
      <c r="O477">
        <f t="shared" ca="1" si="151"/>
        <v>5.1899999999999977</v>
      </c>
      <c r="P477">
        <f t="shared" ca="1" si="152"/>
        <v>0</v>
      </c>
      <c r="Q477">
        <f t="shared" ca="1" si="156"/>
        <v>1.4137726729285056</v>
      </c>
      <c r="R477">
        <f t="shared" ca="1" si="157"/>
        <v>1.016670841702991</v>
      </c>
      <c r="S477">
        <f t="shared" ca="1" si="154"/>
        <v>1.3905903611441661</v>
      </c>
      <c r="T477">
        <f t="shared" ca="1" si="155"/>
        <v>58.169328536847793</v>
      </c>
      <c r="U477">
        <f>70</f>
        <v>70</v>
      </c>
      <c r="V477">
        <f>30</f>
        <v>30</v>
      </c>
      <c r="W477">
        <f t="shared" ca="1" si="153"/>
        <v>304.89748697062129</v>
      </c>
      <c r="X477">
        <f t="shared" ref="X477:X514" ca="1" si="163">C477*(2/(26+1)) + X476*(1-(2/(26+1)))</f>
        <v>304.20523341412132</v>
      </c>
      <c r="Y477">
        <f t="shared" ca="1" si="162"/>
        <v>0.64117598485779581</v>
      </c>
      <c r="Z477">
        <f t="shared" ca="1" si="143"/>
        <v>0.32696419293767665</v>
      </c>
      <c r="AA477">
        <f t="shared" ca="1" si="144"/>
        <v>0.31421179192011917</v>
      </c>
      <c r="AB477">
        <f t="shared" ca="1" si="145"/>
        <v>303.99380000000014</v>
      </c>
    </row>
    <row r="478" spans="1:28" x14ac:dyDescent="0.25">
      <c r="A478" s="21">
        <f t="shared" ca="1" si="146"/>
        <v>45985</v>
      </c>
      <c r="B478" vm="1414">
        <f ca="1"/>
        <v>45985</v>
      </c>
      <c r="C478" vm="1400">
        <f ca="1"/>
        <v>304.89999999999998</v>
      </c>
      <c r="D478" vm="1415">
        <f ca="1"/>
        <v>3687330</v>
      </c>
      <c r="E478">
        <f t="shared" ca="1" si="147"/>
        <v>1124266917</v>
      </c>
      <c r="F478">
        <f ca="1">SUM($E$2:E478)/SUM($D$2:D478)</f>
        <v>291.5751697588164</v>
      </c>
      <c r="G478">
        <f ca="1">_xlfn.STDEV.P($C$2:C478)</f>
        <v>17.388654783837364</v>
      </c>
      <c r="H478">
        <f t="shared" ca="1" si="148"/>
        <v>308.96382454265375</v>
      </c>
      <c r="I478">
        <f t="shared" ca="1" si="149"/>
        <v>274.18651497497905</v>
      </c>
      <c r="J478">
        <f t="shared" ca="1" si="158"/>
        <v>303.35249999999996</v>
      </c>
      <c r="K478">
        <f t="shared" ca="1" si="159"/>
        <v>3.7168490829280523</v>
      </c>
      <c r="L478">
        <f t="shared" ca="1" si="160"/>
        <v>310.78619816585609</v>
      </c>
      <c r="M478">
        <f t="shared" ca="1" si="161"/>
        <v>295.91880183414384</v>
      </c>
      <c r="N478">
        <f t="shared" ca="1" si="150"/>
        <v>-4.4500000000000455</v>
      </c>
      <c r="O478">
        <f t="shared" ca="1" si="151"/>
        <v>0</v>
      </c>
      <c r="P478">
        <f t="shared" ca="1" si="152"/>
        <v>4.4500000000000455</v>
      </c>
      <c r="Q478">
        <f t="shared" ca="1" si="156"/>
        <v>1.3127889105764694</v>
      </c>
      <c r="R478">
        <f t="shared" ca="1" si="157"/>
        <v>1.2619086387242093</v>
      </c>
      <c r="S478">
        <f t="shared" ca="1" si="154"/>
        <v>1.0403200915588471</v>
      </c>
      <c r="T478">
        <f t="shared" ca="1" si="155"/>
        <v>50.988082500526708</v>
      </c>
      <c r="U478">
        <f>70</f>
        <v>70</v>
      </c>
      <c r="V478">
        <f>30</f>
        <v>30</v>
      </c>
      <c r="W478">
        <f t="shared" ca="1" si="153"/>
        <v>304.89787359052571</v>
      </c>
      <c r="X478">
        <f t="shared" ca="1" si="163"/>
        <v>304.25669760566791</v>
      </c>
      <c r="Y478">
        <f t="shared" ca="1" si="162"/>
        <v>1.0365861383021411</v>
      </c>
      <c r="Z478">
        <f t="shared" ca="1" si="143"/>
        <v>0.4688885820105696</v>
      </c>
      <c r="AA478">
        <f t="shared" ca="1" si="144"/>
        <v>0.56769755629157148</v>
      </c>
      <c r="AB478">
        <f t="shared" ca="1" si="145"/>
        <v>304.10200000000015</v>
      </c>
    </row>
    <row r="479" spans="1:28" x14ac:dyDescent="0.25">
      <c r="A479" s="21">
        <f t="shared" ca="1" si="146"/>
        <v>45985</v>
      </c>
      <c r="B479" vm="1416">
        <f ca="1"/>
        <v>45986</v>
      </c>
      <c r="C479" vm="1417">
        <f ca="1"/>
        <v>310.45</v>
      </c>
      <c r="D479" vm="1418">
        <f ca="1"/>
        <v>4189915</v>
      </c>
      <c r="E479">
        <f t="shared" ca="1" si="147"/>
        <v>1300759111.75</v>
      </c>
      <c r="F479">
        <f ca="1">SUM($E$2:E479)/SUM($D$2:D479)</f>
        <v>291.62326822593479</v>
      </c>
      <c r="G479">
        <f ca="1">_xlfn.STDEV.P($C$2:C479)</f>
        <v>17.389751761831569</v>
      </c>
      <c r="H479">
        <f t="shared" ca="1" si="148"/>
        <v>309.01301998776637</v>
      </c>
      <c r="I479">
        <f t="shared" ca="1" si="149"/>
        <v>274.23351646410322</v>
      </c>
      <c r="J479">
        <f t="shared" ca="1" si="158"/>
        <v>303.55499999999995</v>
      </c>
      <c r="K479">
        <f t="shared" ca="1" si="159"/>
        <v>3.9917777335022242</v>
      </c>
      <c r="L479">
        <f t="shared" ca="1" si="160"/>
        <v>311.53855546700441</v>
      </c>
      <c r="M479">
        <f t="shared" ca="1" si="161"/>
        <v>295.57144453299549</v>
      </c>
      <c r="N479">
        <f t="shared" ca="1" si="150"/>
        <v>5.5500000000000114</v>
      </c>
      <c r="O479">
        <f t="shared" ca="1" si="151"/>
        <v>5.5500000000000114</v>
      </c>
      <c r="P479">
        <f t="shared" ca="1" si="152"/>
        <v>0</v>
      </c>
      <c r="Q479">
        <f t="shared" ca="1" si="156"/>
        <v>1.6154468455352937</v>
      </c>
      <c r="R479">
        <f t="shared" ca="1" si="157"/>
        <v>1.1717723073867659</v>
      </c>
      <c r="S479">
        <f t="shared" ca="1" si="154"/>
        <v>1.3786354527681157</v>
      </c>
      <c r="T479">
        <f t="shared" ca="1" si="155"/>
        <v>57.959089576493994</v>
      </c>
      <c r="U479">
        <f>70</f>
        <v>70</v>
      </c>
      <c r="V479">
        <f>30</f>
        <v>30</v>
      </c>
      <c r="W479">
        <f t="shared" ca="1" si="153"/>
        <v>305.75204688429096</v>
      </c>
      <c r="X479">
        <f t="shared" ca="1" si="163"/>
        <v>304.71546074598882</v>
      </c>
      <c r="Y479">
        <f t="shared" ca="1" si="162"/>
        <v>1.4901230261768319</v>
      </c>
      <c r="Z479">
        <f t="shared" ca="1" si="143"/>
        <v>0.67313547084382208</v>
      </c>
      <c r="AA479">
        <f t="shared" ca="1" si="144"/>
        <v>0.81698755533300982</v>
      </c>
      <c r="AB479">
        <f t="shared" ca="1" si="145"/>
        <v>304.27120000000008</v>
      </c>
    </row>
    <row r="480" spans="1:28" x14ac:dyDescent="0.25">
      <c r="A480" s="21">
        <f t="shared" ca="1" si="146"/>
        <v>45985</v>
      </c>
      <c r="B480" vm="1419">
        <f ca="1"/>
        <v>45987</v>
      </c>
      <c r="C480" vm="1420">
        <f ca="1"/>
        <v>312.39999999999998</v>
      </c>
      <c r="D480" vm="1421">
        <f ca="1"/>
        <v>2786843</v>
      </c>
      <c r="E480">
        <f t="shared" ca="1" si="147"/>
        <v>870609753.19999993</v>
      </c>
      <c r="F480">
        <f ca="1">SUM($E$2:E480)/SUM($D$2:D480)</f>
        <v>291.65842404519054</v>
      </c>
      <c r="G480">
        <f ca="1">_xlfn.STDEV.P($C$2:C480)</f>
        <v>17.39516925696357</v>
      </c>
      <c r="H480">
        <f t="shared" ca="1" si="148"/>
        <v>309.05359330215413</v>
      </c>
      <c r="I480">
        <f t="shared" ca="1" si="149"/>
        <v>274.26325478822696</v>
      </c>
      <c r="J480">
        <f t="shared" ca="1" si="158"/>
        <v>304.05749999999995</v>
      </c>
      <c r="K480">
        <f t="shared" ca="1" si="159"/>
        <v>4.4395553060852162</v>
      </c>
      <c r="L480">
        <f t="shared" ca="1" si="160"/>
        <v>312.9366106121704</v>
      </c>
      <c r="M480">
        <f t="shared" ca="1" si="161"/>
        <v>295.1783893878295</v>
      </c>
      <c r="N480">
        <f t="shared" ca="1" si="150"/>
        <v>1.9499999999999886</v>
      </c>
      <c r="O480">
        <f t="shared" ca="1" si="151"/>
        <v>1.9499999999999886</v>
      </c>
      <c r="P480">
        <f t="shared" ca="1" si="152"/>
        <v>0</v>
      </c>
      <c r="Q480">
        <f t="shared" ca="1" si="156"/>
        <v>1.6393434994256293</v>
      </c>
      <c r="R480">
        <f t="shared" ca="1" si="157"/>
        <v>1.0880742854305683</v>
      </c>
      <c r="S480">
        <f t="shared" ca="1" si="154"/>
        <v>1.5066466705229735</v>
      </c>
      <c r="T480">
        <f t="shared" ca="1" si="155"/>
        <v>60.106064737422074</v>
      </c>
      <c r="U480">
        <f>70</f>
        <v>70</v>
      </c>
      <c r="V480">
        <f>30</f>
        <v>30</v>
      </c>
      <c r="W480">
        <f t="shared" ca="1" si="153"/>
        <v>306.77480890209239</v>
      </c>
      <c r="X480">
        <f t="shared" ca="1" si="163"/>
        <v>305.28468587591556</v>
      </c>
      <c r="Y480">
        <f t="shared" ca="1" si="162"/>
        <v>1.7822089294839998</v>
      </c>
      <c r="Z480">
        <f t="shared" ca="1" si="143"/>
        <v>0.89495016257185767</v>
      </c>
      <c r="AA480">
        <f t="shared" ca="1" si="144"/>
        <v>0.88725876691214212</v>
      </c>
      <c r="AB480">
        <f t="shared" ca="1" si="145"/>
        <v>304.47850000000011</v>
      </c>
    </row>
    <row r="481" spans="1:28" x14ac:dyDescent="0.25">
      <c r="A481" s="21">
        <f t="shared" ca="1" si="146"/>
        <v>45985</v>
      </c>
      <c r="B481" vm="1422">
        <f ca="1"/>
        <v>45989</v>
      </c>
      <c r="C481" vm="1423">
        <f ca="1"/>
        <v>311.82</v>
      </c>
      <c r="D481" vm="1424">
        <f ca="1"/>
        <v>1850687</v>
      </c>
      <c r="E481">
        <f t="shared" ca="1" si="147"/>
        <v>577081220.34000003</v>
      </c>
      <c r="F481">
        <f ca="1">SUM($E$2:E481)/SUM($D$2:D481)</f>
        <v>291.68105366230787</v>
      </c>
      <c r="G481">
        <f ca="1">_xlfn.STDEV.P($C$2:C481)</f>
        <v>17.399112835780517</v>
      </c>
      <c r="H481">
        <f t="shared" ca="1" si="148"/>
        <v>309.08016649808837</v>
      </c>
      <c r="I481">
        <f t="shared" ca="1" si="149"/>
        <v>274.28194082652738</v>
      </c>
      <c r="J481">
        <f t="shared" ca="1" si="158"/>
        <v>304.52699999999999</v>
      </c>
      <c r="K481">
        <f t="shared" ca="1" si="159"/>
        <v>4.7444284221212039</v>
      </c>
      <c r="L481">
        <f t="shared" ca="1" si="160"/>
        <v>314.01585684424242</v>
      </c>
      <c r="M481">
        <f t="shared" ca="1" si="161"/>
        <v>295.03814315575755</v>
      </c>
      <c r="N481">
        <f t="shared" ca="1" si="150"/>
        <v>-0.57999999999998408</v>
      </c>
      <c r="O481">
        <f t="shared" ca="1" si="151"/>
        <v>0</v>
      </c>
      <c r="P481">
        <f t="shared" ca="1" si="152"/>
        <v>0.57999999999998408</v>
      </c>
      <c r="Q481">
        <f t="shared" ca="1" si="156"/>
        <v>1.5222475351809415</v>
      </c>
      <c r="R481">
        <f t="shared" ca="1" si="157"/>
        <v>1.0517832650426695</v>
      </c>
      <c r="S481">
        <f t="shared" ca="1" si="154"/>
        <v>1.4473015361384227</v>
      </c>
      <c r="T481">
        <f t="shared" ca="1" si="155"/>
        <v>59.138668233833911</v>
      </c>
      <c r="U481">
        <f>70</f>
        <v>70</v>
      </c>
      <c r="V481">
        <f>30</f>
        <v>30</v>
      </c>
      <c r="W481">
        <f t="shared" ca="1" si="153"/>
        <v>307.55099214792432</v>
      </c>
      <c r="X481">
        <f t="shared" ca="1" si="163"/>
        <v>305.76878321844032</v>
      </c>
      <c r="Y481">
        <f t="shared" ca="1" si="162"/>
        <v>1.3326214300296897</v>
      </c>
      <c r="Z481">
        <f t="shared" ca="1" si="143"/>
        <v>0.98248441606342407</v>
      </c>
      <c r="AA481">
        <f t="shared" ca="1" si="144"/>
        <v>0.35013701396626562</v>
      </c>
      <c r="AB481">
        <f t="shared" ca="1" si="145"/>
        <v>304.6665000000001</v>
      </c>
    </row>
    <row r="482" spans="1:28" x14ac:dyDescent="0.25">
      <c r="A482" s="21">
        <f t="shared" ca="1" si="146"/>
        <v>45992</v>
      </c>
      <c r="B482" vm="1425">
        <f ca="1"/>
        <v>45992</v>
      </c>
      <c r="C482" vm="1426">
        <f ca="1"/>
        <v>303.57</v>
      </c>
      <c r="D482" vm="1427">
        <f ca="1"/>
        <v>3354081</v>
      </c>
      <c r="E482">
        <f t="shared" ca="1" si="147"/>
        <v>1018198369.17</v>
      </c>
      <c r="F482">
        <f ca="1">SUM($E$2:E482)/SUM($D$2:D482)</f>
        <v>291.70518904141295</v>
      </c>
      <c r="G482">
        <f ca="1">_xlfn.STDEV.P($C$2:C482)</f>
        <v>17.38813921182744</v>
      </c>
      <c r="H482">
        <f t="shared" ca="1" si="148"/>
        <v>309.09332825324037</v>
      </c>
      <c r="I482">
        <f t="shared" ca="1" si="149"/>
        <v>274.31704982958553</v>
      </c>
      <c r="J482">
        <f t="shared" ca="1" si="158"/>
        <v>304.78399999999999</v>
      </c>
      <c r="K482">
        <f t="shared" ca="1" si="159"/>
        <v>4.5312010723311174</v>
      </c>
      <c r="L482">
        <f t="shared" ca="1" si="160"/>
        <v>313.84640214466225</v>
      </c>
      <c r="M482">
        <f t="shared" ca="1" si="161"/>
        <v>295.72159785533773</v>
      </c>
      <c r="N482">
        <f t="shared" ca="1" si="150"/>
        <v>-8.25</v>
      </c>
      <c r="O482">
        <f t="shared" ca="1" si="151"/>
        <v>0</v>
      </c>
      <c r="P482">
        <f t="shared" ca="1" si="152"/>
        <v>8.25</v>
      </c>
      <c r="Q482">
        <f t="shared" ca="1" si="156"/>
        <v>1.4135155683823029</v>
      </c>
      <c r="R482">
        <f t="shared" ca="1" si="157"/>
        <v>1.5659416032539073</v>
      </c>
      <c r="S482">
        <f t="shared" ca="1" si="154"/>
        <v>0.90266173747802936</v>
      </c>
      <c r="T482">
        <f t="shared" ca="1" si="155"/>
        <v>47.442050244543417</v>
      </c>
      <c r="U482">
        <f>70</f>
        <v>70</v>
      </c>
      <c r="V482">
        <f>30</f>
        <v>30</v>
      </c>
      <c r="W482">
        <f t="shared" ca="1" si="153"/>
        <v>306.93853181747443</v>
      </c>
      <c r="X482">
        <f t="shared" ca="1" si="163"/>
        <v>305.60591038744474</v>
      </c>
      <c r="Y482">
        <f t="shared" ca="1" si="162"/>
        <v>0.73784351530019876</v>
      </c>
      <c r="Z482">
        <f t="shared" ca="1" si="143"/>
        <v>0.93355623591077908</v>
      </c>
      <c r="AA482">
        <f t="shared" ca="1" si="144"/>
        <v>-0.19571272061058032</v>
      </c>
      <c r="AB482">
        <f t="shared" ca="1" si="145"/>
        <v>304.71830000000011</v>
      </c>
    </row>
    <row r="483" spans="1:28" x14ac:dyDescent="0.25">
      <c r="A483" s="21">
        <f t="shared" ca="1" si="146"/>
        <v>45992</v>
      </c>
      <c r="B483" vm="1428">
        <f ca="1"/>
        <v>45993</v>
      </c>
      <c r="C483" vm="1429">
        <f ca="1"/>
        <v>300.72000000000003</v>
      </c>
      <c r="D483" vm="1430">
        <f ca="1"/>
        <v>3947816</v>
      </c>
      <c r="E483">
        <f t="shared" ca="1" si="147"/>
        <v>1187187227.5200002</v>
      </c>
      <c r="F483">
        <f ca="1">SUM($E$2:E483)/SUM($D$2:D483)</f>
        <v>291.72667794515041</v>
      </c>
      <c r="G483">
        <f ca="1">_xlfn.STDEV.P($C$2:C483)</f>
        <v>17.373956267711907</v>
      </c>
      <c r="H483">
        <f t="shared" ca="1" si="148"/>
        <v>309.1006342128623</v>
      </c>
      <c r="I483">
        <f t="shared" ca="1" si="149"/>
        <v>274.35272167743852</v>
      </c>
      <c r="J483">
        <f t="shared" ca="1" si="158"/>
        <v>305.00149999999996</v>
      </c>
      <c r="K483">
        <f t="shared" ca="1" si="159"/>
        <v>4.198235562960372</v>
      </c>
      <c r="L483">
        <f t="shared" ca="1" si="160"/>
        <v>313.39797112592072</v>
      </c>
      <c r="M483">
        <f t="shared" ca="1" si="161"/>
        <v>296.60502887407921</v>
      </c>
      <c r="N483">
        <f t="shared" ca="1" si="150"/>
        <v>-2.8499999999999659</v>
      </c>
      <c r="O483">
        <f t="shared" ca="1" si="151"/>
        <v>0</v>
      </c>
      <c r="P483">
        <f t="shared" ca="1" si="152"/>
        <v>2.8499999999999659</v>
      </c>
      <c r="Q483">
        <f t="shared" ca="1" si="156"/>
        <v>1.3125501706407099</v>
      </c>
      <c r="R483">
        <f t="shared" ca="1" si="157"/>
        <v>1.6576600601643399</v>
      </c>
      <c r="S483">
        <f t="shared" ca="1" si="154"/>
        <v>0.79180900968958867</v>
      </c>
      <c r="T483">
        <f t="shared" ca="1" si="155"/>
        <v>44.190480425520406</v>
      </c>
      <c r="U483">
        <f>70</f>
        <v>70</v>
      </c>
      <c r="V483">
        <f>30</f>
        <v>30</v>
      </c>
      <c r="W483">
        <f t="shared" ca="1" si="153"/>
        <v>305.98183461478607</v>
      </c>
      <c r="X483">
        <f t="shared" ca="1" si="163"/>
        <v>305.24399109948587</v>
      </c>
      <c r="Y483">
        <f t="shared" ca="1" si="162"/>
        <v>0.82104778706138859</v>
      </c>
      <c r="Z483">
        <f t="shared" ca="1" si="143"/>
        <v>0.91105454614090098</v>
      </c>
      <c r="AA483">
        <f t="shared" ca="1" si="144"/>
        <v>-9.0006759079512388E-2</v>
      </c>
      <c r="AB483">
        <f t="shared" ca="1" si="145"/>
        <v>304.72640000000013</v>
      </c>
    </row>
    <row r="484" spans="1:28" x14ac:dyDescent="0.25">
      <c r="A484" s="21">
        <f t="shared" ca="1" si="146"/>
        <v>45992</v>
      </c>
      <c r="B484" vm="1431">
        <f ca="1"/>
        <v>45994</v>
      </c>
      <c r="C484" vm="1432">
        <f ca="1"/>
        <v>307.70999999999998</v>
      </c>
      <c r="D484" vm="1433">
        <f ca="1"/>
        <v>4986897</v>
      </c>
      <c r="E484">
        <f t="shared" ca="1" si="147"/>
        <v>1534518075.8699999</v>
      </c>
      <c r="F484">
        <f ca="1">SUM($E$2:E484)/SUM($D$2:D484)</f>
        <v>291.77466150063225</v>
      </c>
      <c r="G484">
        <f ca="1">_xlfn.STDEV.P($C$2:C484)</f>
        <v>17.369394647407244</v>
      </c>
      <c r="H484">
        <f t="shared" ca="1" si="148"/>
        <v>309.14405614803951</v>
      </c>
      <c r="I484">
        <f t="shared" ca="1" si="149"/>
        <v>274.40526685322499</v>
      </c>
      <c r="J484">
        <f t="shared" ca="1" si="158"/>
        <v>305.42649999999998</v>
      </c>
      <c r="K484">
        <f t="shared" ca="1" si="159"/>
        <v>4.0069706039666091</v>
      </c>
      <c r="L484">
        <f t="shared" ca="1" si="160"/>
        <v>313.44044120793319</v>
      </c>
      <c r="M484">
        <f t="shared" ca="1" si="161"/>
        <v>297.41255879206676</v>
      </c>
      <c r="N484">
        <f t="shared" ca="1" si="150"/>
        <v>6.9899999999999523</v>
      </c>
      <c r="O484">
        <f t="shared" ca="1" si="151"/>
        <v>6.9899999999999523</v>
      </c>
      <c r="P484">
        <f t="shared" ca="1" si="152"/>
        <v>0</v>
      </c>
      <c r="Q484">
        <f t="shared" ca="1" si="156"/>
        <v>1.7180823013092272</v>
      </c>
      <c r="R484">
        <f t="shared" ca="1" si="157"/>
        <v>1.5392557701526013</v>
      </c>
      <c r="S484">
        <f t="shared" ca="1" si="154"/>
        <v>1.1161772686672451</v>
      </c>
      <c r="T484">
        <f t="shared" ca="1" si="155"/>
        <v>52.744979600419136</v>
      </c>
      <c r="U484">
        <f>70</f>
        <v>70</v>
      </c>
      <c r="V484">
        <f>30</f>
        <v>30</v>
      </c>
      <c r="W484">
        <f t="shared" ca="1" si="153"/>
        <v>306.24770621251128</v>
      </c>
      <c r="X484">
        <f t="shared" ca="1" si="163"/>
        <v>305.42665842544989</v>
      </c>
      <c r="Y484">
        <f t="shared" ca="1" si="162"/>
        <v>0.94309047534079582</v>
      </c>
      <c r="Z484">
        <f t="shared" ca="1" si="143"/>
        <v>0.91746173198087999</v>
      </c>
      <c r="AA484">
        <f t="shared" ca="1" si="144"/>
        <v>2.5628743359915829E-2</v>
      </c>
      <c r="AB484">
        <f t="shared" ca="1" si="145"/>
        <v>304.7847000000001</v>
      </c>
    </row>
    <row r="485" spans="1:28" x14ac:dyDescent="0.25">
      <c r="A485" s="21">
        <f t="shared" ca="1" si="146"/>
        <v>45992</v>
      </c>
      <c r="B485" vm="1434">
        <f ca="1"/>
        <v>45995</v>
      </c>
      <c r="C485" vm="1435">
        <f ca="1"/>
        <v>308.54000000000002</v>
      </c>
      <c r="D485" vm="1436">
        <f ca="1"/>
        <v>4632369</v>
      </c>
      <c r="E485">
        <f t="shared" ca="1" si="147"/>
        <v>1429271131.26</v>
      </c>
      <c r="F485">
        <f ca="1">SUM($E$2:E485)/SUM($D$2:D485)</f>
        <v>291.82128458792926</v>
      </c>
      <c r="G485">
        <f ca="1">_xlfn.STDEV.P($C$2:C485)</f>
        <v>17.366313880565048</v>
      </c>
      <c r="H485">
        <f t="shared" ca="1" si="148"/>
        <v>309.18759846849429</v>
      </c>
      <c r="I485">
        <f t="shared" ca="1" si="149"/>
        <v>274.45497070736423</v>
      </c>
      <c r="J485">
        <f t="shared" ca="1" si="158"/>
        <v>305.57</v>
      </c>
      <c r="K485">
        <f t="shared" ca="1" si="159"/>
        <v>4.0670899980983322</v>
      </c>
      <c r="L485">
        <f t="shared" ca="1" si="160"/>
        <v>313.70417999619667</v>
      </c>
      <c r="M485">
        <f t="shared" ca="1" si="161"/>
        <v>297.43582000380331</v>
      </c>
      <c r="N485">
        <f t="shared" ca="1" si="150"/>
        <v>0.83000000000004093</v>
      </c>
      <c r="O485">
        <f t="shared" ca="1" si="151"/>
        <v>0.83000000000004093</v>
      </c>
      <c r="P485">
        <f t="shared" ca="1" si="152"/>
        <v>0</v>
      </c>
      <c r="Q485">
        <f t="shared" ca="1" si="156"/>
        <v>1.6546478512157139</v>
      </c>
      <c r="R485">
        <f t="shared" ca="1" si="157"/>
        <v>1.4293089294274155</v>
      </c>
      <c r="S485">
        <f t="shared" ca="1" si="154"/>
        <v>1.1576558553220329</v>
      </c>
      <c r="T485">
        <f t="shared" ca="1" si="155"/>
        <v>53.653405962150124</v>
      </c>
      <c r="U485">
        <f>70</f>
        <v>70</v>
      </c>
      <c r="V485">
        <f>30</f>
        <v>30</v>
      </c>
      <c r="W485">
        <f t="shared" ca="1" si="153"/>
        <v>306.60036679520181</v>
      </c>
      <c r="X485">
        <f t="shared" ca="1" si="163"/>
        <v>305.65727631986101</v>
      </c>
      <c r="Y485">
        <f t="shared" ca="1" si="162"/>
        <v>1.2425473909404445</v>
      </c>
      <c r="Z485">
        <f t="shared" ca="1" si="143"/>
        <v>0.98247886377279292</v>
      </c>
      <c r="AA485">
        <f t="shared" ca="1" si="144"/>
        <v>0.26006852716765161</v>
      </c>
      <c r="AB485">
        <f t="shared" ca="1" si="145"/>
        <v>304.87390000000011</v>
      </c>
    </row>
    <row r="486" spans="1:28" x14ac:dyDescent="0.25">
      <c r="A486" s="21">
        <f t="shared" ca="1" si="146"/>
        <v>45992</v>
      </c>
      <c r="B486" vm="1437">
        <f ca="1"/>
        <v>45996</v>
      </c>
      <c r="C486" vm="1438">
        <f ca="1"/>
        <v>311.23</v>
      </c>
      <c r="D486" vm="1439">
        <f ca="1"/>
        <v>3147587</v>
      </c>
      <c r="E486">
        <f t="shared" ca="1" si="147"/>
        <v>979623502.01000011</v>
      </c>
      <c r="F486">
        <f ca="1">SUM($E$2:E486)/SUM($D$2:D486)</f>
        <v>291.85788957301082</v>
      </c>
      <c r="G486">
        <f ca="1">_xlfn.STDEV.P($C$2:C486)</f>
        <v>17.368646064593577</v>
      </c>
      <c r="H486">
        <f t="shared" ca="1" si="148"/>
        <v>309.2265356376044</v>
      </c>
      <c r="I486">
        <f t="shared" ca="1" si="149"/>
        <v>274.48924350841725</v>
      </c>
      <c r="J486">
        <f t="shared" ca="1" si="158"/>
        <v>306.21099999999996</v>
      </c>
      <c r="K486">
        <f t="shared" ca="1" si="159"/>
        <v>3.8854355577829565</v>
      </c>
      <c r="L486">
        <f t="shared" ca="1" si="160"/>
        <v>313.98187111556587</v>
      </c>
      <c r="M486">
        <f t="shared" ca="1" si="161"/>
        <v>298.44012888443405</v>
      </c>
      <c r="N486">
        <f t="shared" ca="1" si="150"/>
        <v>2.6899999999999977</v>
      </c>
      <c r="O486">
        <f t="shared" ca="1" si="151"/>
        <v>2.6899999999999977</v>
      </c>
      <c r="P486">
        <f t="shared" ca="1" si="152"/>
        <v>0</v>
      </c>
      <c r="Q486">
        <f t="shared" ca="1" si="156"/>
        <v>1.7286015761288771</v>
      </c>
      <c r="R486">
        <f t="shared" ca="1" si="157"/>
        <v>1.3272154344683145</v>
      </c>
      <c r="S486">
        <f t="shared" ca="1" si="154"/>
        <v>1.3024272708381808</v>
      </c>
      <c r="T486">
        <f t="shared" ca="1" si="155"/>
        <v>56.567574895168889</v>
      </c>
      <c r="U486">
        <f>70</f>
        <v>70</v>
      </c>
      <c r="V486">
        <f>30</f>
        <v>30</v>
      </c>
      <c r="W486">
        <f t="shared" ca="1" si="153"/>
        <v>307.31261805747846</v>
      </c>
      <c r="X486">
        <f t="shared" ca="1" si="163"/>
        <v>306.07007066653802</v>
      </c>
      <c r="Y486">
        <f t="shared" ca="1" si="162"/>
        <v>1.3481327534081515</v>
      </c>
      <c r="Z486">
        <f t="shared" ref="Z486:Z514" ca="1" si="164">Y486*(2/(9+1)) + Z485*(1-(2/(9+1)))</f>
        <v>1.0556096416998648</v>
      </c>
      <c r="AA486">
        <f t="shared" ref="AA486:AA514" ca="1" si="165">Y486-Z486</f>
        <v>0.29252311170828671</v>
      </c>
      <c r="AB486">
        <f t="shared" ref="AB486:AB514" ca="1" si="166">AVERAGE(C387:C486)</f>
        <v>304.99720000000008</v>
      </c>
    </row>
    <row r="487" spans="1:28" x14ac:dyDescent="0.25">
      <c r="A487" s="21">
        <f t="shared" ca="1" si="146"/>
        <v>45999</v>
      </c>
      <c r="B487" vm="1440">
        <f ca="1"/>
        <v>45999</v>
      </c>
      <c r="C487" vm="1441">
        <f ca="1"/>
        <v>309.79000000000002</v>
      </c>
      <c r="D487" vm="1442">
        <f ca="1"/>
        <v>3575017</v>
      </c>
      <c r="E487">
        <f t="shared" ca="1" si="147"/>
        <v>1107504516.4300001</v>
      </c>
      <c r="F487">
        <f ca="1">SUM($E$2:E487)/SUM($D$2:D487)</f>
        <v>291.89622019787652</v>
      </c>
      <c r="G487">
        <f ca="1">_xlfn.STDEV.P($C$2:C487)</f>
        <v>17.367868051306633</v>
      </c>
      <c r="H487">
        <f t="shared" ca="1" si="148"/>
        <v>309.26408824918315</v>
      </c>
      <c r="I487">
        <f t="shared" ca="1" si="149"/>
        <v>274.52835214656989</v>
      </c>
      <c r="J487">
        <f t="shared" ca="1" si="158"/>
        <v>306.71749999999997</v>
      </c>
      <c r="K487">
        <f t="shared" ca="1" si="159"/>
        <v>3.6389586060907688</v>
      </c>
      <c r="L487">
        <f t="shared" ca="1" si="160"/>
        <v>313.99541721218151</v>
      </c>
      <c r="M487">
        <f t="shared" ca="1" si="161"/>
        <v>299.43958278781844</v>
      </c>
      <c r="N487">
        <f t="shared" ca="1" si="150"/>
        <v>-1.4399999999999977</v>
      </c>
      <c r="O487">
        <f t="shared" ca="1" si="151"/>
        <v>0</v>
      </c>
      <c r="P487">
        <f t="shared" ca="1" si="152"/>
        <v>1.4399999999999977</v>
      </c>
      <c r="Q487">
        <f t="shared" ca="1" si="156"/>
        <v>1.6051300349768145</v>
      </c>
      <c r="R487">
        <f t="shared" ca="1" si="157"/>
        <v>1.3352714748634347</v>
      </c>
      <c r="S487">
        <f t="shared" ca="1" si="154"/>
        <v>1.2021001460702812</v>
      </c>
      <c r="T487">
        <f t="shared" ca="1" si="155"/>
        <v>54.588804610701636</v>
      </c>
      <c r="U487">
        <f>70</f>
        <v>70</v>
      </c>
      <c r="V487">
        <f>30</f>
        <v>30</v>
      </c>
      <c r="W487">
        <f t="shared" ca="1" si="153"/>
        <v>307.69375374094335</v>
      </c>
      <c r="X487">
        <f t="shared" ca="1" si="163"/>
        <v>306.3456209875352</v>
      </c>
      <c r="Y487">
        <f t="shared" ca="1" si="162"/>
        <v>1.4952650715419509</v>
      </c>
      <c r="Z487">
        <f t="shared" ca="1" si="164"/>
        <v>1.1435407276682821</v>
      </c>
      <c r="AA487">
        <f t="shared" ca="1" si="165"/>
        <v>0.3517243438736688</v>
      </c>
      <c r="AB487">
        <f t="shared" ca="1" si="166"/>
        <v>305.09140000000008</v>
      </c>
    </row>
    <row r="488" spans="1:28" x14ac:dyDescent="0.25">
      <c r="A488" s="21">
        <f t="shared" ca="1" si="146"/>
        <v>45999</v>
      </c>
      <c r="B488" vm="1443">
        <f ca="1"/>
        <v>46000</v>
      </c>
      <c r="C488" vm="1444">
        <f ca="1"/>
        <v>310.79000000000002</v>
      </c>
      <c r="D488" vm="1445">
        <f ca="1"/>
        <v>2355256</v>
      </c>
      <c r="E488">
        <f t="shared" ca="1" si="147"/>
        <v>731990012.24000001</v>
      </c>
      <c r="F488">
        <f ca="1">SUM($E$2:E488)/SUM($D$2:D488)</f>
        <v>291.92278962521999</v>
      </c>
      <c r="G488">
        <f ca="1">_xlfn.STDEV.P($C$2:C488)</f>
        <v>17.369084211277045</v>
      </c>
      <c r="H488">
        <f t="shared" ca="1" si="148"/>
        <v>309.29187383649702</v>
      </c>
      <c r="I488">
        <f t="shared" ca="1" si="149"/>
        <v>274.55370541394296</v>
      </c>
      <c r="J488">
        <f t="shared" ca="1" si="158"/>
        <v>307.30199999999996</v>
      </c>
      <c r="K488">
        <f t="shared" ca="1" si="159"/>
        <v>3.2712827035149057</v>
      </c>
      <c r="L488">
        <f t="shared" ca="1" si="160"/>
        <v>313.84456540702979</v>
      </c>
      <c r="M488">
        <f t="shared" ca="1" si="161"/>
        <v>300.75943459297014</v>
      </c>
      <c r="N488">
        <f t="shared" ca="1" si="150"/>
        <v>1</v>
      </c>
      <c r="O488">
        <f t="shared" ca="1" si="151"/>
        <v>1</v>
      </c>
      <c r="P488">
        <f t="shared" ca="1" si="152"/>
        <v>0</v>
      </c>
      <c r="Q488">
        <f t="shared" ca="1" si="156"/>
        <v>1.5619064610498992</v>
      </c>
      <c r="R488">
        <f t="shared" ca="1" si="157"/>
        <v>1.2398949409446178</v>
      </c>
      <c r="S488">
        <f t="shared" ca="1" si="154"/>
        <v>1.2597087135946823</v>
      </c>
      <c r="T488">
        <f t="shared" ca="1" si="155"/>
        <v>55.746508654682863</v>
      </c>
      <c r="U488">
        <f>70</f>
        <v>70</v>
      </c>
      <c r="V488">
        <f>30</f>
        <v>30</v>
      </c>
      <c r="W488">
        <f t="shared" ca="1" si="153"/>
        <v>308.17009931925975</v>
      </c>
      <c r="X488">
        <f t="shared" ca="1" si="163"/>
        <v>306.6748342477178</v>
      </c>
      <c r="Y488">
        <f t="shared" ca="1" si="162"/>
        <v>1.5727588812304134</v>
      </c>
      <c r="Z488">
        <f t="shared" ca="1" si="164"/>
        <v>1.2293843583807085</v>
      </c>
      <c r="AA488">
        <f t="shared" ca="1" si="165"/>
        <v>0.34337452284970493</v>
      </c>
      <c r="AB488">
        <f t="shared" ca="1" si="166"/>
        <v>305.22860000000009</v>
      </c>
    </row>
    <row r="489" spans="1:28" x14ac:dyDescent="0.25">
      <c r="A489" s="21">
        <f t="shared" ca="1" si="146"/>
        <v>45999</v>
      </c>
      <c r="B489" vm="1446">
        <f ca="1"/>
        <v>46001</v>
      </c>
      <c r="C489" vm="1447">
        <f ca="1"/>
        <v>310.52999999999997</v>
      </c>
      <c r="D489" vm="1448">
        <f ca="1"/>
        <v>4104201</v>
      </c>
      <c r="E489">
        <f t="shared" ca="1" si="147"/>
        <v>1274477536.53</v>
      </c>
      <c r="F489">
        <f ca="1">SUM($E$2:E489)/SUM($D$2:D489)</f>
        <v>291.96827504222966</v>
      </c>
      <c r="G489">
        <f ca="1">_xlfn.STDEV.P($C$2:C489)</f>
        <v>17.369672489906399</v>
      </c>
      <c r="H489">
        <f t="shared" ca="1" si="148"/>
        <v>309.33794753213607</v>
      </c>
      <c r="I489">
        <f t="shared" ca="1" si="149"/>
        <v>274.59860255232326</v>
      </c>
      <c r="J489">
        <f t="shared" ca="1" si="158"/>
        <v>307.48699999999997</v>
      </c>
      <c r="K489">
        <f t="shared" ca="1" si="159"/>
        <v>3.3469327670821851</v>
      </c>
      <c r="L489">
        <f t="shared" ca="1" si="160"/>
        <v>314.18086553416435</v>
      </c>
      <c r="M489">
        <f t="shared" ca="1" si="161"/>
        <v>300.79313446583558</v>
      </c>
      <c r="N489">
        <f t="shared" ca="1" si="150"/>
        <v>-0.26000000000004775</v>
      </c>
      <c r="O489">
        <f t="shared" ca="1" si="151"/>
        <v>0</v>
      </c>
      <c r="P489">
        <f t="shared" ca="1" si="152"/>
        <v>0.26000000000004775</v>
      </c>
      <c r="Q489">
        <f t="shared" ca="1" si="156"/>
        <v>1.4503417138320494</v>
      </c>
      <c r="R489">
        <f t="shared" ca="1" si="157"/>
        <v>1.1699024451628628</v>
      </c>
      <c r="S489">
        <f t="shared" ca="1" si="154"/>
        <v>1.2397116698308519</v>
      </c>
      <c r="T489">
        <f t="shared" ca="1" si="155"/>
        <v>55.351395741241895</v>
      </c>
      <c r="U489">
        <f>70</f>
        <v>70</v>
      </c>
      <c r="V489">
        <f>30</f>
        <v>30</v>
      </c>
      <c r="W489">
        <f t="shared" ca="1" si="153"/>
        <v>308.53316096245055</v>
      </c>
      <c r="X489">
        <f t="shared" ca="1" si="163"/>
        <v>306.96040208122014</v>
      </c>
      <c r="Y489">
        <f t="shared" ca="1" si="162"/>
        <v>1.5501371209437593</v>
      </c>
      <c r="Z489">
        <f t="shared" ca="1" si="164"/>
        <v>1.2935349108933187</v>
      </c>
      <c r="AA489">
        <f t="shared" ca="1" si="165"/>
        <v>0.25660221005044059</v>
      </c>
      <c r="AB489">
        <f t="shared" ca="1" si="166"/>
        <v>305.37650000000008</v>
      </c>
    </row>
    <row r="490" spans="1:28" x14ac:dyDescent="0.25">
      <c r="A490" s="21">
        <f t="shared" ca="1" si="146"/>
        <v>45999</v>
      </c>
      <c r="B490" vm="1449">
        <f ca="1"/>
        <v>46002</v>
      </c>
      <c r="C490" vm="1450">
        <f ca="1"/>
        <v>309.70999999999998</v>
      </c>
      <c r="D490" vm="1451">
        <f ca="1"/>
        <v>4844183</v>
      </c>
      <c r="E490">
        <f t="shared" ca="1" si="147"/>
        <v>1500291916.9299998</v>
      </c>
      <c r="F490">
        <f ca="1">SUM($E$2:E490)/SUM($D$2:D490)</f>
        <v>292.0193170127481</v>
      </c>
      <c r="G490">
        <f ca="1">_xlfn.STDEV.P($C$2:C490)</f>
        <v>17.368523683584755</v>
      </c>
      <c r="H490">
        <f t="shared" ca="1" si="148"/>
        <v>309.38784069633289</v>
      </c>
      <c r="I490">
        <f t="shared" ca="1" si="149"/>
        <v>274.65079332916332</v>
      </c>
      <c r="J490">
        <f t="shared" ca="1" si="158"/>
        <v>307.62549999999999</v>
      </c>
      <c r="K490">
        <f t="shared" ca="1" si="159"/>
        <v>3.3802529880406698</v>
      </c>
      <c r="L490">
        <f t="shared" ca="1" si="160"/>
        <v>314.38600597608132</v>
      </c>
      <c r="M490">
        <f t="shared" ca="1" si="161"/>
        <v>300.86499402391865</v>
      </c>
      <c r="N490">
        <f t="shared" ca="1" si="150"/>
        <v>-0.81999999999999318</v>
      </c>
      <c r="O490">
        <f t="shared" ca="1" si="151"/>
        <v>0</v>
      </c>
      <c r="P490">
        <f t="shared" ca="1" si="152"/>
        <v>0.81999999999999318</v>
      </c>
      <c r="Q490">
        <f t="shared" ca="1" si="156"/>
        <v>1.34674587712976</v>
      </c>
      <c r="R490">
        <f t="shared" ca="1" si="157"/>
        <v>1.1449094133655149</v>
      </c>
      <c r="S490">
        <f t="shared" ca="1" si="154"/>
        <v>1.1762903347706237</v>
      </c>
      <c r="T490">
        <f t="shared" ca="1" si="155"/>
        <v>54.050248534261037</v>
      </c>
      <c r="U490">
        <f>70</f>
        <v>70</v>
      </c>
      <c r="V490">
        <f>30</f>
        <v>30</v>
      </c>
      <c r="W490">
        <f t="shared" ca="1" si="153"/>
        <v>308.71421312207355</v>
      </c>
      <c r="X490">
        <f t="shared" ca="1" si="163"/>
        <v>307.16407600112979</v>
      </c>
      <c r="Y490">
        <f t="shared" ca="1" si="162"/>
        <v>2.0739504184862199</v>
      </c>
      <c r="Z490">
        <f t="shared" ca="1" si="164"/>
        <v>1.4496180124118991</v>
      </c>
      <c r="AA490">
        <f t="shared" ca="1" si="165"/>
        <v>0.62433240607432072</v>
      </c>
      <c r="AB490">
        <f t="shared" ca="1" si="166"/>
        <v>305.48190000000005</v>
      </c>
    </row>
    <row r="491" spans="1:28" x14ac:dyDescent="0.25">
      <c r="A491" s="21">
        <f t="shared" ca="1" si="146"/>
        <v>45999</v>
      </c>
      <c r="B491" vm="1452">
        <f ca="1"/>
        <v>46003</v>
      </c>
      <c r="C491" vm="1453">
        <f ca="1"/>
        <v>316.72000000000003</v>
      </c>
      <c r="D491" vm="1454">
        <f ca="1"/>
        <v>3771935</v>
      </c>
      <c r="E491">
        <f t="shared" ca="1" si="147"/>
        <v>1194647253.2</v>
      </c>
      <c r="F491">
        <f ca="1">SUM($E$2:E491)/SUM($D$2:D491)</f>
        <v>292.07452633531824</v>
      </c>
      <c r="G491">
        <f ca="1">_xlfn.STDEV.P($C$2:C491)</f>
        <v>17.383980361334078</v>
      </c>
      <c r="H491">
        <f t="shared" ca="1" si="148"/>
        <v>309.45850669665231</v>
      </c>
      <c r="I491">
        <f t="shared" ca="1" si="149"/>
        <v>274.69054597398417</v>
      </c>
      <c r="J491">
        <f t="shared" ca="1" si="158"/>
        <v>308.08250000000004</v>
      </c>
      <c r="K491">
        <f t="shared" ca="1" si="159"/>
        <v>3.9445296897962661</v>
      </c>
      <c r="L491">
        <f t="shared" ca="1" si="160"/>
        <v>315.97155937959258</v>
      </c>
      <c r="M491">
        <f t="shared" ca="1" si="161"/>
        <v>300.1934406204075</v>
      </c>
      <c r="N491">
        <f t="shared" ca="1" si="150"/>
        <v>7.0100000000000477</v>
      </c>
      <c r="O491">
        <f t="shared" ca="1" si="151"/>
        <v>7.0100000000000477</v>
      </c>
      <c r="P491">
        <f t="shared" ca="1" si="152"/>
        <v>0</v>
      </c>
      <c r="Q491">
        <f t="shared" ca="1" si="156"/>
        <v>1.7512640287633519</v>
      </c>
      <c r="R491">
        <f t="shared" ca="1" si="157"/>
        <v>1.0631301695536923</v>
      </c>
      <c r="S491">
        <f t="shared" ca="1" si="154"/>
        <v>1.6472714996871378</v>
      </c>
      <c r="T491">
        <f t="shared" ca="1" si="155"/>
        <v>62.225257208481153</v>
      </c>
      <c r="U491">
        <f>70</f>
        <v>70</v>
      </c>
      <c r="V491">
        <f>30</f>
        <v>30</v>
      </c>
      <c r="W491">
        <f t="shared" ca="1" si="153"/>
        <v>309.94587264175453</v>
      </c>
      <c r="X491">
        <f t="shared" ca="1" si="163"/>
        <v>307.87192222326831</v>
      </c>
      <c r="Y491">
        <f t="shared" ca="1" si="162"/>
        <v>2.6210525699113987</v>
      </c>
      <c r="Z491">
        <f t="shared" ca="1" si="164"/>
        <v>1.6839049239117991</v>
      </c>
      <c r="AA491">
        <f t="shared" ca="1" si="165"/>
        <v>0.93714764599959954</v>
      </c>
      <c r="AB491">
        <f t="shared" ca="1" si="166"/>
        <v>305.66790000000003</v>
      </c>
    </row>
    <row r="492" spans="1:28" x14ac:dyDescent="0.25">
      <c r="A492" s="21">
        <f t="shared" ca="1" si="146"/>
        <v>46006</v>
      </c>
      <c r="B492" vm="1455">
        <f ca="1"/>
        <v>46006</v>
      </c>
      <c r="C492" vm="1456">
        <f ca="1"/>
        <v>318.73</v>
      </c>
      <c r="D492" vm="1457">
        <f ca="1"/>
        <v>3814860</v>
      </c>
      <c r="E492">
        <f t="shared" ca="1" si="147"/>
        <v>1215910327.8</v>
      </c>
      <c r="F492">
        <f ca="1">SUM($E$2:E492)/SUM($D$2:D492)</f>
        <v>292.13464697879959</v>
      </c>
      <c r="G492">
        <f ca="1">_xlfn.STDEV.P($C$2:C492)</f>
        <v>17.405035594186803</v>
      </c>
      <c r="H492">
        <f t="shared" ca="1" si="148"/>
        <v>309.53968257298641</v>
      </c>
      <c r="I492">
        <f t="shared" ca="1" si="149"/>
        <v>274.72961138461278</v>
      </c>
      <c r="J492">
        <f t="shared" ca="1" si="158"/>
        <v>308.66750000000002</v>
      </c>
      <c r="K492">
        <f t="shared" ca="1" si="159"/>
        <v>4.5942983829502166</v>
      </c>
      <c r="L492">
        <f t="shared" ca="1" si="160"/>
        <v>317.85609676590047</v>
      </c>
      <c r="M492">
        <f t="shared" ca="1" si="161"/>
        <v>299.47890323409956</v>
      </c>
      <c r="N492">
        <f t="shared" ca="1" si="150"/>
        <v>2.0099999999999909</v>
      </c>
      <c r="O492">
        <f t="shared" ca="1" si="151"/>
        <v>2.0099999999999909</v>
      </c>
      <c r="P492">
        <f t="shared" ca="1" si="152"/>
        <v>0</v>
      </c>
      <c r="Q492">
        <f t="shared" ca="1" si="156"/>
        <v>1.7697451695659689</v>
      </c>
      <c r="R492">
        <f t="shared" ca="1" si="157"/>
        <v>0.98719230029985716</v>
      </c>
      <c r="S492">
        <f t="shared" ca="1" si="154"/>
        <v>1.7927056046004546</v>
      </c>
      <c r="T492">
        <f t="shared" ca="1" si="155"/>
        <v>64.192430510660017</v>
      </c>
      <c r="U492">
        <f>70</f>
        <v>70</v>
      </c>
      <c r="V492">
        <f>30</f>
        <v>30</v>
      </c>
      <c r="W492">
        <f t="shared" ca="1" si="153"/>
        <v>311.29727685071538</v>
      </c>
      <c r="X492">
        <f t="shared" ca="1" si="163"/>
        <v>308.67622428080398</v>
      </c>
      <c r="Y492">
        <f t="shared" ca="1" si="162"/>
        <v>2.6823884142483507</v>
      </c>
      <c r="Z492">
        <f t="shared" ca="1" si="164"/>
        <v>1.8836016219791096</v>
      </c>
      <c r="AA492">
        <f t="shared" ca="1" si="165"/>
        <v>0.7987867922692411</v>
      </c>
      <c r="AB492">
        <f t="shared" ca="1" si="166"/>
        <v>305.91039999999998</v>
      </c>
    </row>
    <row r="493" spans="1:28" x14ac:dyDescent="0.25">
      <c r="A493" s="21">
        <f t="shared" ca="1" si="146"/>
        <v>46006</v>
      </c>
      <c r="B493" vm="1458">
        <f ca="1"/>
        <v>46007</v>
      </c>
      <c r="C493" vm="987">
        <f ca="1"/>
        <v>314.5</v>
      </c>
      <c r="D493" vm="1459">
        <f ca="1"/>
        <v>2972523</v>
      </c>
      <c r="E493">
        <f t="shared" ca="1" si="147"/>
        <v>934858483.5</v>
      </c>
      <c r="F493">
        <f ca="1">SUM($E$2:E493)/SUM($D$2:D493)</f>
        <v>292.1738840886357</v>
      </c>
      <c r="G493">
        <f ca="1">_xlfn.STDEV.P($C$2:C493)</f>
        <v>17.414206275772383</v>
      </c>
      <c r="H493">
        <f t="shared" ca="1" si="148"/>
        <v>309.58809036440806</v>
      </c>
      <c r="I493">
        <f t="shared" ca="1" si="149"/>
        <v>274.75967781286334</v>
      </c>
      <c r="J493">
        <f t="shared" ca="1" si="158"/>
        <v>309.14750000000004</v>
      </c>
      <c r="K493">
        <f t="shared" ca="1" si="159"/>
        <v>4.6806430900937244</v>
      </c>
      <c r="L493">
        <f t="shared" ca="1" si="160"/>
        <v>318.50878618018749</v>
      </c>
      <c r="M493">
        <f t="shared" ca="1" si="161"/>
        <v>299.78621381981259</v>
      </c>
      <c r="N493">
        <f t="shared" ca="1" si="150"/>
        <v>-4.2300000000000182</v>
      </c>
      <c r="O493">
        <f t="shared" ca="1" si="151"/>
        <v>0</v>
      </c>
      <c r="P493">
        <f t="shared" ca="1" si="152"/>
        <v>4.2300000000000182</v>
      </c>
      <c r="Q493">
        <f t="shared" ca="1" si="156"/>
        <v>1.6433348003112569</v>
      </c>
      <c r="R493">
        <f t="shared" ca="1" si="157"/>
        <v>1.2188214217070115</v>
      </c>
      <c r="S493">
        <f t="shared" ca="1" si="154"/>
        <v>1.3482982585009839</v>
      </c>
      <c r="T493">
        <f t="shared" ca="1" si="155"/>
        <v>57.415971485737018</v>
      </c>
      <c r="U493">
        <f>70</f>
        <v>70</v>
      </c>
      <c r="V493">
        <f>30</f>
        <v>30</v>
      </c>
      <c r="W493">
        <f t="shared" ca="1" si="153"/>
        <v>311.79000348906686</v>
      </c>
      <c r="X493">
        <f t="shared" ca="1" si="163"/>
        <v>309.10761507481851</v>
      </c>
      <c r="Y493">
        <f t="shared" ca="1" si="162"/>
        <v>3.0341200482530439</v>
      </c>
      <c r="Z493">
        <f t="shared" ca="1" si="164"/>
        <v>2.1137053072338965</v>
      </c>
      <c r="AA493">
        <f t="shared" ca="1" si="165"/>
        <v>0.92041474101914744</v>
      </c>
      <c r="AB493">
        <f t="shared" ca="1" si="166"/>
        <v>306.07070000000004</v>
      </c>
    </row>
    <row r="494" spans="1:28" x14ac:dyDescent="0.25">
      <c r="A494" s="21">
        <f t="shared" ca="1" si="146"/>
        <v>46006</v>
      </c>
      <c r="B494" vm="1460">
        <f ca="1"/>
        <v>46008</v>
      </c>
      <c r="C494" vm="1461">
        <f ca="1"/>
        <v>318.69</v>
      </c>
      <c r="D494" vm="1462">
        <f ca="1"/>
        <v>3329002</v>
      </c>
      <c r="E494">
        <f t="shared" ca="1" si="147"/>
        <v>1060919647.38</v>
      </c>
      <c r="F494">
        <f ca="1">SUM($E$2:E494)/SUM($D$2:D494)</f>
        <v>292.22587980253411</v>
      </c>
      <c r="G494">
        <f ca="1">_xlfn.STDEV.P($C$2:C494)</f>
        <v>17.434673089767745</v>
      </c>
      <c r="H494">
        <f t="shared" ca="1" si="148"/>
        <v>309.66055289230184</v>
      </c>
      <c r="I494">
        <f t="shared" ca="1" si="149"/>
        <v>274.79120671276638</v>
      </c>
      <c r="J494">
        <f t="shared" ca="1" si="158"/>
        <v>309.85250000000002</v>
      </c>
      <c r="K494">
        <f t="shared" ca="1" si="159"/>
        <v>5.0084558761316744</v>
      </c>
      <c r="L494">
        <f t="shared" ca="1" si="160"/>
        <v>319.86941175226337</v>
      </c>
      <c r="M494">
        <f t="shared" ca="1" si="161"/>
        <v>299.83558824773667</v>
      </c>
      <c r="N494">
        <f t="shared" ca="1" si="150"/>
        <v>4.1899999999999977</v>
      </c>
      <c r="O494">
        <f t="shared" ca="1" si="151"/>
        <v>4.1899999999999977</v>
      </c>
      <c r="P494">
        <f t="shared" ca="1" si="152"/>
        <v>0</v>
      </c>
      <c r="Q494">
        <f t="shared" ca="1" si="156"/>
        <v>1.8252394574318811</v>
      </c>
      <c r="R494">
        <f t="shared" ca="1" si="157"/>
        <v>1.1317627487279391</v>
      </c>
      <c r="S494">
        <f t="shared" ca="1" si="154"/>
        <v>1.612740355240871</v>
      </c>
      <c r="T494">
        <f t="shared" ca="1" si="155"/>
        <v>61.726009322200369</v>
      </c>
      <c r="U494">
        <f>70</f>
        <v>70</v>
      </c>
      <c r="V494">
        <f>30</f>
        <v>30</v>
      </c>
      <c r="W494">
        <f t="shared" ca="1" si="153"/>
        <v>312.85154141382577</v>
      </c>
      <c r="X494">
        <f t="shared" ca="1" si="163"/>
        <v>309.81742136557273</v>
      </c>
      <c r="Y494">
        <f t="shared" ca="1" si="162"/>
        <v>3.351697595712551</v>
      </c>
      <c r="Z494">
        <f t="shared" ca="1" si="164"/>
        <v>2.3613037649296276</v>
      </c>
      <c r="AA494">
        <f t="shared" ca="1" si="165"/>
        <v>0.99039383078292342</v>
      </c>
      <c r="AB494">
        <f t="shared" ca="1" si="166"/>
        <v>306.2654</v>
      </c>
    </row>
    <row r="495" spans="1:28" x14ac:dyDescent="0.25">
      <c r="A495" s="21">
        <f t="shared" ca="1" si="146"/>
        <v>46006</v>
      </c>
      <c r="B495" vm="1463">
        <f ca="1"/>
        <v>46009</v>
      </c>
      <c r="C495" vm="990">
        <f ca="1"/>
        <v>319.64999999999998</v>
      </c>
      <c r="D495" vm="1464">
        <f ca="1"/>
        <v>3335221</v>
      </c>
      <c r="E495">
        <f t="shared" ca="1" si="147"/>
        <v>1066103392.65</v>
      </c>
      <c r="F495">
        <f ca="1">SUM($E$2:E495)/SUM($D$2:D495)</f>
        <v>292.27965085470072</v>
      </c>
      <c r="G495">
        <f ca="1">_xlfn.STDEV.P($C$2:C495)</f>
        <v>17.45777300125139</v>
      </c>
      <c r="H495">
        <f t="shared" ca="1" si="148"/>
        <v>309.7374238559521</v>
      </c>
      <c r="I495">
        <f t="shared" ca="1" si="149"/>
        <v>274.82187785344934</v>
      </c>
      <c r="J495">
        <f t="shared" ca="1" si="158"/>
        <v>310.69799999999998</v>
      </c>
      <c r="K495">
        <f t="shared" ca="1" si="159"/>
        <v>5.1693118752071703</v>
      </c>
      <c r="L495">
        <f t="shared" ca="1" si="160"/>
        <v>321.03662375041432</v>
      </c>
      <c r="M495">
        <f t="shared" ca="1" si="161"/>
        <v>300.35937624958564</v>
      </c>
      <c r="N495">
        <f t="shared" ca="1" si="150"/>
        <v>0.95999999999997954</v>
      </c>
      <c r="O495">
        <f t="shared" ca="1" si="151"/>
        <v>0.95999999999997954</v>
      </c>
      <c r="P495">
        <f t="shared" ca="1" si="152"/>
        <v>0</v>
      </c>
      <c r="Q495">
        <f t="shared" ca="1" si="156"/>
        <v>1.7634366390438883</v>
      </c>
      <c r="R495">
        <f t="shared" ca="1" si="157"/>
        <v>1.0509225523902292</v>
      </c>
      <c r="S495">
        <f t="shared" ca="1" si="154"/>
        <v>1.6779891487085414</v>
      </c>
      <c r="T495">
        <f t="shared" ca="1" si="155"/>
        <v>62.658549214725184</v>
      </c>
      <c r="U495">
        <f>70</f>
        <v>70</v>
      </c>
      <c r="V495">
        <f>30</f>
        <v>30</v>
      </c>
      <c r="W495">
        <f t="shared" ca="1" si="153"/>
        <v>313.89745811939099</v>
      </c>
      <c r="X495">
        <f t="shared" ca="1" si="163"/>
        <v>310.54576052367844</v>
      </c>
      <c r="Y495">
        <f t="shared" ca="1" si="162"/>
        <v>3.2583843055943476</v>
      </c>
      <c r="Z495">
        <f t="shared" ca="1" si="164"/>
        <v>2.5407198730625717</v>
      </c>
      <c r="AA495">
        <f t="shared" ca="1" si="165"/>
        <v>0.71766443253177581</v>
      </c>
      <c r="AB495">
        <f t="shared" ca="1" si="166"/>
        <v>306.43520000000007</v>
      </c>
    </row>
    <row r="496" spans="1:28" x14ac:dyDescent="0.25">
      <c r="A496" s="21">
        <f t="shared" ca="1" si="146"/>
        <v>46006</v>
      </c>
      <c r="B496" vm="1465">
        <f ca="1"/>
        <v>46010</v>
      </c>
      <c r="C496" vm="1466">
        <f ca="1"/>
        <v>315.83999999999997</v>
      </c>
      <c r="D496" vm="1467">
        <f ca="1"/>
        <v>7128705</v>
      </c>
      <c r="E496">
        <f t="shared" ca="1" si="147"/>
        <v>2251530187.1999998</v>
      </c>
      <c r="F496">
        <f ca="1">SUM($E$2:E496)/SUM($D$2:D496)</f>
        <v>292.37797661668117</v>
      </c>
      <c r="G496">
        <f ca="1">_xlfn.STDEV.P($C$2:C496)</f>
        <v>17.469787018191532</v>
      </c>
      <c r="H496">
        <f t="shared" ca="1" si="148"/>
        <v>309.84776363487271</v>
      </c>
      <c r="I496">
        <f t="shared" ca="1" si="149"/>
        <v>274.90818959848963</v>
      </c>
      <c r="J496">
        <f t="shared" ca="1" si="158"/>
        <v>311.28200000000004</v>
      </c>
      <c r="K496">
        <f t="shared" ca="1" si="159"/>
        <v>5.050208541811859</v>
      </c>
      <c r="L496">
        <f t="shared" ca="1" si="160"/>
        <v>321.38241708362375</v>
      </c>
      <c r="M496">
        <f t="shared" ca="1" si="161"/>
        <v>301.18158291637633</v>
      </c>
      <c r="N496">
        <f t="shared" ca="1" si="150"/>
        <v>-3.8100000000000023</v>
      </c>
      <c r="O496">
        <f t="shared" ca="1" si="151"/>
        <v>0</v>
      </c>
      <c r="P496">
        <f t="shared" ca="1" si="152"/>
        <v>3.8100000000000023</v>
      </c>
      <c r="Q496">
        <f t="shared" ca="1" si="156"/>
        <v>1.6374768791121819</v>
      </c>
      <c r="R496">
        <f t="shared" ca="1" si="157"/>
        <v>1.2479995129337844</v>
      </c>
      <c r="S496">
        <f t="shared" ca="1" si="154"/>
        <v>1.3120813446976578</v>
      </c>
      <c r="T496">
        <f t="shared" ca="1" si="155"/>
        <v>56.748926576769463</v>
      </c>
      <c r="U496">
        <f>70</f>
        <v>70</v>
      </c>
      <c r="V496">
        <f>30</f>
        <v>30</v>
      </c>
      <c r="W496">
        <f t="shared" ca="1" si="153"/>
        <v>314.19631071640777</v>
      </c>
      <c r="X496">
        <f t="shared" ca="1" si="163"/>
        <v>310.93792641081342</v>
      </c>
      <c r="Y496">
        <f t="shared" ca="1" si="162"/>
        <v>3.1784564081445978</v>
      </c>
      <c r="Z496">
        <f t="shared" ca="1" si="164"/>
        <v>2.6682671800789772</v>
      </c>
      <c r="AA496">
        <f t="shared" ca="1" si="165"/>
        <v>0.51018922806562061</v>
      </c>
      <c r="AB496">
        <f t="shared" ca="1" si="166"/>
        <v>306.55750000000006</v>
      </c>
    </row>
    <row r="497" spans="1:28" x14ac:dyDescent="0.25">
      <c r="A497" s="21">
        <f t="shared" ca="1" si="146"/>
        <v>46013</v>
      </c>
      <c r="B497" vm="1468">
        <f ca="1"/>
        <v>46013</v>
      </c>
      <c r="C497" vm="978">
        <f ca="1"/>
        <v>316.22000000000003</v>
      </c>
      <c r="D497" vm="1469">
        <f ca="1"/>
        <v>2514579</v>
      </c>
      <c r="E497">
        <f t="shared" ca="1" si="147"/>
        <v>795160171.38000011</v>
      </c>
      <c r="F497">
        <f ca="1">SUM($E$2:E497)/SUM($D$2:D497)</f>
        <v>292.41302310358094</v>
      </c>
      <c r="G497">
        <f ca="1">_xlfn.STDEV.P($C$2:C497)</f>
        <v>17.482622617124008</v>
      </c>
      <c r="H497">
        <f t="shared" ca="1" si="148"/>
        <v>309.89564572070492</v>
      </c>
      <c r="I497">
        <f t="shared" ca="1" si="149"/>
        <v>274.93040048645696</v>
      </c>
      <c r="J497">
        <f t="shared" ca="1" si="158"/>
        <v>311.62549999999999</v>
      </c>
      <c r="K497">
        <f t="shared" ca="1" si="159"/>
        <v>5.1446389827817756</v>
      </c>
      <c r="L497">
        <f t="shared" ca="1" si="160"/>
        <v>321.91477796556353</v>
      </c>
      <c r="M497">
        <f t="shared" ca="1" si="161"/>
        <v>301.33622203443645</v>
      </c>
      <c r="N497">
        <f t="shared" ca="1" si="150"/>
        <v>0.3800000000000523</v>
      </c>
      <c r="O497">
        <f t="shared" ca="1" si="151"/>
        <v>0.3800000000000523</v>
      </c>
      <c r="P497">
        <f t="shared" ca="1" si="152"/>
        <v>0</v>
      </c>
      <c r="Q497">
        <f t="shared" ca="1" si="156"/>
        <v>1.5476571020327441</v>
      </c>
      <c r="R497">
        <f t="shared" ca="1" si="157"/>
        <v>1.1588566905813713</v>
      </c>
      <c r="S497">
        <f t="shared" ca="1" si="154"/>
        <v>1.3355034445685607</v>
      </c>
      <c r="T497">
        <f t="shared" ca="1" si="155"/>
        <v>57.182679292312898</v>
      </c>
      <c r="U497">
        <f>70</f>
        <v>70</v>
      </c>
      <c r="V497">
        <f>30</f>
        <v>30</v>
      </c>
      <c r="W497">
        <f t="shared" ca="1" si="153"/>
        <v>314.50764752926813</v>
      </c>
      <c r="X497">
        <f t="shared" ca="1" si="163"/>
        <v>311.32919112112353</v>
      </c>
      <c r="Y497">
        <f t="shared" ca="1" si="162"/>
        <v>2.6504393214458446</v>
      </c>
      <c r="Z497">
        <f t="shared" ca="1" si="164"/>
        <v>2.6647016083523511</v>
      </c>
      <c r="AA497">
        <f t="shared" ca="1" si="165"/>
        <v>-1.4262286906506549E-2</v>
      </c>
      <c r="AB497">
        <f t="shared" ca="1" si="166"/>
        <v>306.71900000000005</v>
      </c>
    </row>
    <row r="498" spans="1:28" x14ac:dyDescent="0.25">
      <c r="A498" s="21">
        <f t="shared" ca="1" si="146"/>
        <v>46013</v>
      </c>
      <c r="B498" vm="1470">
        <f ca="1"/>
        <v>46014</v>
      </c>
      <c r="C498" vm="1471">
        <f ca="1"/>
        <v>310.83999999999997</v>
      </c>
      <c r="D498" vm="1472">
        <f ca="1"/>
        <v>2922808</v>
      </c>
      <c r="E498">
        <f t="shared" ca="1" si="147"/>
        <v>908525638.71999991</v>
      </c>
      <c r="F498">
        <f ca="1">SUM($E$2:E498)/SUM($D$2:D498)</f>
        <v>292.44445344362225</v>
      </c>
      <c r="G498">
        <f ca="1">_xlfn.STDEV.P($C$2:C498)</f>
        <v>17.482760925270853</v>
      </c>
      <c r="H498">
        <f t="shared" ca="1" si="148"/>
        <v>309.92721436889309</v>
      </c>
      <c r="I498">
        <f t="shared" ca="1" si="149"/>
        <v>274.96169251835141</v>
      </c>
      <c r="J498">
        <f t="shared" ca="1" si="158"/>
        <v>311.92250000000001</v>
      </c>
      <c r="K498">
        <f t="shared" ca="1" si="159"/>
        <v>4.9016612382677804</v>
      </c>
      <c r="L498">
        <f t="shared" ca="1" si="160"/>
        <v>321.7258224765356</v>
      </c>
      <c r="M498">
        <f t="shared" ca="1" si="161"/>
        <v>302.11917752346443</v>
      </c>
      <c r="N498">
        <f t="shared" ca="1" si="150"/>
        <v>-5.3800000000000523</v>
      </c>
      <c r="O498">
        <f t="shared" ca="1" si="151"/>
        <v>0</v>
      </c>
      <c r="P498">
        <f t="shared" ca="1" si="152"/>
        <v>5.3800000000000523</v>
      </c>
      <c r="Q498">
        <f t="shared" ca="1" si="156"/>
        <v>1.4371101661732624</v>
      </c>
      <c r="R498">
        <f t="shared" ca="1" si="157"/>
        <v>1.4603669269684201</v>
      </c>
      <c r="S498">
        <f t="shared" ca="1" si="154"/>
        <v>0.98407471412445879</v>
      </c>
      <c r="T498">
        <f t="shared" ca="1" si="155"/>
        <v>49.598672223324797</v>
      </c>
      <c r="U498">
        <f>70</f>
        <v>70</v>
      </c>
      <c r="V498">
        <f>30</f>
        <v>30</v>
      </c>
      <c r="W498">
        <f t="shared" ca="1" si="153"/>
        <v>313.94339406322689</v>
      </c>
      <c r="X498">
        <f t="shared" ca="1" si="163"/>
        <v>311.29295474178105</v>
      </c>
      <c r="Y498">
        <f t="shared" ca="1" si="162"/>
        <v>2.405178762676826</v>
      </c>
      <c r="Z498">
        <f t="shared" ca="1" si="164"/>
        <v>2.6127970392172459</v>
      </c>
      <c r="AA498">
        <f t="shared" ca="1" si="165"/>
        <v>-0.20761827654041998</v>
      </c>
      <c r="AB498">
        <f t="shared" ca="1" si="166"/>
        <v>306.79850000000005</v>
      </c>
    </row>
    <row r="499" spans="1:28" x14ac:dyDescent="0.25">
      <c r="A499" s="21">
        <f t="shared" ca="1" si="146"/>
        <v>46013</v>
      </c>
      <c r="B499" vm="1473">
        <f ca="1"/>
        <v>46015</v>
      </c>
      <c r="C499" vm="1474">
        <f ca="1"/>
        <v>313.33</v>
      </c>
      <c r="D499" vm="1475">
        <f ca="1"/>
        <v>1011483</v>
      </c>
      <c r="E499">
        <f t="shared" ca="1" si="147"/>
        <v>316927968.38999999</v>
      </c>
      <c r="F499">
        <f ca="1">SUM($E$2:E499)/SUM($D$2:D499)</f>
        <v>292.45677435565472</v>
      </c>
      <c r="G499">
        <f ca="1">_xlfn.STDEV.P($C$2:C499)</f>
        <v>17.488186597858693</v>
      </c>
      <c r="H499">
        <f t="shared" ca="1" si="148"/>
        <v>309.94496095351343</v>
      </c>
      <c r="I499">
        <f t="shared" ca="1" si="149"/>
        <v>274.968587757796</v>
      </c>
      <c r="J499">
        <f t="shared" ca="1" si="158"/>
        <v>312.06650000000002</v>
      </c>
      <c r="K499">
        <f t="shared" ca="1" si="159"/>
        <v>4.8984286148454617</v>
      </c>
      <c r="L499">
        <f t="shared" ca="1" si="160"/>
        <v>321.86335722969096</v>
      </c>
      <c r="M499">
        <f t="shared" ca="1" si="161"/>
        <v>302.26964277030908</v>
      </c>
      <c r="N499">
        <f t="shared" ca="1" si="150"/>
        <v>2.4900000000000091</v>
      </c>
      <c r="O499">
        <f t="shared" ca="1" si="151"/>
        <v>2.4900000000000091</v>
      </c>
      <c r="P499">
        <f t="shared" ca="1" si="152"/>
        <v>0</v>
      </c>
      <c r="Q499">
        <f t="shared" ca="1" si="156"/>
        <v>1.5123165828751728</v>
      </c>
      <c r="R499">
        <f t="shared" ca="1" si="157"/>
        <v>1.3560550036135328</v>
      </c>
      <c r="S499">
        <f t="shared" ca="1" si="154"/>
        <v>1.1152324786570187</v>
      </c>
      <c r="T499">
        <f t="shared" ca="1" si="155"/>
        <v>52.723872666946306</v>
      </c>
      <c r="U499">
        <f>70</f>
        <v>70</v>
      </c>
      <c r="V499">
        <f>30</f>
        <v>30</v>
      </c>
      <c r="W499">
        <f t="shared" ca="1" si="153"/>
        <v>313.84902574580741</v>
      </c>
      <c r="X499">
        <f t="shared" ca="1" si="163"/>
        <v>311.44384698313058</v>
      </c>
      <c r="Y499">
        <f t="shared" ca="1" si="162"/>
        <v>1.9742175982545405</v>
      </c>
      <c r="Z499">
        <f t="shared" ca="1" si="164"/>
        <v>2.4850811510247048</v>
      </c>
      <c r="AA499">
        <f t="shared" ca="1" si="165"/>
        <v>-0.51086355277016438</v>
      </c>
      <c r="AB499">
        <f t="shared" ca="1" si="166"/>
        <v>306.8895</v>
      </c>
    </row>
    <row r="500" spans="1:28" x14ac:dyDescent="0.25">
      <c r="A500" s="21">
        <f t="shared" ca="1" si="146"/>
        <v>46013</v>
      </c>
      <c r="B500" vm="1476">
        <f ca="1"/>
        <v>46017</v>
      </c>
      <c r="C500" vm="1477">
        <f ca="1"/>
        <v>310.68</v>
      </c>
      <c r="D500" vm="1478">
        <f ca="1"/>
        <v>1308854</v>
      </c>
      <c r="E500">
        <f t="shared" ca="1" si="147"/>
        <v>406634760.72000003</v>
      </c>
      <c r="F500">
        <f ca="1">SUM($E$2:E500)/SUM($D$2:D500)</f>
        <v>292.4706746336085</v>
      </c>
      <c r="G500">
        <f ca="1">_xlfn.STDEV.P($C$2:C500)</f>
        <v>17.487843183486177</v>
      </c>
      <c r="H500">
        <f t="shared" ca="1" si="148"/>
        <v>309.95851781709467</v>
      </c>
      <c r="I500">
        <f t="shared" ca="1" si="149"/>
        <v>274.98283145012232</v>
      </c>
      <c r="J500">
        <f t="shared" ca="1" si="158"/>
        <v>311.98050000000001</v>
      </c>
      <c r="K500">
        <f t="shared" ca="1" si="159"/>
        <v>4.9073558911194981</v>
      </c>
      <c r="L500">
        <f t="shared" ca="1" si="160"/>
        <v>321.79521178223899</v>
      </c>
      <c r="M500">
        <f t="shared" ca="1" si="161"/>
        <v>302.16578821776102</v>
      </c>
      <c r="N500">
        <f t="shared" ca="1" si="150"/>
        <v>-2.6499999999999773</v>
      </c>
      <c r="O500">
        <f t="shared" ca="1" si="151"/>
        <v>0</v>
      </c>
      <c r="P500">
        <f t="shared" ca="1" si="152"/>
        <v>2.6499999999999773</v>
      </c>
      <c r="Q500">
        <f t="shared" ca="1" si="156"/>
        <v>1.4042939698126606</v>
      </c>
      <c r="R500">
        <f t="shared" ca="1" si="157"/>
        <v>1.4484796462125646</v>
      </c>
      <c r="S500">
        <f t="shared" ca="1" si="154"/>
        <v>0.96949513476738236</v>
      </c>
      <c r="T500">
        <f t="shared" ca="1" si="155"/>
        <v>49.225566372464776</v>
      </c>
      <c r="U500">
        <f>70</f>
        <v>70</v>
      </c>
      <c r="V500">
        <f>30</f>
        <v>30</v>
      </c>
      <c r="W500">
        <f t="shared" ca="1" si="153"/>
        <v>313.36148332337547</v>
      </c>
      <c r="X500">
        <f t="shared" ca="1" si="163"/>
        <v>311.38726572512093</v>
      </c>
      <c r="Y500">
        <f t="shared" ca="1" si="162"/>
        <v>1.442561784553277</v>
      </c>
      <c r="Z500">
        <f t="shared" ca="1" si="164"/>
        <v>2.2765772777304196</v>
      </c>
      <c r="AA500">
        <f t="shared" ca="1" si="165"/>
        <v>-0.83401549317714263</v>
      </c>
      <c r="AB500">
        <f t="shared" ca="1" si="166"/>
        <v>307.00860000000006</v>
      </c>
    </row>
    <row r="501" spans="1:28" x14ac:dyDescent="0.25">
      <c r="A501" s="21">
        <f t="shared" ca="1" si="146"/>
        <v>46020</v>
      </c>
      <c r="B501" vm="1479">
        <f ca="1"/>
        <v>46020</v>
      </c>
      <c r="C501" vm="1480">
        <f ca="1"/>
        <v>308.52999999999997</v>
      </c>
      <c r="D501" vm="1481">
        <f ca="1"/>
        <v>2148502</v>
      </c>
      <c r="E501">
        <f t="shared" ca="1" si="147"/>
        <v>662877322.05999994</v>
      </c>
      <c r="F501">
        <f ca="1">SUM($E$2:E501)/SUM($D$2:D501)</f>
        <v>292.49075754360848</v>
      </c>
      <c r="G501">
        <f ca="1">_xlfn.STDEV.P($C$2:C501)</f>
        <v>17.483450837223181</v>
      </c>
      <c r="H501">
        <f t="shared" ca="1" si="148"/>
        <v>309.97420838083167</v>
      </c>
      <c r="I501">
        <f t="shared" ca="1" si="149"/>
        <v>275.00730670638529</v>
      </c>
      <c r="J501">
        <f t="shared" ca="1" si="158"/>
        <v>311.81600000000003</v>
      </c>
      <c r="K501">
        <f t="shared" ca="1" si="159"/>
        <v>4.9677892997102635</v>
      </c>
      <c r="L501">
        <f t="shared" ca="1" si="160"/>
        <v>321.75157859942055</v>
      </c>
      <c r="M501">
        <f t="shared" ca="1" si="161"/>
        <v>301.88042140057951</v>
      </c>
      <c r="N501">
        <f t="shared" ca="1" si="150"/>
        <v>-2.1500000000000341</v>
      </c>
      <c r="O501">
        <f t="shared" ca="1" si="151"/>
        <v>0</v>
      </c>
      <c r="P501">
        <f t="shared" ca="1" si="152"/>
        <v>2.1500000000000341</v>
      </c>
      <c r="Q501">
        <f t="shared" ca="1" si="156"/>
        <v>1.3039872576831848</v>
      </c>
      <c r="R501">
        <f t="shared" ca="1" si="157"/>
        <v>1.4985882429116695</v>
      </c>
      <c r="S501">
        <f t="shared" ca="1" si="154"/>
        <v>0.87014379290045252</v>
      </c>
      <c r="T501">
        <f t="shared" ca="1" si="155"/>
        <v>46.528175865606826</v>
      </c>
      <c r="U501">
        <f>70</f>
        <v>70</v>
      </c>
      <c r="V501">
        <f>30</f>
        <v>30</v>
      </c>
      <c r="W501">
        <f t="shared" ca="1" si="153"/>
        <v>312.61817819670227</v>
      </c>
      <c r="X501">
        <f t="shared" ca="1" si="163"/>
        <v>311.175616412149</v>
      </c>
      <c r="Y501">
        <f t="shared" ca="1" si="162"/>
        <v>0.96969683895201797</v>
      </c>
      <c r="Z501">
        <f t="shared" ca="1" si="164"/>
        <v>2.0152011899747393</v>
      </c>
      <c r="AA501">
        <f t="shared" ca="1" si="165"/>
        <v>-1.0455043510227213</v>
      </c>
      <c r="AB501">
        <f t="shared" ca="1" si="166"/>
        <v>307.01730000000003</v>
      </c>
    </row>
    <row r="502" spans="1:28" x14ac:dyDescent="0.25">
      <c r="A502" s="21">
        <f t="shared" ca="1" si="146"/>
        <v>46020</v>
      </c>
      <c r="B502" vm="1482">
        <f ca="1"/>
        <v>46021</v>
      </c>
      <c r="C502" vm="1483">
        <f ca="1"/>
        <v>308.02999999999997</v>
      </c>
      <c r="D502" vm="1484">
        <f ca="1"/>
        <v>1678742</v>
      </c>
      <c r="E502">
        <f t="shared" ca="1" si="147"/>
        <v>517102898.25999993</v>
      </c>
      <c r="F502">
        <f ca="1">SUM($E$2:E502)/SUM($D$2:D502)</f>
        <v>292.50592641367757</v>
      </c>
      <c r="G502">
        <f ca="1">_xlfn.STDEV.P($C$2:C502)</f>
        <v>17.478175460471327</v>
      </c>
      <c r="H502">
        <f t="shared" ca="1" si="148"/>
        <v>309.98410187414891</v>
      </c>
      <c r="I502">
        <f t="shared" ca="1" si="149"/>
        <v>275.02775095320624</v>
      </c>
      <c r="J502">
        <f t="shared" ca="1" si="158"/>
        <v>312.03899999999999</v>
      </c>
      <c r="K502">
        <f t="shared" ca="1" si="159"/>
        <v>4.6692858689863685</v>
      </c>
      <c r="L502">
        <f t="shared" ca="1" si="160"/>
        <v>321.37757173797274</v>
      </c>
      <c r="M502">
        <f t="shared" ca="1" si="161"/>
        <v>302.70042826202723</v>
      </c>
      <c r="N502">
        <f t="shared" ca="1" si="150"/>
        <v>-0.5</v>
      </c>
      <c r="O502">
        <f t="shared" ca="1" si="151"/>
        <v>0</v>
      </c>
      <c r="P502">
        <f t="shared" ca="1" si="152"/>
        <v>0.5</v>
      </c>
      <c r="Q502">
        <f t="shared" ca="1" si="156"/>
        <v>1.2108453107058144</v>
      </c>
      <c r="R502">
        <f t="shared" ca="1" si="157"/>
        <v>1.4272605112751218</v>
      </c>
      <c r="S502">
        <f t="shared" ca="1" si="154"/>
        <v>0.84837021772853438</v>
      </c>
      <c r="T502">
        <f t="shared" ca="1" si="155"/>
        <v>45.898284315092361</v>
      </c>
      <c r="U502">
        <f>70</f>
        <v>70</v>
      </c>
      <c r="V502">
        <f>30</f>
        <v>30</v>
      </c>
      <c r="W502">
        <f t="shared" ca="1" si="153"/>
        <v>311.91230462797887</v>
      </c>
      <c r="X502">
        <f t="shared" ca="1" si="163"/>
        <v>310.94260778902685</v>
      </c>
      <c r="Y502">
        <f t="shared" ca="1" si="162"/>
        <v>0.39671493753843379</v>
      </c>
      <c r="Z502">
        <f t="shared" ca="1" si="164"/>
        <v>1.6915039394874782</v>
      </c>
      <c r="AA502">
        <f t="shared" ca="1" si="165"/>
        <v>-1.2947890019490444</v>
      </c>
      <c r="AB502">
        <f t="shared" ca="1" si="166"/>
        <v>307.01850000000002</v>
      </c>
    </row>
    <row r="503" spans="1:28" x14ac:dyDescent="0.25">
      <c r="A503" s="21">
        <f t="shared" ca="1" si="146"/>
        <v>46020</v>
      </c>
      <c r="B503" vm="1485">
        <f ca="1"/>
        <v>46022</v>
      </c>
      <c r="C503" vm="1486">
        <f ca="1"/>
        <v>305.63</v>
      </c>
      <c r="D503" vm="1487">
        <f ca="1"/>
        <v>1903701</v>
      </c>
      <c r="E503">
        <f t="shared" ca="1" si="147"/>
        <v>581828136.63</v>
      </c>
      <c r="F503">
        <f ca="1">SUM($E$2:E503)/SUM($D$2:D503)</f>
        <v>292.5204383825947</v>
      </c>
      <c r="G503">
        <f ca="1">_xlfn.STDEV.P($C$2:C503)</f>
        <v>17.469214500355765</v>
      </c>
      <c r="H503">
        <f t="shared" ca="1" si="148"/>
        <v>309.98965288295045</v>
      </c>
      <c r="I503">
        <f t="shared" ca="1" si="149"/>
        <v>275.05122388223896</v>
      </c>
      <c r="J503">
        <f t="shared" ca="1" si="158"/>
        <v>312.28449999999998</v>
      </c>
      <c r="K503">
        <f t="shared" ca="1" si="159"/>
        <v>4.1421612398411218</v>
      </c>
      <c r="L503">
        <f t="shared" ca="1" si="160"/>
        <v>320.56882247968224</v>
      </c>
      <c r="M503">
        <f t="shared" ca="1" si="161"/>
        <v>304.00017752031772</v>
      </c>
      <c r="N503">
        <f t="shared" ca="1" si="150"/>
        <v>-2.3999999999999773</v>
      </c>
      <c r="O503">
        <f t="shared" ca="1" si="151"/>
        <v>0</v>
      </c>
      <c r="P503">
        <f t="shared" ca="1" si="152"/>
        <v>2.3999999999999773</v>
      </c>
      <c r="Q503">
        <f t="shared" ca="1" si="156"/>
        <v>1.1243563599411133</v>
      </c>
      <c r="R503">
        <f t="shared" ca="1" si="157"/>
        <v>1.4967419033268972</v>
      </c>
      <c r="S503">
        <f t="shared" ca="1" si="154"/>
        <v>0.75120256701702515</v>
      </c>
      <c r="T503">
        <f t="shared" ca="1" si="155"/>
        <v>42.896383386224322</v>
      </c>
      <c r="U503">
        <f>70</f>
        <v>70</v>
      </c>
      <c r="V503">
        <f>30</f>
        <v>30</v>
      </c>
      <c r="W503">
        <f t="shared" ca="1" si="153"/>
        <v>310.94579622367439</v>
      </c>
      <c r="X503">
        <f t="shared" ca="1" si="163"/>
        <v>310.54908128613596</v>
      </c>
      <c r="Y503">
        <f t="shared" ca="1" si="162"/>
        <v>-0.24578330359798883</v>
      </c>
      <c r="Z503">
        <f t="shared" ca="1" si="164"/>
        <v>1.304046490870385</v>
      </c>
      <c r="AA503">
        <f t="shared" ca="1" si="165"/>
        <v>-1.5498297944683739</v>
      </c>
      <c r="AB503">
        <f t="shared" ca="1" si="166"/>
        <v>307.02029999999996</v>
      </c>
    </row>
    <row r="504" spans="1:28" x14ac:dyDescent="0.25">
      <c r="A504" s="21">
        <f t="shared" ca="1" si="146"/>
        <v>46020</v>
      </c>
      <c r="B504" vm="1488">
        <f ca="1"/>
        <v>46024</v>
      </c>
      <c r="C504" vm="1489">
        <f ca="1"/>
        <v>303.26</v>
      </c>
      <c r="D504" vm="1490">
        <f ca="1"/>
        <v>3124487</v>
      </c>
      <c r="E504">
        <f t="shared" ca="1" si="147"/>
        <v>947531927.62</v>
      </c>
      <c r="F504">
        <f ca="1">SUM($E$2:E504)/SUM($D$2:D504)</f>
        <v>292.53989363015376</v>
      </c>
      <c r="G504">
        <f ca="1">_xlfn.STDEV.P($C$2:C504)</f>
        <v>17.457293707139819</v>
      </c>
      <c r="H504">
        <f t="shared" ca="1" si="148"/>
        <v>309.99718733729355</v>
      </c>
      <c r="I504">
        <f t="shared" ca="1" si="149"/>
        <v>275.08259992301396</v>
      </c>
      <c r="J504">
        <f t="shared" ca="1" si="158"/>
        <v>312.06200000000001</v>
      </c>
      <c r="K504">
        <f t="shared" ca="1" si="159"/>
        <v>4.504488521697585</v>
      </c>
      <c r="L504">
        <f t="shared" ca="1" si="160"/>
        <v>321.0709770433952</v>
      </c>
      <c r="M504">
        <f t="shared" ca="1" si="161"/>
        <v>303.05302295660482</v>
      </c>
      <c r="N504">
        <f t="shared" ca="1" si="150"/>
        <v>-2.3700000000000045</v>
      </c>
      <c r="O504">
        <f t="shared" ca="1" si="151"/>
        <v>0</v>
      </c>
      <c r="P504">
        <f t="shared" ca="1" si="152"/>
        <v>2.3700000000000045</v>
      </c>
      <c r="Q504">
        <f t="shared" ca="1" si="156"/>
        <v>1.0440451913738908</v>
      </c>
      <c r="R504">
        <f t="shared" ca="1" si="157"/>
        <v>1.5591174816606905</v>
      </c>
      <c r="S504">
        <f t="shared" ca="1" si="154"/>
        <v>0.66963856390207899</v>
      </c>
      <c r="T504">
        <f t="shared" ca="1" si="155"/>
        <v>40.106797865106806</v>
      </c>
      <c r="U504">
        <f>70</f>
        <v>70</v>
      </c>
      <c r="V504">
        <f>30</f>
        <v>30</v>
      </c>
      <c r="W504">
        <f t="shared" ca="1" si="153"/>
        <v>309.76336603541677</v>
      </c>
      <c r="X504">
        <f t="shared" ca="1" si="163"/>
        <v>310.00914933901475</v>
      </c>
      <c r="Y504">
        <f t="shared" ca="1" si="162"/>
        <v>-1.0175892383504674</v>
      </c>
      <c r="Z504">
        <f t="shared" ca="1" si="164"/>
        <v>0.83971934502621448</v>
      </c>
      <c r="AA504">
        <f t="shared" ca="1" si="165"/>
        <v>-1.8573085833766818</v>
      </c>
      <c r="AB504">
        <f t="shared" ca="1" si="166"/>
        <v>307.00930000000005</v>
      </c>
    </row>
    <row r="505" spans="1:28" x14ac:dyDescent="0.25">
      <c r="A505" s="21">
        <f t="shared" ca="1" si="146"/>
        <v>46027</v>
      </c>
      <c r="B505" vm="1491">
        <f ca="1"/>
        <v>46027</v>
      </c>
      <c r="C505" vm="1492">
        <f ca="1"/>
        <v>299.86</v>
      </c>
      <c r="D505" vm="1493">
        <f ca="1"/>
        <v>4573300</v>
      </c>
      <c r="E505">
        <f t="shared" ca="1" si="147"/>
        <v>1371349738</v>
      </c>
      <c r="F505">
        <f ca="1">SUM($E$2:E505)/SUM($D$2:D505)</f>
        <v>292.55925198896261</v>
      </c>
      <c r="G505">
        <f ca="1">_xlfn.STDEV.P($C$2:C505)</f>
        <v>17.44227372623563</v>
      </c>
      <c r="H505">
        <f t="shared" ca="1" si="148"/>
        <v>310.00152571519823</v>
      </c>
      <c r="I505">
        <f t="shared" ca="1" si="149"/>
        <v>275.116978262727</v>
      </c>
      <c r="J505">
        <f t="shared" ca="1" si="158"/>
        <v>311.62800000000004</v>
      </c>
      <c r="K505">
        <f t="shared" ca="1" si="159"/>
        <v>5.2225982644253781</v>
      </c>
      <c r="L505">
        <f t="shared" ca="1" si="160"/>
        <v>322.07319652885081</v>
      </c>
      <c r="M505">
        <f t="shared" ca="1" si="161"/>
        <v>301.18280347114927</v>
      </c>
      <c r="N505">
        <f t="shared" ca="1" si="150"/>
        <v>-3.3999999999999773</v>
      </c>
      <c r="O505">
        <f t="shared" ca="1" si="151"/>
        <v>0</v>
      </c>
      <c r="P505">
        <f t="shared" ca="1" si="152"/>
        <v>3.3999999999999773</v>
      </c>
      <c r="Q505">
        <f t="shared" ca="1" si="156"/>
        <v>0.96947053484718437</v>
      </c>
      <c r="R505">
        <f t="shared" ca="1" si="157"/>
        <v>1.6906090901134969</v>
      </c>
      <c r="S505">
        <f t="shared" ca="1" si="154"/>
        <v>0.57344452985408956</v>
      </c>
      <c r="T505">
        <f t="shared" ca="1" si="155"/>
        <v>36.445169751695467</v>
      </c>
      <c r="U505">
        <f>70</f>
        <v>70</v>
      </c>
      <c r="V505">
        <f>30</f>
        <v>30</v>
      </c>
      <c r="W505">
        <f t="shared" ca="1" si="153"/>
        <v>308.23977126073726</v>
      </c>
      <c r="X505">
        <f t="shared" ca="1" si="163"/>
        <v>309.25736049908772</v>
      </c>
      <c r="Y505">
        <f t="shared" ca="1" si="162"/>
        <v>-1.3785472870785611</v>
      </c>
      <c r="Z505">
        <f t="shared" ca="1" si="164"/>
        <v>0.39606601860525942</v>
      </c>
      <c r="AA505">
        <f t="shared" ca="1" si="165"/>
        <v>-1.7746133056838205</v>
      </c>
      <c r="AB505">
        <f t="shared" ca="1" si="166"/>
        <v>306.99150000000003</v>
      </c>
    </row>
    <row r="506" spans="1:28" x14ac:dyDescent="0.25">
      <c r="A506" s="21">
        <f t="shared" ca="1" si="146"/>
        <v>46027</v>
      </c>
      <c r="B506" vm="1494">
        <f ca="1"/>
        <v>46028</v>
      </c>
      <c r="C506" vm="1495">
        <f ca="1"/>
        <v>302.77</v>
      </c>
      <c r="D506" vm="1496">
        <f ca="1"/>
        <v>3769102</v>
      </c>
      <c r="E506">
        <f t="shared" ca="1" si="147"/>
        <v>1141171012.54</v>
      </c>
      <c r="F506">
        <f ca="1">SUM($E$2:E506)/SUM($D$2:D506)</f>
        <v>292.581458042419</v>
      </c>
      <c r="G506">
        <f ca="1">_xlfn.STDEV.P($C$2:C506)</f>
        <v>17.429870879279232</v>
      </c>
      <c r="H506">
        <f t="shared" ca="1" si="148"/>
        <v>310.01132892169824</v>
      </c>
      <c r="I506">
        <f t="shared" ca="1" si="149"/>
        <v>275.15158716313977</v>
      </c>
      <c r="J506">
        <f t="shared" ca="1" si="158"/>
        <v>311.20500000000004</v>
      </c>
      <c r="K506">
        <f t="shared" ca="1" si="159"/>
        <v>5.5864606062571669</v>
      </c>
      <c r="L506">
        <f t="shared" ca="1" si="160"/>
        <v>322.37792121251437</v>
      </c>
      <c r="M506">
        <f t="shared" ca="1" si="161"/>
        <v>300.03207878748572</v>
      </c>
      <c r="N506">
        <f t="shared" ca="1" si="150"/>
        <v>2.9099999999999682</v>
      </c>
      <c r="O506">
        <f t="shared" ca="1" si="151"/>
        <v>2.9099999999999682</v>
      </c>
      <c r="P506">
        <f t="shared" ca="1" si="152"/>
        <v>0</v>
      </c>
      <c r="Q506">
        <f t="shared" ca="1" si="156"/>
        <v>1.1080797823580975</v>
      </c>
      <c r="R506">
        <f t="shared" ca="1" si="157"/>
        <v>1.5698512979625328</v>
      </c>
      <c r="S506">
        <f t="shared" ca="1" si="154"/>
        <v>0.70585015523205541</v>
      </c>
      <c r="T506">
        <f t="shared" ca="1" si="155"/>
        <v>41.378203886614834</v>
      </c>
      <c r="U506">
        <f>70</f>
        <v>70</v>
      </c>
      <c r="V506">
        <f>30</f>
        <v>30</v>
      </c>
      <c r="W506">
        <f t="shared" ca="1" si="153"/>
        <v>307.39826798985456</v>
      </c>
      <c r="X506">
        <f t="shared" ca="1" si="163"/>
        <v>308.77681527693312</v>
      </c>
      <c r="Y506">
        <f t="shared" ca="1" si="162"/>
        <v>-1.5347560456308997</v>
      </c>
      <c r="Z506">
        <f t="shared" ca="1" si="164"/>
        <v>9.9016057580276207E-3</v>
      </c>
      <c r="AA506">
        <f t="shared" ca="1" si="165"/>
        <v>-1.5446576513889274</v>
      </c>
      <c r="AB506">
        <f t="shared" ca="1" si="166"/>
        <v>306.96850000000001</v>
      </c>
    </row>
    <row r="507" spans="1:28" x14ac:dyDescent="0.25">
      <c r="A507" s="21">
        <f t="shared" ca="1" si="146"/>
        <v>46027</v>
      </c>
      <c r="B507" vm="1497">
        <f ca="1"/>
        <v>46029</v>
      </c>
      <c r="C507" vm="1409">
        <f ca="1"/>
        <v>304.16000000000003</v>
      </c>
      <c r="D507" vm="1498">
        <f ca="1"/>
        <v>4100536</v>
      </c>
      <c r="E507">
        <f t="shared" ca="1" si="147"/>
        <v>1247219029.76</v>
      </c>
      <c r="F507">
        <f ca="1">SUM($E$2:E507)/SUM($D$2:D507)</f>
        <v>292.60878832382298</v>
      </c>
      <c r="G507">
        <f ca="1">_xlfn.STDEV.P($C$2:C507)</f>
        <v>17.41905504801786</v>
      </c>
      <c r="H507">
        <f t="shared" ca="1" si="148"/>
        <v>310.02784337184085</v>
      </c>
      <c r="I507">
        <f t="shared" ca="1" si="149"/>
        <v>275.18973327580511</v>
      </c>
      <c r="J507">
        <f t="shared" ca="1" si="158"/>
        <v>310.92349999999999</v>
      </c>
      <c r="K507">
        <f t="shared" ca="1" si="159"/>
        <v>5.7993069231998495</v>
      </c>
      <c r="L507">
        <f t="shared" ca="1" si="160"/>
        <v>322.52211384639969</v>
      </c>
      <c r="M507">
        <f t="shared" ca="1" si="161"/>
        <v>299.32488615360029</v>
      </c>
      <c r="N507">
        <f t="shared" ca="1" si="150"/>
        <v>1.3900000000000432</v>
      </c>
      <c r="O507">
        <f t="shared" ca="1" si="151"/>
        <v>1.3900000000000432</v>
      </c>
      <c r="P507">
        <f t="shared" ca="1" si="152"/>
        <v>0</v>
      </c>
      <c r="Q507">
        <f t="shared" ca="1" si="156"/>
        <v>1.1282169407610936</v>
      </c>
      <c r="R507">
        <f t="shared" ca="1" si="157"/>
        <v>1.4577190623937804</v>
      </c>
      <c r="S507">
        <f t="shared" ca="1" si="154"/>
        <v>0.77396047693058367</v>
      </c>
      <c r="T507">
        <f t="shared" ca="1" si="155"/>
        <v>43.628958310826519</v>
      </c>
      <c r="U507">
        <f>70</f>
        <v>70</v>
      </c>
      <c r="V507">
        <f>30</f>
        <v>30</v>
      </c>
      <c r="W507">
        <f t="shared" ca="1" si="153"/>
        <v>306.90007291449234</v>
      </c>
      <c r="X507">
        <f t="shared" ca="1" si="163"/>
        <v>308.43482896012324</v>
      </c>
      <c r="Y507">
        <f t="shared" ca="1" si="162"/>
        <v>-1.263127511213213</v>
      </c>
      <c r="Z507">
        <f t="shared" ca="1" si="164"/>
        <v>-0.24470421763622052</v>
      </c>
      <c r="AA507">
        <f t="shared" ca="1" si="165"/>
        <v>-1.0184232935769924</v>
      </c>
      <c r="AB507">
        <f t="shared" ca="1" si="166"/>
        <v>306.92060000000004</v>
      </c>
    </row>
    <row r="508" spans="1:28" x14ac:dyDescent="0.25">
      <c r="A508" s="21">
        <f t="shared" ca="1" si="146"/>
        <v>46027</v>
      </c>
      <c r="B508" vm="1499">
        <f ca="1"/>
        <v>46030</v>
      </c>
      <c r="C508" vm="1500">
        <f ca="1"/>
        <v>308.88</v>
      </c>
      <c r="D508" vm="1501">
        <f ca="1"/>
        <v>3268280</v>
      </c>
      <c r="E508">
        <f t="shared" ca="1" si="147"/>
        <v>1009506326.4</v>
      </c>
      <c r="F508">
        <f ca="1">SUM($E$2:E508)/SUM($D$2:D508)</f>
        <v>292.63934263243914</v>
      </c>
      <c r="G508">
        <f ca="1">_xlfn.STDEV.P($C$2:C508)</f>
        <v>17.415178149541745</v>
      </c>
      <c r="H508">
        <f t="shared" ca="1" si="148"/>
        <v>310.0545207819809</v>
      </c>
      <c r="I508">
        <f t="shared" ca="1" si="149"/>
        <v>275.22416448289738</v>
      </c>
      <c r="J508">
        <f t="shared" ca="1" si="158"/>
        <v>310.82800000000003</v>
      </c>
      <c r="K508">
        <f t="shared" ca="1" si="159"/>
        <v>5.8173195129534951</v>
      </c>
      <c r="L508">
        <f t="shared" ca="1" si="160"/>
        <v>322.46263902590704</v>
      </c>
      <c r="M508">
        <f t="shared" ca="1" si="161"/>
        <v>299.19336097409303</v>
      </c>
      <c r="N508">
        <f t="shared" ca="1" si="150"/>
        <v>4.7199999999999704</v>
      </c>
      <c r="O508">
        <f t="shared" ca="1" si="151"/>
        <v>4.7199999999999704</v>
      </c>
      <c r="P508">
        <f t="shared" ca="1" si="152"/>
        <v>0</v>
      </c>
      <c r="Q508">
        <f t="shared" ca="1" si="156"/>
        <v>1.3847728735638705</v>
      </c>
      <c r="R508">
        <f t="shared" ca="1" si="157"/>
        <v>1.3535962722227961</v>
      </c>
      <c r="S508">
        <f t="shared" ca="1" si="154"/>
        <v>1.0230324225774337</v>
      </c>
      <c r="T508">
        <f t="shared" ca="1" si="155"/>
        <v>50.569254904676448</v>
      </c>
      <c r="U508">
        <f>70</f>
        <v>70</v>
      </c>
      <c r="V508">
        <f>30</f>
        <v>30</v>
      </c>
      <c r="W508">
        <f t="shared" ca="1" si="153"/>
        <v>307.20467708149351</v>
      </c>
      <c r="X508">
        <f t="shared" ca="1" si="163"/>
        <v>308.46780459270673</v>
      </c>
      <c r="Y508">
        <f t="shared" ca="1" si="162"/>
        <v>-1.1603629613280191</v>
      </c>
      <c r="Z508">
        <f t="shared" ca="1" si="164"/>
        <v>-0.42783596637458027</v>
      </c>
      <c r="AA508">
        <f t="shared" ca="1" si="165"/>
        <v>-0.73252699495343876</v>
      </c>
      <c r="AB508">
        <f t="shared" ca="1" si="166"/>
        <v>306.92010000000005</v>
      </c>
    </row>
    <row r="509" spans="1:28" x14ac:dyDescent="0.25">
      <c r="A509" s="21">
        <f t="shared" ca="1" si="146"/>
        <v>46027</v>
      </c>
      <c r="B509" vm="1502">
        <f ca="1"/>
        <v>46031</v>
      </c>
      <c r="C509" vm="1503">
        <f ca="1"/>
        <v>307.32</v>
      </c>
      <c r="D509" vm="1504">
        <f ca="1"/>
        <v>2971973</v>
      </c>
      <c r="E509">
        <f t="shared" ca="1" si="147"/>
        <v>913346742.36000001</v>
      </c>
      <c r="F509">
        <f ca="1">SUM($E$2:E509)/SUM($D$2:D509)</f>
        <v>292.66436812976235</v>
      </c>
      <c r="G509">
        <f ca="1">_xlfn.STDEV.P($C$2:C509)</f>
        <v>17.408704989894613</v>
      </c>
      <c r="H509">
        <f t="shared" ca="1" si="148"/>
        <v>310.07307311965695</v>
      </c>
      <c r="I509">
        <f t="shared" ca="1" si="149"/>
        <v>275.25566313986775</v>
      </c>
      <c r="J509">
        <f t="shared" ca="1" si="158"/>
        <v>310.66749999999996</v>
      </c>
      <c r="K509">
        <f t="shared" ca="1" si="159"/>
        <v>5.8700173719818265</v>
      </c>
      <c r="L509">
        <f t="shared" ca="1" si="160"/>
        <v>322.40753474396359</v>
      </c>
      <c r="M509">
        <f t="shared" ca="1" si="161"/>
        <v>298.92746525603633</v>
      </c>
      <c r="N509">
        <f t="shared" ca="1" si="150"/>
        <v>-1.5600000000000023</v>
      </c>
      <c r="O509">
        <f t="shared" ca="1" si="151"/>
        <v>0</v>
      </c>
      <c r="P509">
        <f t="shared" ca="1" si="152"/>
        <v>1.5600000000000023</v>
      </c>
      <c r="Q509">
        <f t="shared" ca="1" si="156"/>
        <v>1.2858605254521653</v>
      </c>
      <c r="R509">
        <f t="shared" ca="1" si="157"/>
        <v>1.3683393956354537</v>
      </c>
      <c r="S509">
        <f t="shared" ca="1" si="154"/>
        <v>0.93972338262980049</v>
      </c>
      <c r="T509">
        <f t="shared" ca="1" si="155"/>
        <v>48.446257391389523</v>
      </c>
      <c r="U509">
        <f>70</f>
        <v>70</v>
      </c>
      <c r="V509">
        <f>30</f>
        <v>30</v>
      </c>
      <c r="W509">
        <f t="shared" ca="1" si="153"/>
        <v>307.22241906895601</v>
      </c>
      <c r="X509">
        <f t="shared" ca="1" si="163"/>
        <v>308.38278203028403</v>
      </c>
      <c r="Y509">
        <f t="shared" ca="1" si="162"/>
        <v>-1.1120960010324552</v>
      </c>
      <c r="Z509">
        <f t="shared" ca="1" si="164"/>
        <v>-0.56468797330615528</v>
      </c>
      <c r="AA509">
        <f t="shared" ca="1" si="165"/>
        <v>-0.54740802772629993</v>
      </c>
      <c r="AB509">
        <f t="shared" ca="1" si="166"/>
        <v>306.90630000000004</v>
      </c>
    </row>
    <row r="510" spans="1:28" x14ac:dyDescent="0.25">
      <c r="A510" s="21">
        <f t="shared" ca="1" si="146"/>
        <v>46034</v>
      </c>
      <c r="B510" vm="1505">
        <f ca="1"/>
        <v>46034</v>
      </c>
      <c r="C510" vm="1506">
        <f ca="1"/>
        <v>306.75</v>
      </c>
      <c r="D510" vm="1507">
        <f ca="1"/>
        <v>3206608</v>
      </c>
      <c r="E510">
        <f t="shared" ca="1" si="147"/>
        <v>983627004</v>
      </c>
      <c r="F510">
        <f ca="1">SUM($E$2:E510)/SUM($D$2:D510)</f>
        <v>292.69022741533655</v>
      </c>
      <c r="G510">
        <f ca="1">_xlfn.STDEV.P($C$2:C510)</f>
        <v>17.401349742572076</v>
      </c>
      <c r="H510">
        <f t="shared" ca="1" si="148"/>
        <v>310.0915771579086</v>
      </c>
      <c r="I510">
        <f t="shared" ca="1" si="149"/>
        <v>275.2888776727645</v>
      </c>
      <c r="J510">
        <f t="shared" ca="1" si="158"/>
        <v>310.51949999999994</v>
      </c>
      <c r="K510">
        <f t="shared" ca="1" si="159"/>
        <v>5.9324127291915296</v>
      </c>
      <c r="L510">
        <f t="shared" ca="1" si="160"/>
        <v>322.38432545838299</v>
      </c>
      <c r="M510">
        <f t="shared" ca="1" si="161"/>
        <v>298.65467454161688</v>
      </c>
      <c r="N510">
        <f t="shared" ca="1" si="150"/>
        <v>-0.56999999999999318</v>
      </c>
      <c r="O510">
        <f t="shared" ca="1" si="151"/>
        <v>0</v>
      </c>
      <c r="P510">
        <f t="shared" ca="1" si="152"/>
        <v>0.56999999999999318</v>
      </c>
      <c r="Q510">
        <f t="shared" ca="1" si="156"/>
        <v>1.1940133450627251</v>
      </c>
      <c r="R510">
        <f t="shared" ca="1" si="157"/>
        <v>1.3113151530900637</v>
      </c>
      <c r="S510">
        <f t="shared" ca="1" si="154"/>
        <v>0.91054644053268086</v>
      </c>
      <c r="T510">
        <f t="shared" ca="1" si="155"/>
        <v>47.658953544139486</v>
      </c>
      <c r="U510">
        <f>70</f>
        <v>70</v>
      </c>
      <c r="V510">
        <f>30</f>
        <v>30</v>
      </c>
      <c r="W510">
        <f t="shared" ca="1" si="153"/>
        <v>307.14973921219354</v>
      </c>
      <c r="X510">
        <f t="shared" ca="1" si="163"/>
        <v>308.26183521322599</v>
      </c>
      <c r="Y510">
        <f t="shared" ca="1" si="162"/>
        <v>-0.84701965321073658</v>
      </c>
      <c r="Z510">
        <f t="shared" ca="1" si="164"/>
        <v>-0.62115430928707149</v>
      </c>
      <c r="AA510">
        <f t="shared" ca="1" si="165"/>
        <v>-0.22586534392366509</v>
      </c>
      <c r="AB510">
        <f t="shared" ca="1" si="166"/>
        <v>306.86450000000008</v>
      </c>
    </row>
    <row r="511" spans="1:28" x14ac:dyDescent="0.25">
      <c r="A511" s="21">
        <f t="shared" ca="1" si="146"/>
        <v>46034</v>
      </c>
      <c r="B511" vm="1508">
        <f ca="1"/>
        <v>46035</v>
      </c>
      <c r="C511" vm="1509">
        <f ca="1"/>
        <v>309.44</v>
      </c>
      <c r="D511" vm="1510">
        <f ca="1"/>
        <v>2967887</v>
      </c>
      <c r="E511">
        <f t="shared" ca="1" si="147"/>
        <v>918382953.27999997</v>
      </c>
      <c r="F511">
        <f ca="1">SUM($E$2:E511)/SUM($D$2:D511)</f>
        <v>292.71864016539388</v>
      </c>
      <c r="G511">
        <f ca="1">_xlfn.STDEV.P($C$2:C511)</f>
        <v>17.398362319843031</v>
      </c>
      <c r="H511">
        <f t="shared" ca="1" si="148"/>
        <v>310.11700248523692</v>
      </c>
      <c r="I511">
        <f t="shared" ca="1" si="149"/>
        <v>275.32027784555083</v>
      </c>
      <c r="J511">
        <f t="shared" ca="1" si="158"/>
        <v>310.15549999999996</v>
      </c>
      <c r="K511">
        <f t="shared" ca="1" si="159"/>
        <v>5.7525559307878185</v>
      </c>
      <c r="L511">
        <f t="shared" ca="1" si="160"/>
        <v>321.6606118615756</v>
      </c>
      <c r="M511">
        <f t="shared" ca="1" si="161"/>
        <v>298.65038813842432</v>
      </c>
      <c r="N511">
        <f t="shared" ca="1" si="150"/>
        <v>2.6899999999999977</v>
      </c>
      <c r="O511">
        <f t="shared" ca="1" si="151"/>
        <v>2.6899999999999977</v>
      </c>
      <c r="P511">
        <f t="shared" ca="1" si="152"/>
        <v>0</v>
      </c>
      <c r="Q511">
        <f t="shared" ca="1" si="156"/>
        <v>1.3008695347011017</v>
      </c>
      <c r="R511">
        <f t="shared" ca="1" si="157"/>
        <v>1.2176497850122021</v>
      </c>
      <c r="S511">
        <f t="shared" ca="1" si="154"/>
        <v>1.0683445689501483</v>
      </c>
      <c r="T511">
        <f t="shared" ca="1" si="155"/>
        <v>51.652156269707966</v>
      </c>
      <c r="U511">
        <f>70</f>
        <v>70</v>
      </c>
      <c r="V511">
        <f>30</f>
        <v>30</v>
      </c>
      <c r="W511">
        <f t="shared" ca="1" si="153"/>
        <v>307.50208702570222</v>
      </c>
      <c r="X511">
        <f t="shared" ca="1" si="163"/>
        <v>308.34910667891296</v>
      </c>
      <c r="Y511">
        <f t="shared" ca="1" si="162"/>
        <v>-0.73418753280100191</v>
      </c>
      <c r="Z511">
        <f t="shared" ca="1" si="164"/>
        <v>-0.64376095398985766</v>
      </c>
      <c r="AA511">
        <f t="shared" ca="1" si="165"/>
        <v>-9.0426578811144243E-2</v>
      </c>
      <c r="AB511">
        <f t="shared" ca="1" si="166"/>
        <v>306.82810000000006</v>
      </c>
    </row>
    <row r="512" spans="1:28" x14ac:dyDescent="0.25">
      <c r="A512" s="21">
        <f t="shared" ca="1" si="146"/>
        <v>46034</v>
      </c>
      <c r="B512" vm="1511">
        <f ca="1"/>
        <v>46036</v>
      </c>
      <c r="C512" vm="1512">
        <f ca="1"/>
        <v>308.13</v>
      </c>
      <c r="D512" vm="1513">
        <f ca="1"/>
        <v>2949126</v>
      </c>
      <c r="E512">
        <f t="shared" ca="1" si="147"/>
        <v>908714194.38</v>
      </c>
      <c r="F512">
        <f ca="1">SUM($E$2:E512)/SUM($D$2:D512)</f>
        <v>292.74457358934609</v>
      </c>
      <c r="G512">
        <f ca="1">_xlfn.STDEV.P($C$2:C512)</f>
        <v>17.393104948445139</v>
      </c>
      <c r="H512">
        <f t="shared" ca="1" si="148"/>
        <v>310.1376785377912</v>
      </c>
      <c r="I512">
        <f t="shared" ca="1" si="149"/>
        <v>275.35146864090098</v>
      </c>
      <c r="J512">
        <f t="shared" ca="1" si="158"/>
        <v>309.62549999999999</v>
      </c>
      <c r="K512">
        <f t="shared" ca="1" si="159"/>
        <v>5.3983852117773896</v>
      </c>
      <c r="L512">
        <f t="shared" ca="1" si="160"/>
        <v>320.42227042355478</v>
      </c>
      <c r="M512">
        <f t="shared" ca="1" si="161"/>
        <v>298.8287295764452</v>
      </c>
      <c r="N512">
        <f t="shared" ca="1" si="150"/>
        <v>-1.3100000000000023</v>
      </c>
      <c r="O512">
        <f t="shared" ca="1" si="151"/>
        <v>0</v>
      </c>
      <c r="P512">
        <f t="shared" ca="1" si="152"/>
        <v>1.3100000000000023</v>
      </c>
      <c r="Q512">
        <f t="shared" ca="1" si="156"/>
        <v>1.2079502822224515</v>
      </c>
      <c r="R512">
        <f t="shared" ca="1" si="157"/>
        <v>1.2242462289399023</v>
      </c>
      <c r="S512">
        <f t="shared" ca="1" si="154"/>
        <v>0.98668899578186831</v>
      </c>
      <c r="T512">
        <f t="shared" ca="1" si="155"/>
        <v>49.664995269858707</v>
      </c>
      <c r="U512">
        <f>70</f>
        <v>70</v>
      </c>
      <c r="V512">
        <f>30</f>
        <v>30</v>
      </c>
      <c r="W512">
        <f t="shared" ca="1" si="153"/>
        <v>307.59868902174804</v>
      </c>
      <c r="X512">
        <f t="shared" ca="1" si="163"/>
        <v>308.33287655454905</v>
      </c>
      <c r="Y512">
        <f t="shared" ca="1" si="162"/>
        <v>-0.59833117028284732</v>
      </c>
      <c r="Z512">
        <f t="shared" ca="1" si="164"/>
        <v>-0.63467499724845566</v>
      </c>
      <c r="AA512">
        <f t="shared" ca="1" si="165"/>
        <v>3.6343826965608339E-2</v>
      </c>
      <c r="AB512">
        <f t="shared" ca="1" si="166"/>
        <v>306.77720000000011</v>
      </c>
    </row>
    <row r="513" spans="1:28" x14ac:dyDescent="0.25">
      <c r="A513" s="21">
        <f t="shared" ca="1" si="146"/>
        <v>46034</v>
      </c>
      <c r="B513" vm="1514">
        <f ca="1"/>
        <v>46037</v>
      </c>
      <c r="C513" vm="1515">
        <f ca="1"/>
        <v>308.62</v>
      </c>
      <c r="D513" vm="1516">
        <f ca="1"/>
        <v>3189620</v>
      </c>
      <c r="E513">
        <f t="shared" ca="1" si="147"/>
        <v>984380524.39999998</v>
      </c>
      <c r="F513">
        <f ca="1">SUM($E$2:E513)/SUM($D$2:D513)</f>
        <v>292.77341391972027</v>
      </c>
      <c r="G513">
        <f ca="1">_xlfn.STDEV.P($C$2:C513)</f>
        <v>17.388627892655663</v>
      </c>
      <c r="H513">
        <f t="shared" ca="1" si="148"/>
        <v>310.16204181237595</v>
      </c>
      <c r="I513">
        <f t="shared" ca="1" si="149"/>
        <v>275.38478602706459</v>
      </c>
      <c r="J513">
        <f t="shared" ca="1" si="158"/>
        <v>309.33149999999995</v>
      </c>
      <c r="K513">
        <f t="shared" ca="1" si="159"/>
        <v>5.2777101045215051</v>
      </c>
      <c r="L513">
        <f t="shared" ca="1" si="160"/>
        <v>319.88692020904296</v>
      </c>
      <c r="M513">
        <f t="shared" ca="1" si="161"/>
        <v>298.77607979095694</v>
      </c>
      <c r="N513">
        <f t="shared" ca="1" si="150"/>
        <v>0.49000000000000909</v>
      </c>
      <c r="O513">
        <f t="shared" ca="1" si="151"/>
        <v>0.49000000000000909</v>
      </c>
      <c r="P513">
        <f t="shared" ca="1" si="152"/>
        <v>0</v>
      </c>
      <c r="Q513">
        <f t="shared" ca="1" si="156"/>
        <v>1.1566681192065629</v>
      </c>
      <c r="R513">
        <f t="shared" ca="1" si="157"/>
        <v>1.1368000697299092</v>
      </c>
      <c r="S513">
        <f t="shared" ca="1" si="154"/>
        <v>1.017477171233262</v>
      </c>
      <c r="T513">
        <f t="shared" ca="1" si="155"/>
        <v>50.43314421304153</v>
      </c>
      <c r="U513">
        <f>70</f>
        <v>70</v>
      </c>
      <c r="V513">
        <f>30</f>
        <v>30</v>
      </c>
      <c r="W513">
        <f t="shared" ca="1" si="153"/>
        <v>307.75581378763297</v>
      </c>
      <c r="X513">
        <f t="shared" ca="1" si="163"/>
        <v>308.35414495791582</v>
      </c>
      <c r="Y513">
        <f t="shared" ca="1" si="162"/>
        <v>-0.58000118631247233</v>
      </c>
      <c r="Z513">
        <f t="shared" ca="1" si="164"/>
        <v>-0.62374023506125909</v>
      </c>
      <c r="AA513">
        <f t="shared" ca="1" si="165"/>
        <v>4.3739048748786757E-2</v>
      </c>
      <c r="AB513">
        <f t="shared" ca="1" si="166"/>
        <v>306.72270000000009</v>
      </c>
    </row>
    <row r="514" spans="1:28" x14ac:dyDescent="0.25">
      <c r="A514" s="21">
        <f t="shared" ca="1" si="146"/>
        <v>46034</v>
      </c>
      <c r="B514" vm="1517">
        <f ca="1"/>
        <v>46038</v>
      </c>
      <c r="C514" vm="1518">
        <f ca="1"/>
        <v>307.43</v>
      </c>
      <c r="D514" vm="1519">
        <f ca="1"/>
        <v>2590593</v>
      </c>
      <c r="E514">
        <f t="shared" ca="1" si="147"/>
        <v>796426005.99000001</v>
      </c>
      <c r="F514">
        <f ca="1">SUM($E$2:E514)/SUM($D$2:D514)</f>
        <v>292.79500764508646</v>
      </c>
      <c r="G514">
        <f ca="1">_xlfn.STDEV.P($C$2:C514)</f>
        <v>17.382211696544193</v>
      </c>
      <c r="H514">
        <f t="shared" ca="1" si="148"/>
        <v>310.17721934163063</v>
      </c>
      <c r="I514">
        <f t="shared" ca="1" si="149"/>
        <v>275.41279594854228</v>
      </c>
      <c r="J514">
        <f t="shared" ca="1" si="158"/>
        <v>308.76850000000002</v>
      </c>
      <c r="K514">
        <f t="shared" ca="1" si="159"/>
        <v>4.8063831187505741</v>
      </c>
      <c r="L514">
        <f t="shared" ca="1" si="160"/>
        <v>318.38126623750117</v>
      </c>
      <c r="M514">
        <f t="shared" ca="1" si="161"/>
        <v>299.15573376249887</v>
      </c>
      <c r="N514">
        <f t="shared" ca="1" si="150"/>
        <v>-1.1899999999999977</v>
      </c>
      <c r="O514">
        <f t="shared" ca="1" si="151"/>
        <v>0</v>
      </c>
      <c r="P514">
        <f t="shared" ca="1" si="152"/>
        <v>1.1899999999999977</v>
      </c>
      <c r="Q514">
        <f t="shared" ca="1" si="156"/>
        <v>1.0740489678346656</v>
      </c>
      <c r="R514">
        <f t="shared" ca="1" si="157"/>
        <v>1.1406000647492012</v>
      </c>
      <c r="S514">
        <f t="shared" ca="1" si="154"/>
        <v>0.94165255730616759</v>
      </c>
      <c r="T514">
        <f t="shared" ca="1" si="155"/>
        <v>48.497479827833274</v>
      </c>
      <c r="U514">
        <f>70</f>
        <v>70</v>
      </c>
      <c r="V514">
        <f>30</f>
        <v>30</v>
      </c>
      <c r="W514">
        <f t="shared" ca="1" si="153"/>
        <v>307.70568858953555</v>
      </c>
      <c r="X514">
        <f t="shared" ca="1" si="163"/>
        <v>308.28568977584803</v>
      </c>
      <c r="Y514">
        <f t="shared" ca="1" si="162"/>
        <v>-0.92518423378504622</v>
      </c>
      <c r="Z514">
        <f t="shared" ca="1" si="164"/>
        <v>-0.68402903480601651</v>
      </c>
      <c r="AA514">
        <f t="shared" ca="1" si="165"/>
        <v>-0.24115519897902971</v>
      </c>
      <c r="AB514">
        <f t="shared" ca="1" si="166"/>
        <v>306.66260000000011</v>
      </c>
    </row>
    <row r="515" spans="1:28" x14ac:dyDescent="0.25">
      <c r="A515" s="21">
        <f t="shared" ref="A515:A529" ca="1" si="167">B515 - WEEKDAY(B515, 2) + 1</f>
        <v>46041</v>
      </c>
      <c r="B515" vm="1520">
        <f ca="1"/>
        <v>46042</v>
      </c>
      <c r="C515" vm="1521">
        <f ca="1"/>
        <v>302.83999999999997</v>
      </c>
      <c r="D515" vm="1522">
        <f ca="1"/>
        <v>3017998</v>
      </c>
      <c r="E515">
        <f t="shared" ref="E515:E529" ca="1" si="168">C515*D515</f>
        <v>913970514.31999993</v>
      </c>
      <c r="F515">
        <f ca="1">SUM($E$2:E515)/SUM($D$2:D515)</f>
        <v>292.81221916976426</v>
      </c>
      <c r="G515">
        <f ca="1">_xlfn.STDEV.P($C$2:C515)</f>
        <v>17.36992883489777</v>
      </c>
      <c r="H515">
        <f t="shared" ref="H515:H529" ca="1" si="169">F515 + G515</f>
        <v>310.18214800466205</v>
      </c>
      <c r="I515">
        <f t="shared" ref="I515:I529" ca="1" si="170">F515 - G515</f>
        <v>275.44229033486647</v>
      </c>
      <c r="J515">
        <f t="shared" ref="J515:J529" ca="1" si="171">AVERAGE(C496:C515)</f>
        <v>307.928</v>
      </c>
      <c r="K515">
        <f t="shared" ref="K515:K529" ca="1" si="172">_xlfn.STDEV.S(C496:C515)</f>
        <v>4.2397636478315244</v>
      </c>
      <c r="L515">
        <f t="shared" ref="L515:L529" ca="1" si="173">J515 + 2*K515</f>
        <v>316.40752729566304</v>
      </c>
      <c r="M515">
        <f t="shared" ref="M515:M529" ca="1" si="174">J515-2*K515</f>
        <v>299.44847270433695</v>
      </c>
      <c r="N515">
        <f t="shared" ref="N515:N529" ca="1" si="175">C515-C514</f>
        <v>-4.5900000000000318</v>
      </c>
      <c r="O515">
        <f t="shared" ref="O515:O529" ca="1" si="176">MAX(N515,0)</f>
        <v>0</v>
      </c>
      <c r="P515">
        <f t="shared" ref="P515:P529" ca="1" si="177">MAX(-N515,0)</f>
        <v>4.5900000000000318</v>
      </c>
      <c r="Q515">
        <f t="shared" ref="Q515:Q529" ca="1" si="178">(Q514*13+O515)/14</f>
        <v>0.9973311844179038</v>
      </c>
      <c r="R515">
        <f t="shared" ref="R515:R529" ca="1" si="179">(R514*13+P515)/14</f>
        <v>1.3869857744099749</v>
      </c>
      <c r="S515">
        <f t="shared" ref="S515:S529" ca="1" si="180">IF(R515=0,NA(),Q515/R515)</f>
        <v>0.71906374442965681</v>
      </c>
      <c r="T515">
        <f t="shared" ref="T515:T529" ca="1" si="181">100-(100/(1+S515))</f>
        <v>41.82880051770416</v>
      </c>
      <c r="U515">
        <f>70</f>
        <v>70</v>
      </c>
      <c r="V515">
        <f>30</f>
        <v>30</v>
      </c>
      <c r="W515">
        <f t="shared" ref="W515:W529" ca="1" si="182">C515*(2/(12+1)) + W514*(1-(2/(12+1)))</f>
        <v>306.95712111422239</v>
      </c>
      <c r="X515">
        <f t="shared" ref="X515:X529" ca="1" si="183">C515*(2/(26+1)) + X514*(1-(2/(26+1)))</f>
        <v>307.88230534800743</v>
      </c>
      <c r="Y515">
        <f t="shared" ref="Y515:Y529" ca="1" si="184">W516-X516</f>
        <v>-0.95773295492409716</v>
      </c>
      <c r="Z515">
        <f t="shared" ref="Z515:Z529" ca="1" si="185">Y515*(2/(9+1)) + Z514*(1-(2/(9+1)))</f>
        <v>-0.73876981882963266</v>
      </c>
      <c r="AA515">
        <f t="shared" ref="AA515:AA529" ca="1" si="186">Y515-Z515</f>
        <v>-0.21896313609446449</v>
      </c>
      <c r="AB515">
        <f t="shared" ref="AB515:AB529" ca="1" si="187">AVERAGE(C416:C515)</f>
        <v>306.56160000000011</v>
      </c>
    </row>
    <row r="516" spans="1:28" x14ac:dyDescent="0.25">
      <c r="A516" s="21">
        <f t="shared" ca="1" si="167"/>
        <v>46041</v>
      </c>
      <c r="B516" vm="1523">
        <f ca="1"/>
        <v>46043</v>
      </c>
      <c r="C516" vm="1524">
        <f ca="1"/>
        <v>305.69</v>
      </c>
      <c r="D516" vm="1525">
        <f ca="1"/>
        <v>3630850</v>
      </c>
      <c r="E516">
        <f t="shared" ca="1" si="168"/>
        <v>1109914536.5</v>
      </c>
      <c r="F516">
        <f ca="1">SUM($E$2:E516)/SUM($D$2:D516)</f>
        <v>292.83871062379365</v>
      </c>
      <c r="G516">
        <f ca="1">_xlfn.STDEV.P($C$2:C516)</f>
        <v>17.361011722778652</v>
      </c>
      <c r="H516">
        <f t="shared" ca="1" si="169"/>
        <v>310.19972234657229</v>
      </c>
      <c r="I516">
        <f t="shared" ca="1" si="170"/>
        <v>275.477698901015</v>
      </c>
      <c r="J516">
        <f t="shared" ca="1" si="171"/>
        <v>307.4205</v>
      </c>
      <c r="K516">
        <f t="shared" ca="1" si="172"/>
        <v>3.8305839530093375</v>
      </c>
      <c r="L516">
        <f t="shared" ca="1" si="173"/>
        <v>315.08166790601865</v>
      </c>
      <c r="M516">
        <f t="shared" ca="1" si="174"/>
        <v>299.75933209398136</v>
      </c>
      <c r="N516">
        <f t="shared" ca="1" si="175"/>
        <v>2.8500000000000227</v>
      </c>
      <c r="O516">
        <f t="shared" ca="1" si="176"/>
        <v>2.8500000000000227</v>
      </c>
      <c r="P516">
        <f t="shared" ca="1" si="177"/>
        <v>0</v>
      </c>
      <c r="Q516">
        <f t="shared" ca="1" si="178"/>
        <v>1.1296646712451979</v>
      </c>
      <c r="R516">
        <f t="shared" ca="1" si="179"/>
        <v>1.2879153619521195</v>
      </c>
      <c r="S516">
        <f t="shared" ca="1" si="180"/>
        <v>0.87712648254536085</v>
      </c>
      <c r="T516">
        <f t="shared" ca="1" si="181"/>
        <v>46.727084759679485</v>
      </c>
      <c r="U516">
        <f>70</f>
        <v>70</v>
      </c>
      <c r="V516">
        <f>30</f>
        <v>30</v>
      </c>
      <c r="W516">
        <f t="shared" ca="1" si="182"/>
        <v>306.76217940434202</v>
      </c>
      <c r="X516">
        <f t="shared" ca="1" si="183"/>
        <v>307.71991235926612</v>
      </c>
      <c r="Y516">
        <f t="shared" ca="1" si="184"/>
        <v>-0.94519724692850104</v>
      </c>
      <c r="Z516">
        <f t="shared" ca="1" si="185"/>
        <v>-0.78005530444940629</v>
      </c>
      <c r="AA516">
        <f t="shared" ca="1" si="186"/>
        <v>-0.16514194247909475</v>
      </c>
      <c r="AB516">
        <f t="shared" ca="1" si="187"/>
        <v>306.50420000000008</v>
      </c>
    </row>
    <row r="517" spans="1:28" x14ac:dyDescent="0.25">
      <c r="A517" s="21">
        <f t="shared" ca="1" si="167"/>
        <v>46041</v>
      </c>
      <c r="B517" vm="1526">
        <f ca="1"/>
        <v>46044</v>
      </c>
      <c r="C517" vm="1527">
        <f ca="1"/>
        <v>306.02999999999997</v>
      </c>
      <c r="D517" vm="1528">
        <f ca="1"/>
        <v>2809356</v>
      </c>
      <c r="E517">
        <f t="shared" ca="1" si="168"/>
        <v>859747216.67999995</v>
      </c>
      <c r="F517">
        <f ca="1">SUM($E$2:E517)/SUM($D$2:D517)</f>
        <v>292.85967392925795</v>
      </c>
      <c r="G517">
        <f ca="1">_xlfn.STDEV.P($C$2:C517)</f>
        <v>17.352551806851992</v>
      </c>
      <c r="H517">
        <f t="shared" ca="1" si="169"/>
        <v>310.21222573610993</v>
      </c>
      <c r="I517">
        <f t="shared" ca="1" si="170"/>
        <v>275.50712212240597</v>
      </c>
      <c r="J517">
        <f t="shared" ca="1" si="171"/>
        <v>306.911</v>
      </c>
      <c r="K517">
        <f t="shared" ca="1" si="172"/>
        <v>3.229017937718099</v>
      </c>
      <c r="L517">
        <f t="shared" ca="1" si="173"/>
        <v>313.36903587543623</v>
      </c>
      <c r="M517">
        <f t="shared" ca="1" si="174"/>
        <v>300.45296412456378</v>
      </c>
      <c r="N517">
        <f t="shared" ca="1" si="175"/>
        <v>0.33999999999997499</v>
      </c>
      <c r="O517">
        <f t="shared" ca="1" si="176"/>
        <v>0.33999999999997499</v>
      </c>
      <c r="P517">
        <f t="shared" ca="1" si="177"/>
        <v>0</v>
      </c>
      <c r="Q517">
        <f t="shared" ca="1" si="178"/>
        <v>1.0732600518705391</v>
      </c>
      <c r="R517">
        <f t="shared" ca="1" si="179"/>
        <v>1.1959214075269682</v>
      </c>
      <c r="S517">
        <f t="shared" ca="1" si="180"/>
        <v>0.89743359815752521</v>
      </c>
      <c r="T517">
        <f t="shared" ca="1" si="181"/>
        <v>47.297233433041598</v>
      </c>
      <c r="U517">
        <f>70</f>
        <v>70</v>
      </c>
      <c r="V517">
        <f>30</f>
        <v>30</v>
      </c>
      <c r="W517">
        <f t="shared" ca="1" si="182"/>
        <v>306.64953641905862</v>
      </c>
      <c r="X517">
        <f t="shared" ca="1" si="183"/>
        <v>307.59473366598712</v>
      </c>
      <c r="Y517">
        <f t="shared" ca="1" si="184"/>
        <v>-0.66773824782166002</v>
      </c>
      <c r="Z517">
        <f t="shared" ca="1" si="185"/>
        <v>-0.757591893123857</v>
      </c>
      <c r="AA517">
        <f t="shared" ca="1" si="186"/>
        <v>8.9853645302196972E-2</v>
      </c>
      <c r="AB517">
        <f t="shared" ca="1" si="187"/>
        <v>306.44230000000005</v>
      </c>
    </row>
    <row r="518" spans="1:28" x14ac:dyDescent="0.25">
      <c r="A518" s="21">
        <f t="shared" ca="1" si="167"/>
        <v>46041</v>
      </c>
      <c r="B518" vm="1529">
        <f ca="1"/>
        <v>46045</v>
      </c>
      <c r="C518" vm="1530">
        <f ca="1"/>
        <v>309.25</v>
      </c>
      <c r="D518" vm="1531">
        <f ca="1"/>
        <v>2350447</v>
      </c>
      <c r="E518">
        <f t="shared" ca="1" si="168"/>
        <v>726875734.75</v>
      </c>
      <c r="F518">
        <f ca="1">SUM($E$2:E518)/SUM($D$2:D518)</f>
        <v>292.88143732940568</v>
      </c>
      <c r="G518">
        <f ca="1">_xlfn.STDEV.P($C$2:C518)</f>
        <v>17.349047874773454</v>
      </c>
      <c r="H518">
        <f t="shared" ca="1" si="169"/>
        <v>310.23048520417916</v>
      </c>
      <c r="I518">
        <f t="shared" ca="1" si="170"/>
        <v>275.53238945463221</v>
      </c>
      <c r="J518">
        <f t="shared" ca="1" si="171"/>
        <v>306.83149999999995</v>
      </c>
      <c r="K518">
        <f t="shared" ca="1" si="172"/>
        <v>3.1456909123099592</v>
      </c>
      <c r="L518">
        <f t="shared" ca="1" si="173"/>
        <v>313.12288182461987</v>
      </c>
      <c r="M518">
        <f t="shared" ca="1" si="174"/>
        <v>300.54011817538003</v>
      </c>
      <c r="N518">
        <f t="shared" ca="1" si="175"/>
        <v>3.2200000000000273</v>
      </c>
      <c r="O518">
        <f t="shared" ca="1" si="176"/>
        <v>3.2200000000000273</v>
      </c>
      <c r="P518">
        <f t="shared" ca="1" si="177"/>
        <v>0</v>
      </c>
      <c r="Q518">
        <f t="shared" ca="1" si="178"/>
        <v>1.2265986195940737</v>
      </c>
      <c r="R518">
        <f t="shared" ca="1" si="179"/>
        <v>1.1104984498464705</v>
      </c>
      <c r="S518">
        <f t="shared" ca="1" si="180"/>
        <v>1.1045477999214266</v>
      </c>
      <c r="T518">
        <f t="shared" ca="1" si="181"/>
        <v>52.48385424948129</v>
      </c>
      <c r="U518">
        <f>70</f>
        <v>70</v>
      </c>
      <c r="V518">
        <f>30</f>
        <v>30</v>
      </c>
      <c r="W518">
        <f t="shared" ca="1" si="182"/>
        <v>307.04960773920345</v>
      </c>
      <c r="X518">
        <f t="shared" ca="1" si="183"/>
        <v>307.71734598702511</v>
      </c>
      <c r="Y518">
        <f t="shared" ca="1" si="184"/>
        <v>-0.14758959327559751</v>
      </c>
      <c r="Z518">
        <f t="shared" ca="1" si="185"/>
        <v>-0.63559143315420519</v>
      </c>
      <c r="AA518">
        <f t="shared" ca="1" si="186"/>
        <v>0.48800183987860768</v>
      </c>
      <c r="AB518">
        <f t="shared" ca="1" si="187"/>
        <v>306.39940000000007</v>
      </c>
    </row>
    <row r="519" spans="1:28" x14ac:dyDescent="0.25">
      <c r="A519" s="21">
        <f t="shared" ca="1" si="167"/>
        <v>46048</v>
      </c>
      <c r="B519" vm="1532">
        <f ca="1"/>
        <v>46048</v>
      </c>
      <c r="C519" vm="1533">
        <f ca="1"/>
        <v>312.95</v>
      </c>
      <c r="D519" vm="1534">
        <f ca="1"/>
        <v>3385352</v>
      </c>
      <c r="E519">
        <f t="shared" ca="1" si="168"/>
        <v>1059445908.4</v>
      </c>
      <c r="F519">
        <f ca="1">SUM($E$2:E519)/SUM($D$2:D519)</f>
        <v>292.91974440635892</v>
      </c>
      <c r="G519">
        <f ca="1">_xlfn.STDEV.P($C$2:C519)</f>
        <v>17.352602304112946</v>
      </c>
      <c r="H519">
        <f t="shared" ca="1" si="169"/>
        <v>310.27234671047188</v>
      </c>
      <c r="I519">
        <f t="shared" ca="1" si="170"/>
        <v>275.56714210224595</v>
      </c>
      <c r="J519">
        <f t="shared" ca="1" si="171"/>
        <v>306.8125</v>
      </c>
      <c r="K519">
        <f t="shared" ca="1" si="172"/>
        <v>3.1052618755572721</v>
      </c>
      <c r="L519">
        <f t="shared" ca="1" si="173"/>
        <v>313.02302375111452</v>
      </c>
      <c r="M519">
        <f t="shared" ca="1" si="174"/>
        <v>300.60197624888548</v>
      </c>
      <c r="N519">
        <f t="shared" ca="1" si="175"/>
        <v>3.6999999999999886</v>
      </c>
      <c r="O519">
        <f t="shared" ca="1" si="176"/>
        <v>3.6999999999999886</v>
      </c>
      <c r="P519">
        <f t="shared" ca="1" si="177"/>
        <v>0</v>
      </c>
      <c r="Q519">
        <f t="shared" ca="1" si="178"/>
        <v>1.4032701467659248</v>
      </c>
      <c r="R519">
        <f t="shared" ca="1" si="179"/>
        <v>1.031177132000294</v>
      </c>
      <c r="S519">
        <f t="shared" ca="1" si="180"/>
        <v>1.3608429659837769</v>
      </c>
      <c r="T519">
        <f t="shared" ca="1" si="181"/>
        <v>57.642248366007088</v>
      </c>
      <c r="U519">
        <f>70</f>
        <v>70</v>
      </c>
      <c r="V519">
        <f>30</f>
        <v>30</v>
      </c>
      <c r="W519">
        <f t="shared" ca="1" si="182"/>
        <v>307.95736039471058</v>
      </c>
      <c r="X519">
        <f t="shared" ca="1" si="183"/>
        <v>308.10494998798617</v>
      </c>
      <c r="Y519">
        <f t="shared" ca="1" si="184"/>
        <v>0.35574726818668978</v>
      </c>
      <c r="Z519">
        <f t="shared" ca="1" si="185"/>
        <v>-0.43732369288602624</v>
      </c>
      <c r="AA519">
        <f t="shared" ca="1" si="186"/>
        <v>0.79307096107271602</v>
      </c>
      <c r="AB519">
        <f t="shared" ca="1" si="187"/>
        <v>306.37130000000008</v>
      </c>
    </row>
    <row r="520" spans="1:28" x14ac:dyDescent="0.25">
      <c r="A520" s="21">
        <f t="shared" ca="1" si="167"/>
        <v>46048</v>
      </c>
      <c r="B520" vm="1535">
        <f ca="1"/>
        <v>46049</v>
      </c>
      <c r="C520" vm="1536">
        <f ca="1"/>
        <v>314.13</v>
      </c>
      <c r="D520" vm="1537">
        <f ca="1"/>
        <v>2506830</v>
      </c>
      <c r="E520">
        <f t="shared" ca="1" si="168"/>
        <v>787470507.89999998</v>
      </c>
      <c r="F520">
        <f ca="1">SUM($E$2:E520)/SUM($D$2:D520)</f>
        <v>292.94968195755803</v>
      </c>
      <c r="G520">
        <f ca="1">_xlfn.STDEV.P($C$2:C520)</f>
        <v>17.358636280922596</v>
      </c>
      <c r="H520">
        <f t="shared" ca="1" si="169"/>
        <v>310.30831823848064</v>
      </c>
      <c r="I520">
        <f t="shared" ca="1" si="170"/>
        <v>275.59104567663542</v>
      </c>
      <c r="J520">
        <f t="shared" ca="1" si="171"/>
        <v>306.98500000000001</v>
      </c>
      <c r="K520">
        <f t="shared" ca="1" si="172"/>
        <v>3.4120799336598489</v>
      </c>
      <c r="L520">
        <f t="shared" ca="1" si="173"/>
        <v>313.80915986731969</v>
      </c>
      <c r="M520">
        <f t="shared" ca="1" si="174"/>
        <v>300.16084013268033</v>
      </c>
      <c r="N520">
        <f t="shared" ca="1" si="175"/>
        <v>1.1800000000000068</v>
      </c>
      <c r="O520">
        <f t="shared" ca="1" si="176"/>
        <v>1.1800000000000068</v>
      </c>
      <c r="P520">
        <f t="shared" ca="1" si="177"/>
        <v>0</v>
      </c>
      <c r="Q520">
        <f t="shared" ca="1" si="178"/>
        <v>1.3873222791397879</v>
      </c>
      <c r="R520">
        <f t="shared" ca="1" si="179"/>
        <v>0.95752162257170159</v>
      </c>
      <c r="S520">
        <f t="shared" ca="1" si="180"/>
        <v>1.4488678338288927</v>
      </c>
      <c r="T520">
        <f t="shared" ca="1" si="181"/>
        <v>59.164803172065682</v>
      </c>
      <c r="U520">
        <f>70</f>
        <v>70</v>
      </c>
      <c r="V520">
        <f>30</f>
        <v>30</v>
      </c>
      <c r="W520">
        <f t="shared" ca="1" si="182"/>
        <v>308.90699725706281</v>
      </c>
      <c r="X520">
        <f t="shared" ca="1" si="183"/>
        <v>308.55124998887612</v>
      </c>
      <c r="Y520">
        <f t="shared" ca="1" si="184"/>
        <v>0.63994854405387969</v>
      </c>
      <c r="Z520">
        <f t="shared" ca="1" si="185"/>
        <v>-0.22186924549804507</v>
      </c>
      <c r="AA520">
        <f t="shared" ca="1" si="186"/>
        <v>0.86181778955192478</v>
      </c>
      <c r="AB520">
        <f t="shared" ca="1" si="187"/>
        <v>306.34870000000006</v>
      </c>
    </row>
    <row r="521" spans="1:28" x14ac:dyDescent="0.25">
      <c r="A521" s="21">
        <f t="shared" ca="1" si="167"/>
        <v>46048</v>
      </c>
      <c r="B521" vm="1538">
        <f ca="1"/>
        <v>46050</v>
      </c>
      <c r="C521" vm="1254">
        <f ca="1"/>
        <v>312.8</v>
      </c>
      <c r="D521" vm="1539">
        <f ca="1"/>
        <v>2184937</v>
      </c>
      <c r="E521">
        <f t="shared" ca="1" si="168"/>
        <v>683448293.60000002</v>
      </c>
      <c r="F521">
        <f ca="1">SUM($E$2:E521)/SUM($D$2:D521)</f>
        <v>292.97407230153874</v>
      </c>
      <c r="G521">
        <f ca="1">_xlfn.STDEV.P($C$2:C521)</f>
        <v>17.361682009211542</v>
      </c>
      <c r="H521">
        <f t="shared" ca="1" si="169"/>
        <v>310.3357543107503</v>
      </c>
      <c r="I521">
        <f t="shared" ca="1" si="170"/>
        <v>275.61239029232718</v>
      </c>
      <c r="J521">
        <f t="shared" ca="1" si="171"/>
        <v>307.19849999999997</v>
      </c>
      <c r="K521">
        <f t="shared" ca="1" si="172"/>
        <v>3.6398312207833863</v>
      </c>
      <c r="L521">
        <f t="shared" ca="1" si="173"/>
        <v>314.47816244156672</v>
      </c>
      <c r="M521">
        <f t="shared" ca="1" si="174"/>
        <v>299.91883755843321</v>
      </c>
      <c r="N521">
        <f t="shared" ca="1" si="175"/>
        <v>-1.3299999999999841</v>
      </c>
      <c r="O521">
        <f t="shared" ca="1" si="176"/>
        <v>0</v>
      </c>
      <c r="P521">
        <f t="shared" ca="1" si="177"/>
        <v>1.3299999999999841</v>
      </c>
      <c r="Q521">
        <f t="shared" ca="1" si="178"/>
        <v>1.288227830629803</v>
      </c>
      <c r="R521">
        <f t="shared" ca="1" si="179"/>
        <v>0.98412722095943594</v>
      </c>
      <c r="S521">
        <f t="shared" ca="1" si="180"/>
        <v>1.3090053838505717</v>
      </c>
      <c r="T521">
        <f t="shared" ca="1" si="181"/>
        <v>56.691309297323173</v>
      </c>
      <c r="U521">
        <f>70</f>
        <v>70</v>
      </c>
      <c r="V521">
        <f>30</f>
        <v>30</v>
      </c>
      <c r="W521">
        <f t="shared" ca="1" si="182"/>
        <v>309.50592075597626</v>
      </c>
      <c r="X521">
        <f t="shared" ca="1" si="183"/>
        <v>308.86597221192238</v>
      </c>
      <c r="Y521">
        <f t="shared" ca="1" si="184"/>
        <v>1.0715028366101933</v>
      </c>
      <c r="Z521">
        <f t="shared" ca="1" si="185"/>
        <v>3.6805170923602609E-2</v>
      </c>
      <c r="AA521">
        <f t="shared" ca="1" si="186"/>
        <v>1.0346976656865907</v>
      </c>
      <c r="AB521">
        <f t="shared" ca="1" si="187"/>
        <v>306.30680000000007</v>
      </c>
    </row>
    <row r="522" spans="1:28" x14ac:dyDescent="0.25">
      <c r="A522" s="21">
        <f t="shared" ca="1" si="167"/>
        <v>46048</v>
      </c>
      <c r="B522" vm="1540">
        <f ca="1"/>
        <v>46051</v>
      </c>
      <c r="C522" vm="1541">
        <f ca="1"/>
        <v>315.51</v>
      </c>
      <c r="D522" vm="1542">
        <f ca="1"/>
        <v>3211259</v>
      </c>
      <c r="E522">
        <f t="shared" ca="1" si="168"/>
        <v>1013184327.0899999</v>
      </c>
      <c r="F522">
        <f ca="1">SUM($E$2:E522)/SUM($D$2:D522)</f>
        <v>293.01469593257059</v>
      </c>
      <c r="G522">
        <f ca="1">_xlfn.STDEV.P($C$2:C522)</f>
        <v>17.370682019903466</v>
      </c>
      <c r="H522">
        <f t="shared" ca="1" si="169"/>
        <v>310.38537795247407</v>
      </c>
      <c r="I522">
        <f t="shared" ca="1" si="170"/>
        <v>275.64401391266711</v>
      </c>
      <c r="J522">
        <f t="shared" ca="1" si="171"/>
        <v>307.57249999999999</v>
      </c>
      <c r="K522">
        <f t="shared" ca="1" si="172"/>
        <v>4.0866353101169599</v>
      </c>
      <c r="L522">
        <f t="shared" ca="1" si="173"/>
        <v>315.74577062023388</v>
      </c>
      <c r="M522">
        <f t="shared" ca="1" si="174"/>
        <v>299.3992293797661</v>
      </c>
      <c r="N522">
        <f t="shared" ca="1" si="175"/>
        <v>2.7099999999999795</v>
      </c>
      <c r="O522">
        <f t="shared" ca="1" si="176"/>
        <v>2.7099999999999795</v>
      </c>
      <c r="P522">
        <f t="shared" ca="1" si="177"/>
        <v>0</v>
      </c>
      <c r="Q522">
        <f t="shared" ca="1" si="178"/>
        <v>1.3897829855848156</v>
      </c>
      <c r="R522">
        <f t="shared" ca="1" si="179"/>
        <v>0.9138324194623334</v>
      </c>
      <c r="S522">
        <f t="shared" ca="1" si="180"/>
        <v>1.5208291542146366</v>
      </c>
      <c r="T522">
        <f t="shared" ca="1" si="181"/>
        <v>60.33051274704296</v>
      </c>
      <c r="U522">
        <f>70</f>
        <v>70</v>
      </c>
      <c r="V522">
        <f>30</f>
        <v>30</v>
      </c>
      <c r="W522">
        <f t="shared" ca="1" si="182"/>
        <v>310.42962525505686</v>
      </c>
      <c r="X522">
        <f t="shared" ca="1" si="183"/>
        <v>309.35812241844667</v>
      </c>
      <c r="Y522">
        <f t="shared" ca="1" si="184"/>
        <v>1.356720554862477</v>
      </c>
      <c r="Z522">
        <f t="shared" ca="1" si="185"/>
        <v>0.30078824771137747</v>
      </c>
      <c r="AA522">
        <f t="shared" ca="1" si="186"/>
        <v>1.0559323071510995</v>
      </c>
      <c r="AB522">
        <f t="shared" ca="1" si="187"/>
        <v>306.31810000000007</v>
      </c>
    </row>
    <row r="523" spans="1:28" x14ac:dyDescent="0.25">
      <c r="A523" s="21">
        <f t="shared" ca="1" si="167"/>
        <v>46048</v>
      </c>
      <c r="B523" vm="1543">
        <f ca="1"/>
        <v>46052</v>
      </c>
      <c r="C523" vm="1544">
        <f ca="1"/>
        <v>315</v>
      </c>
      <c r="D523" vm="1545">
        <f ca="1"/>
        <v>2983277</v>
      </c>
      <c r="E523">
        <f t="shared" ca="1" si="168"/>
        <v>939732255</v>
      </c>
      <c r="F523">
        <f ca="1">SUM($E$2:E523)/SUM($D$2:D523)</f>
        <v>293.05145185629016</v>
      </c>
      <c r="G523">
        <f ca="1">_xlfn.STDEV.P($C$2:C523)</f>
        <v>17.378351311578918</v>
      </c>
      <c r="H523">
        <f t="shared" ca="1" si="169"/>
        <v>310.42980316786907</v>
      </c>
      <c r="I523">
        <f t="shared" ca="1" si="170"/>
        <v>275.67310054471125</v>
      </c>
      <c r="J523">
        <f t="shared" ca="1" si="171"/>
        <v>308.04100000000005</v>
      </c>
      <c r="K523">
        <f t="shared" ca="1" si="172"/>
        <v>4.378871399897708</v>
      </c>
      <c r="L523">
        <f t="shared" ca="1" si="173"/>
        <v>316.79874279979549</v>
      </c>
      <c r="M523">
        <f t="shared" ca="1" si="174"/>
        <v>299.28325720020462</v>
      </c>
      <c r="N523">
        <f t="shared" ca="1" si="175"/>
        <v>-0.50999999999999091</v>
      </c>
      <c r="O523">
        <f t="shared" ca="1" si="176"/>
        <v>0</v>
      </c>
      <c r="P523">
        <f t="shared" ca="1" si="177"/>
        <v>0.50999999999999091</v>
      </c>
      <c r="Q523">
        <f t="shared" ca="1" si="178"/>
        <v>1.2905127723287573</v>
      </c>
      <c r="R523">
        <f t="shared" ca="1" si="179"/>
        <v>0.88498724664359474</v>
      </c>
      <c r="S523">
        <f t="shared" ca="1" si="180"/>
        <v>1.4582275362985848</v>
      </c>
      <c r="T523">
        <f t="shared" ca="1" si="181"/>
        <v>59.320283202680045</v>
      </c>
      <c r="U523">
        <f>70</f>
        <v>70</v>
      </c>
      <c r="V523">
        <f>30</f>
        <v>30</v>
      </c>
      <c r="W523">
        <f t="shared" ca="1" si="182"/>
        <v>311.13275983120195</v>
      </c>
      <c r="X523">
        <f t="shared" ca="1" si="183"/>
        <v>309.77603927633947</v>
      </c>
      <c r="Y523">
        <f t="shared" ca="1" si="184"/>
        <v>1.8463159688223527</v>
      </c>
      <c r="Z523">
        <f t="shared" ca="1" si="185"/>
        <v>0.60989379193357252</v>
      </c>
      <c r="AA523">
        <f t="shared" ca="1" si="186"/>
        <v>1.2364221768887802</v>
      </c>
      <c r="AB523">
        <f t="shared" ca="1" si="187"/>
        <v>306.34010000000006</v>
      </c>
    </row>
    <row r="524" spans="1:28" x14ac:dyDescent="0.25">
      <c r="A524" s="21">
        <f t="shared" ca="1" si="167"/>
        <v>46055</v>
      </c>
      <c r="B524" vm="1546">
        <f ca="1"/>
        <v>46055</v>
      </c>
      <c r="C524" vm="1547">
        <f ca="1"/>
        <v>318.52999999999997</v>
      </c>
      <c r="D524" vm="1548">
        <f ca="1"/>
        <v>3309834</v>
      </c>
      <c r="E524">
        <f t="shared" ca="1" si="168"/>
        <v>1054281424.0199999</v>
      </c>
      <c r="F524">
        <f ca="1">SUM($E$2:E524)/SUM($D$2:D524)</f>
        <v>293.09862310492525</v>
      </c>
      <c r="G524">
        <f ca="1">_xlfn.STDEV.P($C$2:C524)</f>
        <v>17.394704722146944</v>
      </c>
      <c r="H524">
        <f t="shared" ca="1" si="169"/>
        <v>310.49332782707222</v>
      </c>
      <c r="I524">
        <f t="shared" ca="1" si="170"/>
        <v>275.70391838277828</v>
      </c>
      <c r="J524">
        <f t="shared" ca="1" si="171"/>
        <v>308.80450000000002</v>
      </c>
      <c r="K524">
        <f t="shared" ca="1" si="172"/>
        <v>4.8112712785488876</v>
      </c>
      <c r="L524">
        <f t="shared" ca="1" si="173"/>
        <v>318.42704255709782</v>
      </c>
      <c r="M524">
        <f t="shared" ca="1" si="174"/>
        <v>299.18195744290222</v>
      </c>
      <c r="N524">
        <f t="shared" ca="1" si="175"/>
        <v>3.5299999999999727</v>
      </c>
      <c r="O524">
        <f t="shared" ca="1" si="176"/>
        <v>3.5299999999999727</v>
      </c>
      <c r="P524">
        <f t="shared" ca="1" si="177"/>
        <v>0</v>
      </c>
      <c r="Q524">
        <f t="shared" ca="1" si="178"/>
        <v>1.4504761457338442</v>
      </c>
      <c r="R524">
        <f t="shared" ca="1" si="179"/>
        <v>0.82177387188333806</v>
      </c>
      <c r="S524">
        <f t="shared" ca="1" si="180"/>
        <v>1.765055078241474</v>
      </c>
      <c r="T524">
        <f t="shared" ca="1" si="181"/>
        <v>63.83435513205103</v>
      </c>
      <c r="U524">
        <f>70</f>
        <v>70</v>
      </c>
      <c r="V524">
        <f>30</f>
        <v>30</v>
      </c>
      <c r="W524">
        <f t="shared" ca="1" si="182"/>
        <v>312.27079678024779</v>
      </c>
      <c r="X524">
        <f t="shared" ca="1" si="183"/>
        <v>310.42448081142544</v>
      </c>
      <c r="Y524">
        <f t="shared" ca="1" si="184"/>
        <v>2.2846449573228824</v>
      </c>
      <c r="Z524">
        <f t="shared" ca="1" si="185"/>
        <v>0.9448440250114345</v>
      </c>
      <c r="AA524">
        <f t="shared" ca="1" si="186"/>
        <v>1.3398009323114479</v>
      </c>
      <c r="AB524">
        <f t="shared" ca="1" si="187"/>
        <v>306.40019999999998</v>
      </c>
    </row>
    <row r="525" spans="1:28" x14ac:dyDescent="0.25">
      <c r="A525" s="21">
        <f t="shared" ca="1" si="167"/>
        <v>46055</v>
      </c>
      <c r="B525" vm="1549">
        <f ca="1"/>
        <v>46056</v>
      </c>
      <c r="C525" vm="1550">
        <f ca="1"/>
        <v>319.48</v>
      </c>
      <c r="D525" vm="1551">
        <f ca="1"/>
        <v>4043582</v>
      </c>
      <c r="E525">
        <f t="shared" ca="1" si="168"/>
        <v>1291843577.3600001</v>
      </c>
      <c r="F525">
        <f ca="1">SUM($E$2:E525)/SUM($D$2:D525)</f>
        <v>293.1581590152299</v>
      </c>
      <c r="G525">
        <f ca="1">_xlfn.STDEV.P($C$2:C525)</f>
        <v>17.413446322586434</v>
      </c>
      <c r="H525">
        <f t="shared" ca="1" si="169"/>
        <v>310.57160533781632</v>
      </c>
      <c r="I525">
        <f t="shared" ca="1" si="170"/>
        <v>275.74471269264347</v>
      </c>
      <c r="J525">
        <f t="shared" ca="1" si="171"/>
        <v>309.78550000000007</v>
      </c>
      <c r="K525">
        <f t="shared" ca="1" si="172"/>
        <v>4.8910944582986762</v>
      </c>
      <c r="L525">
        <f t="shared" ca="1" si="173"/>
        <v>319.56768891659743</v>
      </c>
      <c r="M525">
        <f t="shared" ca="1" si="174"/>
        <v>300.00331108340271</v>
      </c>
      <c r="N525">
        <f t="shared" ca="1" si="175"/>
        <v>0.95000000000004547</v>
      </c>
      <c r="O525">
        <f t="shared" ca="1" si="176"/>
        <v>0.95000000000004547</v>
      </c>
      <c r="P525">
        <f t="shared" ca="1" si="177"/>
        <v>0</v>
      </c>
      <c r="Q525">
        <f t="shared" ca="1" si="178"/>
        <v>1.4147278496100013</v>
      </c>
      <c r="R525">
        <f t="shared" ca="1" si="179"/>
        <v>0.76307573817738539</v>
      </c>
      <c r="S525">
        <f t="shared" ca="1" si="180"/>
        <v>1.8539809075690101</v>
      </c>
      <c r="T525">
        <f t="shared" ca="1" si="181"/>
        <v>64.961223204124764</v>
      </c>
      <c r="U525">
        <f>70</f>
        <v>70</v>
      </c>
      <c r="V525">
        <f>30</f>
        <v>30</v>
      </c>
      <c r="W525">
        <f t="shared" ca="1" si="182"/>
        <v>313.37990496790201</v>
      </c>
      <c r="X525">
        <f t="shared" ca="1" si="183"/>
        <v>311.09526001057912</v>
      </c>
      <c r="Y525">
        <f t="shared" ca="1" si="184"/>
        <v>2.9378697208794051</v>
      </c>
      <c r="Z525">
        <f t="shared" ca="1" si="185"/>
        <v>1.3434491641850288</v>
      </c>
      <c r="AA525">
        <f t="shared" ca="1" si="186"/>
        <v>1.5944205566943763</v>
      </c>
      <c r="AB525">
        <f t="shared" ca="1" si="187"/>
        <v>306.53559999999999</v>
      </c>
    </row>
    <row r="526" spans="1:28" x14ac:dyDescent="0.25">
      <c r="A526" s="21">
        <f t="shared" ca="1" si="167"/>
        <v>46055</v>
      </c>
      <c r="B526" vm="1552">
        <f ca="1"/>
        <v>46057</v>
      </c>
      <c r="C526" vm="1553">
        <f ca="1"/>
        <v>323.69</v>
      </c>
      <c r="D526" vm="1554">
        <f ca="1"/>
        <v>4805925</v>
      </c>
      <c r="E526">
        <f t="shared" ca="1" si="168"/>
        <v>1555629863.25</v>
      </c>
      <c r="F526">
        <f ca="1">SUM($E$2:E526)/SUM($D$2:D526)</f>
        <v>293.23983266396294</v>
      </c>
      <c r="G526">
        <f ca="1">_xlfn.STDEV.P($C$2:C526)</f>
        <v>17.44456867227774</v>
      </c>
      <c r="H526">
        <f t="shared" ca="1" si="169"/>
        <v>310.68440133624068</v>
      </c>
      <c r="I526">
        <f t="shared" ca="1" si="170"/>
        <v>275.7952639916852</v>
      </c>
      <c r="J526">
        <f t="shared" ca="1" si="171"/>
        <v>310.83150000000001</v>
      </c>
      <c r="K526">
        <f t="shared" ca="1" si="172"/>
        <v>5.509651125644508</v>
      </c>
      <c r="L526">
        <f t="shared" ca="1" si="173"/>
        <v>321.850802251289</v>
      </c>
      <c r="M526">
        <f t="shared" ca="1" si="174"/>
        <v>299.81219774871101</v>
      </c>
      <c r="N526">
        <f t="shared" ca="1" si="175"/>
        <v>4.2099999999999795</v>
      </c>
      <c r="O526">
        <f t="shared" ca="1" si="176"/>
        <v>4.2099999999999795</v>
      </c>
      <c r="P526">
        <f t="shared" ca="1" si="177"/>
        <v>0</v>
      </c>
      <c r="Q526">
        <f t="shared" ca="1" si="178"/>
        <v>1.6143901460664283</v>
      </c>
      <c r="R526">
        <f t="shared" ca="1" si="179"/>
        <v>0.70857032830757216</v>
      </c>
      <c r="S526">
        <f t="shared" ca="1" si="180"/>
        <v>2.2783767278576517</v>
      </c>
      <c r="T526">
        <f t="shared" ca="1" si="181"/>
        <v>69.497099235038846</v>
      </c>
      <c r="U526">
        <f>70</f>
        <v>70</v>
      </c>
      <c r="V526">
        <f>30</f>
        <v>30</v>
      </c>
      <c r="W526">
        <f t="shared" ca="1" si="182"/>
        <v>314.96607343437864</v>
      </c>
      <c r="X526">
        <f t="shared" ca="1" si="183"/>
        <v>312.02820371349924</v>
      </c>
      <c r="Y526">
        <f t="shared" ca="1" si="184"/>
        <v>3.3994233707213652</v>
      </c>
      <c r="Z526">
        <f t="shared" ca="1" si="185"/>
        <v>1.7546440054922963</v>
      </c>
      <c r="AA526">
        <f t="shared" ca="1" si="186"/>
        <v>1.644779365229069</v>
      </c>
      <c r="AB526">
        <f t="shared" ca="1" si="187"/>
        <v>306.68819999999999</v>
      </c>
    </row>
    <row r="527" spans="1:28" x14ac:dyDescent="0.25">
      <c r="A527" s="21">
        <f t="shared" ca="1" si="167"/>
        <v>46055</v>
      </c>
      <c r="B527" vm="1555">
        <f ca="1"/>
        <v>46058</v>
      </c>
      <c r="C527" vm="1556">
        <f ca="1"/>
        <v>323.48</v>
      </c>
      <c r="D527" vm="1557">
        <f ca="1"/>
        <v>3936775</v>
      </c>
      <c r="E527">
        <f t="shared" ca="1" si="168"/>
        <v>1273467977</v>
      </c>
      <c r="F527">
        <f ca="1">SUM($E$2:E527)/SUM($D$2:D527)</f>
        <v>293.30595164517081</v>
      </c>
      <c r="G527">
        <f ca="1">_xlfn.STDEV.P($C$2:C527)</f>
        <v>17.474666436974424</v>
      </c>
      <c r="H527">
        <f t="shared" ca="1" si="169"/>
        <v>310.78061808214522</v>
      </c>
      <c r="I527">
        <f t="shared" ca="1" si="170"/>
        <v>275.83128520819639</v>
      </c>
      <c r="J527">
        <f t="shared" ca="1" si="171"/>
        <v>311.79750000000001</v>
      </c>
      <c r="K527">
        <f t="shared" ca="1" si="172"/>
        <v>5.9541289300610156</v>
      </c>
      <c r="L527">
        <f t="shared" ca="1" si="173"/>
        <v>323.70575786012205</v>
      </c>
      <c r="M527">
        <f t="shared" ca="1" si="174"/>
        <v>299.88924213987798</v>
      </c>
      <c r="N527">
        <f t="shared" ca="1" si="175"/>
        <v>-0.20999999999997954</v>
      </c>
      <c r="O527">
        <f t="shared" ca="1" si="176"/>
        <v>0</v>
      </c>
      <c r="P527">
        <f t="shared" ca="1" si="177"/>
        <v>0.20999999999997954</v>
      </c>
      <c r="Q527">
        <f t="shared" ca="1" si="178"/>
        <v>1.4990765642045407</v>
      </c>
      <c r="R527">
        <f t="shared" ca="1" si="179"/>
        <v>0.67295816199988701</v>
      </c>
      <c r="S527">
        <f t="shared" ca="1" si="180"/>
        <v>2.2275925144434052</v>
      </c>
      <c r="T527">
        <f t="shared" ca="1" si="181"/>
        <v>69.017154565670168</v>
      </c>
      <c r="U527">
        <f>70</f>
        <v>70</v>
      </c>
      <c r="V527">
        <f>30</f>
        <v>30</v>
      </c>
      <c r="W527">
        <f t="shared" ca="1" si="182"/>
        <v>316.27590829062808</v>
      </c>
      <c r="X527">
        <f t="shared" ca="1" si="183"/>
        <v>312.87648491990672</v>
      </c>
      <c r="Y527">
        <f t="shared" ca="1" si="184"/>
        <v>4.0158608642360605</v>
      </c>
      <c r="Z527">
        <f t="shared" ca="1" si="185"/>
        <v>2.2068873772410491</v>
      </c>
      <c r="AA527">
        <f t="shared" ca="1" si="186"/>
        <v>1.8089734869950114</v>
      </c>
      <c r="AB527">
        <f t="shared" ca="1" si="187"/>
        <v>306.86899999999997</v>
      </c>
    </row>
    <row r="528" spans="1:28" x14ac:dyDescent="0.25">
      <c r="A528" s="21">
        <f t="shared" ca="1" si="167"/>
        <v>46055</v>
      </c>
      <c r="B528" vm="1558">
        <f ca="1"/>
        <v>46059</v>
      </c>
      <c r="C528" vm="1559">
        <f ca="1"/>
        <v>327.16000000000003</v>
      </c>
      <c r="D528" vm="1560">
        <f ca="1"/>
        <v>2831866</v>
      </c>
      <c r="E528">
        <f t="shared" ca="1" si="168"/>
        <v>926473280.56000006</v>
      </c>
      <c r="F528">
        <f ca="1">SUM($E$2:E528)/SUM($D$2:D528)</f>
        <v>293.35911374857176</v>
      </c>
      <c r="G528">
        <f ca="1">_xlfn.STDEV.P($C$2:C528)</f>
        <v>17.516796436322423</v>
      </c>
      <c r="H528">
        <f t="shared" ca="1" si="169"/>
        <v>310.87591018489417</v>
      </c>
      <c r="I528">
        <f t="shared" ca="1" si="170"/>
        <v>275.84231731224935</v>
      </c>
      <c r="J528">
        <f t="shared" ca="1" si="171"/>
        <v>312.7115</v>
      </c>
      <c r="K528">
        <f t="shared" ca="1" si="172"/>
        <v>6.8224399671424925</v>
      </c>
      <c r="L528">
        <f t="shared" ca="1" si="173"/>
        <v>326.35637993428497</v>
      </c>
      <c r="M528">
        <f t="shared" ca="1" si="174"/>
        <v>299.06662006571503</v>
      </c>
      <c r="N528">
        <f t="shared" ca="1" si="175"/>
        <v>3.6800000000000068</v>
      </c>
      <c r="O528">
        <f t="shared" ca="1" si="176"/>
        <v>3.6800000000000068</v>
      </c>
      <c r="P528">
        <f t="shared" ca="1" si="177"/>
        <v>0</v>
      </c>
      <c r="Q528">
        <f t="shared" ca="1" si="178"/>
        <v>1.6548568096185026</v>
      </c>
      <c r="R528">
        <f t="shared" ca="1" si="179"/>
        <v>0.62488972185703795</v>
      </c>
      <c r="S528">
        <f t="shared" ca="1" si="180"/>
        <v>2.6482381638485326</v>
      </c>
      <c r="T528">
        <f t="shared" ca="1" si="181"/>
        <v>72.589508823483754</v>
      </c>
      <c r="U528">
        <f>70</f>
        <v>70</v>
      </c>
      <c r="V528">
        <f>30</f>
        <v>30</v>
      </c>
      <c r="W528">
        <f t="shared" ca="1" si="182"/>
        <v>317.95038393822381</v>
      </c>
      <c r="X528">
        <f t="shared" ca="1" si="183"/>
        <v>313.93452307398775</v>
      </c>
      <c r="Y528">
        <f t="shared" ca="1" si="184"/>
        <v>4.3286154718132934</v>
      </c>
      <c r="Z528">
        <f t="shared" ca="1" si="185"/>
        <v>2.6312329961554979</v>
      </c>
      <c r="AA528">
        <f t="shared" ca="1" si="186"/>
        <v>1.6973824756577955</v>
      </c>
      <c r="AB528">
        <f t="shared" ca="1" si="187"/>
        <v>307.11989999999997</v>
      </c>
    </row>
    <row r="529" spans="1:28" x14ac:dyDescent="0.25">
      <c r="A529" s="21">
        <f t="shared" ca="1" si="167"/>
        <v>46062</v>
      </c>
      <c r="B529" vm="1561">
        <f ca="1"/>
        <v>46062</v>
      </c>
      <c r="C529" vm="1562">
        <f ca="1"/>
        <v>325.60000000000002</v>
      </c>
      <c r="D529" vm="1563">
        <f ca="1"/>
        <v>2674131</v>
      </c>
      <c r="E529">
        <f t="shared" ca="1" si="168"/>
        <v>870697053.60000002</v>
      </c>
      <c r="F529">
        <f ca="1">SUM($E$2:E529)/SUM($D$2:D529)</f>
        <v>293.40685183136969</v>
      </c>
      <c r="G529">
        <f ca="1">_xlfn.STDEV.P($C$2:C529)</f>
        <v>17.553055471030923</v>
      </c>
      <c r="H529">
        <f t="shared" ca="1" si="169"/>
        <v>310.95990730240061</v>
      </c>
      <c r="I529">
        <f t="shared" ca="1" si="170"/>
        <v>275.85379636033878</v>
      </c>
      <c r="J529">
        <f t="shared" ca="1" si="171"/>
        <v>313.62549999999999</v>
      </c>
      <c r="K529">
        <f t="shared" ca="1" si="172"/>
        <v>7.2718103696831715</v>
      </c>
      <c r="L529">
        <f t="shared" ca="1" si="173"/>
        <v>328.16912073936635</v>
      </c>
      <c r="M529">
        <f t="shared" ca="1" si="174"/>
        <v>299.08187926063363</v>
      </c>
      <c r="N529">
        <f t="shared" ca="1" si="175"/>
        <v>-1.5600000000000023</v>
      </c>
      <c r="O529">
        <f t="shared" ca="1" si="176"/>
        <v>0</v>
      </c>
      <c r="P529">
        <f t="shared" ca="1" si="177"/>
        <v>1.5600000000000023</v>
      </c>
      <c r="Q529">
        <f t="shared" ca="1" si="178"/>
        <v>1.5366527517886095</v>
      </c>
      <c r="R529">
        <f t="shared" ca="1" si="179"/>
        <v>0.69168331315296405</v>
      </c>
      <c r="S529">
        <f t="shared" ca="1" si="180"/>
        <v>2.2216131610634684</v>
      </c>
      <c r="T529">
        <f t="shared" ca="1" si="181"/>
        <v>68.95965002607899</v>
      </c>
      <c r="U529">
        <f>70</f>
        <v>70</v>
      </c>
      <c r="V529">
        <f>30</f>
        <v>30</v>
      </c>
      <c r="W529">
        <f t="shared" ca="1" si="182"/>
        <v>319.12724794772788</v>
      </c>
      <c r="X529">
        <f t="shared" ca="1" si="183"/>
        <v>314.79863247591459</v>
      </c>
      <c r="Y529">
        <v>4.3286154718132934</v>
      </c>
      <c r="Z529">
        <f t="shared" ca="1" si="185"/>
        <v>2.9707094912870571</v>
      </c>
      <c r="AA529">
        <f t="shared" ca="1" si="186"/>
        <v>1.3579059805262363</v>
      </c>
      <c r="AB529">
        <f t="shared" ca="1" si="187"/>
        <v>307.34299999999996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553E-E3BD-4F6E-9ECA-553CF864DD53}">
  <dimension ref="A1:F120"/>
  <sheetViews>
    <sheetView workbookViewId="0">
      <selection activeCell="P18" sqref="P18"/>
    </sheetView>
  </sheetViews>
  <sheetFormatPr defaultRowHeight="15" x14ac:dyDescent="0.25"/>
  <cols>
    <col min="1" max="2" width="10.42578125" bestFit="1" customWidth="1"/>
  </cols>
  <sheetData>
    <row r="1" spans="1:6" x14ac:dyDescent="0.25">
      <c r="A1" t="s">
        <v>45</v>
      </c>
      <c r="B1" t="s">
        <v>46</v>
      </c>
      <c r="C1" t="s">
        <v>36</v>
      </c>
      <c r="D1" t="s">
        <v>47</v>
      </c>
      <c r="E1" t="s">
        <v>5</v>
      </c>
      <c r="F1" t="s">
        <v>6</v>
      </c>
    </row>
    <row r="2" spans="1:6" x14ac:dyDescent="0.25">
      <c r="A2" s="12">
        <v>45292</v>
      </c>
      <c r="B2">
        <v>293.04000000000002</v>
      </c>
    </row>
    <row r="3" spans="1:6" x14ac:dyDescent="0.25">
      <c r="A3" s="12">
        <v>45299</v>
      </c>
      <c r="B3">
        <v>292.89600000000002</v>
      </c>
    </row>
    <row r="4" spans="1:6" x14ac:dyDescent="0.25">
      <c r="A4" s="12">
        <v>45306</v>
      </c>
      <c r="B4">
        <v>294.28499999999997</v>
      </c>
    </row>
    <row r="5" spans="1:6" x14ac:dyDescent="0.25">
      <c r="A5" s="12">
        <v>45313</v>
      </c>
      <c r="B5">
        <v>297.67399999999998</v>
      </c>
    </row>
    <row r="6" spans="1:6" x14ac:dyDescent="0.25">
      <c r="A6" s="12">
        <v>45320</v>
      </c>
      <c r="B6">
        <v>294.96199999999999</v>
      </c>
    </row>
    <row r="7" spans="1:6" x14ac:dyDescent="0.25">
      <c r="A7" s="12">
        <v>45327</v>
      </c>
      <c r="B7">
        <v>287.87</v>
      </c>
    </row>
    <row r="8" spans="1:6" x14ac:dyDescent="0.25">
      <c r="A8" s="12">
        <v>45334</v>
      </c>
      <c r="B8">
        <v>289.72000000000003</v>
      </c>
    </row>
    <row r="9" spans="1:6" x14ac:dyDescent="0.25">
      <c r="A9" s="12">
        <v>45341</v>
      </c>
      <c r="B9">
        <v>295.0575</v>
      </c>
    </row>
    <row r="10" spans="1:6" x14ac:dyDescent="0.25">
      <c r="A10" s="12">
        <v>45348</v>
      </c>
      <c r="B10">
        <v>293.81599999999997</v>
      </c>
    </row>
    <row r="11" spans="1:6" x14ac:dyDescent="0.25">
      <c r="A11" s="12">
        <v>45355</v>
      </c>
      <c r="B11">
        <v>292.01400000000001</v>
      </c>
    </row>
    <row r="12" spans="1:6" x14ac:dyDescent="0.25">
      <c r="A12" s="12">
        <v>45362</v>
      </c>
      <c r="B12">
        <v>286.572</v>
      </c>
    </row>
    <row r="13" spans="1:6" x14ac:dyDescent="0.25">
      <c r="A13" s="12">
        <v>45369</v>
      </c>
      <c r="B13">
        <v>282.41199999999998</v>
      </c>
    </row>
    <row r="14" spans="1:6" x14ac:dyDescent="0.25">
      <c r="A14" s="12">
        <v>45376</v>
      </c>
      <c r="B14">
        <v>280.30250000000001</v>
      </c>
    </row>
    <row r="15" spans="1:6" x14ac:dyDescent="0.25">
      <c r="A15" s="12">
        <v>45383</v>
      </c>
      <c r="B15">
        <v>274.05599999999998</v>
      </c>
    </row>
    <row r="16" spans="1:6" x14ac:dyDescent="0.25">
      <c r="A16" s="12">
        <v>45390</v>
      </c>
      <c r="B16">
        <v>268.33600000000001</v>
      </c>
    </row>
    <row r="17" spans="1:2" x14ac:dyDescent="0.25">
      <c r="A17" s="12">
        <v>45397</v>
      </c>
      <c r="B17">
        <v>268.916</v>
      </c>
    </row>
    <row r="18" spans="1:2" x14ac:dyDescent="0.25">
      <c r="A18" s="12">
        <v>45404</v>
      </c>
      <c r="B18">
        <v>275.58</v>
      </c>
    </row>
    <row r="19" spans="1:2" x14ac:dyDescent="0.25">
      <c r="A19" s="12">
        <v>45411</v>
      </c>
      <c r="B19">
        <v>272.92399999999998</v>
      </c>
    </row>
    <row r="20" spans="1:2" x14ac:dyDescent="0.25">
      <c r="A20" s="12">
        <v>45418</v>
      </c>
      <c r="B20">
        <v>269.64800000000002</v>
      </c>
    </row>
    <row r="21" spans="1:2" x14ac:dyDescent="0.25">
      <c r="A21" s="12">
        <v>45425</v>
      </c>
      <c r="B21">
        <v>272.34800000000001</v>
      </c>
    </row>
    <row r="22" spans="1:2" x14ac:dyDescent="0.25">
      <c r="A22" s="12">
        <v>45432</v>
      </c>
      <c r="B22">
        <v>263.11</v>
      </c>
    </row>
    <row r="23" spans="1:2" x14ac:dyDescent="0.25">
      <c r="A23" s="12">
        <v>45439</v>
      </c>
      <c r="B23">
        <v>253.4675</v>
      </c>
    </row>
    <row r="24" spans="1:2" x14ac:dyDescent="0.25">
      <c r="A24" s="12">
        <v>45446</v>
      </c>
      <c r="B24">
        <v>259.87799999999999</v>
      </c>
    </row>
    <row r="25" spans="1:2" x14ac:dyDescent="0.25">
      <c r="A25" s="12">
        <v>45453</v>
      </c>
      <c r="B25">
        <v>253.97</v>
      </c>
    </row>
    <row r="26" spans="1:2" x14ac:dyDescent="0.25">
      <c r="A26" s="12">
        <v>45460</v>
      </c>
      <c r="B26">
        <v>254.3725</v>
      </c>
    </row>
    <row r="27" spans="1:2" x14ac:dyDescent="0.25">
      <c r="A27" s="12">
        <v>45467</v>
      </c>
      <c r="B27">
        <v>257.72000000000003</v>
      </c>
    </row>
    <row r="28" spans="1:2" x14ac:dyDescent="0.25">
      <c r="A28" s="12">
        <v>45474</v>
      </c>
      <c r="B28">
        <v>249.7175</v>
      </c>
    </row>
    <row r="29" spans="1:2" x14ac:dyDescent="0.25">
      <c r="A29" s="12">
        <v>45481</v>
      </c>
      <c r="B29">
        <v>250.572</v>
      </c>
    </row>
    <row r="30" spans="1:2" x14ac:dyDescent="0.25">
      <c r="A30" s="12">
        <v>45488</v>
      </c>
      <c r="B30">
        <v>257.32</v>
      </c>
    </row>
    <row r="31" spans="1:2" x14ac:dyDescent="0.25">
      <c r="A31" s="12">
        <v>45495</v>
      </c>
      <c r="B31">
        <v>254.084</v>
      </c>
    </row>
    <row r="32" spans="1:2" x14ac:dyDescent="0.25">
      <c r="A32" s="12">
        <v>45502</v>
      </c>
      <c r="B32">
        <v>267.74</v>
      </c>
    </row>
    <row r="33" spans="1:2" x14ac:dyDescent="0.25">
      <c r="A33" s="12">
        <v>45509</v>
      </c>
      <c r="B33">
        <v>269.39600000000002</v>
      </c>
    </row>
    <row r="34" spans="1:2" x14ac:dyDescent="0.25">
      <c r="A34" s="12">
        <v>45516</v>
      </c>
      <c r="B34">
        <v>272.85599999999999</v>
      </c>
    </row>
    <row r="35" spans="1:2" x14ac:dyDescent="0.25">
      <c r="A35" s="12">
        <v>45523</v>
      </c>
      <c r="B35">
        <v>288.32400000000001</v>
      </c>
    </row>
    <row r="36" spans="1:2" x14ac:dyDescent="0.25">
      <c r="A36" s="12">
        <v>45530</v>
      </c>
      <c r="B36">
        <v>288.37799999999999</v>
      </c>
    </row>
    <row r="37" spans="1:2" x14ac:dyDescent="0.25">
      <c r="A37" s="12">
        <v>45537</v>
      </c>
      <c r="B37">
        <v>287.75749999999999</v>
      </c>
    </row>
    <row r="38" spans="1:2" x14ac:dyDescent="0.25">
      <c r="A38" s="12">
        <v>45544</v>
      </c>
      <c r="B38">
        <v>292.334</v>
      </c>
    </row>
    <row r="39" spans="1:2" x14ac:dyDescent="0.25">
      <c r="A39" s="12">
        <v>45551</v>
      </c>
      <c r="B39">
        <v>294.63</v>
      </c>
    </row>
    <row r="40" spans="1:2" x14ac:dyDescent="0.25">
      <c r="A40" s="12">
        <v>45558</v>
      </c>
      <c r="B40">
        <v>301.428</v>
      </c>
    </row>
    <row r="41" spans="1:2" x14ac:dyDescent="0.25">
      <c r="A41" s="12">
        <v>45565</v>
      </c>
      <c r="B41">
        <v>303.69200000000001</v>
      </c>
    </row>
    <row r="42" spans="1:2" x14ac:dyDescent="0.25">
      <c r="A42" s="12">
        <v>45572</v>
      </c>
      <c r="B42">
        <v>303.13200000000001</v>
      </c>
    </row>
    <row r="43" spans="1:2" x14ac:dyDescent="0.25">
      <c r="A43" s="12">
        <v>45579</v>
      </c>
      <c r="B43">
        <v>313.47199999999998</v>
      </c>
    </row>
    <row r="44" spans="1:2" x14ac:dyDescent="0.25">
      <c r="A44" s="12">
        <v>45586</v>
      </c>
      <c r="B44">
        <v>304.46800000000002</v>
      </c>
    </row>
    <row r="45" spans="1:2" x14ac:dyDescent="0.25">
      <c r="A45" s="12">
        <v>45593</v>
      </c>
      <c r="B45">
        <v>294.12599999999998</v>
      </c>
    </row>
    <row r="46" spans="1:2" x14ac:dyDescent="0.25">
      <c r="A46" s="12">
        <v>45600</v>
      </c>
      <c r="B46">
        <v>295.56</v>
      </c>
    </row>
    <row r="47" spans="1:2" x14ac:dyDescent="0.25">
      <c r="A47" s="12">
        <v>45607</v>
      </c>
      <c r="B47">
        <v>297.74399999999997</v>
      </c>
    </row>
    <row r="48" spans="1:2" x14ac:dyDescent="0.25">
      <c r="A48" s="12">
        <v>45614</v>
      </c>
      <c r="B48">
        <v>290.298</v>
      </c>
    </row>
    <row r="49" spans="1:2" x14ac:dyDescent="0.25">
      <c r="A49" s="12">
        <v>45621</v>
      </c>
      <c r="B49">
        <v>295.90249999999997</v>
      </c>
    </row>
    <row r="50" spans="1:2" x14ac:dyDescent="0.25">
      <c r="A50" s="12">
        <v>45628</v>
      </c>
      <c r="B50">
        <v>296.096</v>
      </c>
    </row>
    <row r="51" spans="1:2" x14ac:dyDescent="0.25">
      <c r="A51" s="12">
        <v>45635</v>
      </c>
      <c r="B51">
        <v>298.28199999999998</v>
      </c>
    </row>
    <row r="52" spans="1:2" x14ac:dyDescent="0.25">
      <c r="A52" s="12">
        <v>45642</v>
      </c>
      <c r="B52">
        <v>293.51600000000002</v>
      </c>
    </row>
    <row r="53" spans="1:2" x14ac:dyDescent="0.25">
      <c r="A53" s="12">
        <v>45649</v>
      </c>
      <c r="B53">
        <v>293.42500000000001</v>
      </c>
    </row>
    <row r="54" spans="1:2" x14ac:dyDescent="0.25">
      <c r="A54" s="12">
        <v>45656</v>
      </c>
      <c r="B54">
        <v>291.69499999999999</v>
      </c>
    </row>
    <row r="55" spans="1:2" x14ac:dyDescent="0.25">
      <c r="A55" s="12">
        <v>45663</v>
      </c>
      <c r="B55">
        <v>287.6825</v>
      </c>
    </row>
    <row r="56" spans="1:2" x14ac:dyDescent="0.25">
      <c r="A56" s="12">
        <v>45670</v>
      </c>
      <c r="B56">
        <v>281.64</v>
      </c>
    </row>
    <row r="57" spans="1:2" x14ac:dyDescent="0.25">
      <c r="A57" s="12">
        <v>45677</v>
      </c>
      <c r="B57">
        <v>283.46249999999998</v>
      </c>
    </row>
    <row r="58" spans="1:2" x14ac:dyDescent="0.25">
      <c r="A58" s="12">
        <v>45684</v>
      </c>
      <c r="B58">
        <v>290.67399999999998</v>
      </c>
    </row>
    <row r="59" spans="1:2" x14ac:dyDescent="0.25">
      <c r="A59" s="12">
        <v>45691</v>
      </c>
      <c r="B59">
        <v>291.46199999999999</v>
      </c>
    </row>
    <row r="60" spans="1:2" x14ac:dyDescent="0.25">
      <c r="A60" s="12">
        <v>45698</v>
      </c>
      <c r="B60">
        <v>308.95999999999998</v>
      </c>
    </row>
    <row r="61" spans="1:2" x14ac:dyDescent="0.25">
      <c r="A61" s="12">
        <v>45705</v>
      </c>
      <c r="B61">
        <v>303.65750000000003</v>
      </c>
    </row>
    <row r="62" spans="1:2" x14ac:dyDescent="0.25">
      <c r="A62" s="12">
        <v>45712</v>
      </c>
      <c r="B62">
        <v>308.16800000000001</v>
      </c>
    </row>
    <row r="63" spans="1:2" x14ac:dyDescent="0.25">
      <c r="A63" s="12">
        <v>45719</v>
      </c>
      <c r="B63">
        <v>309.834</v>
      </c>
    </row>
    <row r="64" spans="1:2" x14ac:dyDescent="0.25">
      <c r="A64" s="12">
        <v>45726</v>
      </c>
      <c r="B64">
        <v>304.14799999999997</v>
      </c>
    </row>
    <row r="65" spans="1:2" x14ac:dyDescent="0.25">
      <c r="A65" s="12">
        <v>45733</v>
      </c>
      <c r="B65">
        <v>305.38600000000002</v>
      </c>
    </row>
    <row r="66" spans="1:2" x14ac:dyDescent="0.25">
      <c r="A66" s="12">
        <v>45740</v>
      </c>
      <c r="B66">
        <v>309.19</v>
      </c>
    </row>
    <row r="67" spans="1:2" x14ac:dyDescent="0.25">
      <c r="A67" s="12">
        <v>45747</v>
      </c>
      <c r="B67">
        <v>311.19200000000001</v>
      </c>
    </row>
    <row r="68" spans="1:2" x14ac:dyDescent="0.25">
      <c r="A68" s="12">
        <v>45754</v>
      </c>
      <c r="B68">
        <v>304.072</v>
      </c>
    </row>
    <row r="69" spans="1:2" x14ac:dyDescent="0.25">
      <c r="A69" s="12">
        <v>45761</v>
      </c>
      <c r="B69">
        <v>312.23750000000001</v>
      </c>
    </row>
    <row r="70" spans="1:2" x14ac:dyDescent="0.25">
      <c r="A70" s="12">
        <v>45768</v>
      </c>
      <c r="B70">
        <v>315.84800000000001</v>
      </c>
    </row>
    <row r="71" spans="1:2" x14ac:dyDescent="0.25">
      <c r="A71" s="12">
        <v>45775</v>
      </c>
      <c r="B71">
        <v>315.31200000000001</v>
      </c>
    </row>
    <row r="72" spans="1:2" x14ac:dyDescent="0.25">
      <c r="A72" s="12">
        <v>45782</v>
      </c>
      <c r="B72">
        <v>315.56200000000001</v>
      </c>
    </row>
    <row r="73" spans="1:2" x14ac:dyDescent="0.25">
      <c r="A73" s="12">
        <v>45789</v>
      </c>
      <c r="B73">
        <v>312.24</v>
      </c>
    </row>
    <row r="74" spans="1:2" x14ac:dyDescent="0.25">
      <c r="A74" s="12">
        <v>45796</v>
      </c>
      <c r="B74">
        <v>317.27</v>
      </c>
    </row>
    <row r="75" spans="1:2" x14ac:dyDescent="0.25">
      <c r="A75" s="12">
        <v>45803</v>
      </c>
      <c r="B75">
        <v>313.375</v>
      </c>
    </row>
    <row r="76" spans="1:2" x14ac:dyDescent="0.25">
      <c r="A76" s="12">
        <v>45810</v>
      </c>
      <c r="B76">
        <v>310.596</v>
      </c>
    </row>
    <row r="77" spans="1:2" x14ac:dyDescent="0.25">
      <c r="A77" s="12">
        <v>45817</v>
      </c>
      <c r="B77">
        <v>302.40000000000003</v>
      </c>
    </row>
    <row r="78" spans="1:2" x14ac:dyDescent="0.25">
      <c r="A78" s="12">
        <v>45824</v>
      </c>
      <c r="B78">
        <v>291.42250000000001</v>
      </c>
    </row>
    <row r="79" spans="1:2" x14ac:dyDescent="0.25">
      <c r="A79" s="12">
        <v>45831</v>
      </c>
      <c r="B79">
        <v>288.74400000000003</v>
      </c>
    </row>
    <row r="80" spans="1:2" x14ac:dyDescent="0.25">
      <c r="A80" s="12">
        <v>45838</v>
      </c>
      <c r="B80">
        <v>294.59249999999997</v>
      </c>
    </row>
    <row r="81" spans="1:2" x14ac:dyDescent="0.25">
      <c r="A81" s="12">
        <v>45845</v>
      </c>
      <c r="B81">
        <v>295.30399999999997</v>
      </c>
    </row>
    <row r="82" spans="1:2" x14ac:dyDescent="0.25">
      <c r="A82" s="12">
        <v>45852</v>
      </c>
      <c r="B82">
        <v>299.56799999999998</v>
      </c>
    </row>
    <row r="83" spans="1:2" x14ac:dyDescent="0.25">
      <c r="A83" s="12">
        <v>45859</v>
      </c>
      <c r="B83">
        <v>297.19600000000003</v>
      </c>
    </row>
    <row r="84" spans="1:2" x14ac:dyDescent="0.25">
      <c r="A84" s="12">
        <v>45866</v>
      </c>
      <c r="B84">
        <v>301.69200000000001</v>
      </c>
    </row>
    <row r="85" spans="1:2" x14ac:dyDescent="0.25">
      <c r="A85" s="12">
        <v>45873</v>
      </c>
      <c r="B85">
        <v>304.80400000000003</v>
      </c>
    </row>
    <row r="86" spans="1:2" x14ac:dyDescent="0.25">
      <c r="A86" s="12">
        <v>45880</v>
      </c>
      <c r="B86">
        <v>305.79000000000002</v>
      </c>
    </row>
    <row r="87" spans="1:2" x14ac:dyDescent="0.25">
      <c r="A87" s="12">
        <v>45887</v>
      </c>
      <c r="B87">
        <v>312</v>
      </c>
    </row>
    <row r="88" spans="1:2" x14ac:dyDescent="0.25">
      <c r="A88" s="12">
        <v>45894</v>
      </c>
      <c r="B88">
        <v>312.714</v>
      </c>
    </row>
    <row r="89" spans="1:2" x14ac:dyDescent="0.25">
      <c r="A89" s="12">
        <v>45901</v>
      </c>
      <c r="B89">
        <v>315.88</v>
      </c>
    </row>
    <row r="90" spans="1:2" x14ac:dyDescent="0.25">
      <c r="A90" s="12">
        <v>45908</v>
      </c>
      <c r="B90">
        <v>309.01799999999997</v>
      </c>
    </row>
    <row r="91" spans="1:2" x14ac:dyDescent="0.25">
      <c r="A91" s="12">
        <v>45915</v>
      </c>
      <c r="B91">
        <v>302.77</v>
      </c>
    </row>
    <row r="92" spans="1:2" x14ac:dyDescent="0.25">
      <c r="A92" s="12">
        <v>45922</v>
      </c>
      <c r="B92">
        <v>303.61</v>
      </c>
    </row>
    <row r="93" spans="1:2" x14ac:dyDescent="0.25">
      <c r="A93" s="12">
        <v>45929</v>
      </c>
      <c r="B93">
        <v>301.65199999999999</v>
      </c>
    </row>
    <row r="94" spans="1:2" x14ac:dyDescent="0.25">
      <c r="A94" s="12">
        <v>45936</v>
      </c>
      <c r="B94">
        <v>295.51600000000002</v>
      </c>
    </row>
    <row r="95" spans="1:2" x14ac:dyDescent="0.25">
      <c r="A95" s="12">
        <v>45943</v>
      </c>
      <c r="B95">
        <v>304.66800000000001</v>
      </c>
    </row>
    <row r="96" spans="1:2" x14ac:dyDescent="0.25">
      <c r="A96" s="12">
        <v>45950</v>
      </c>
      <c r="B96">
        <v>307.62400000000002</v>
      </c>
    </row>
    <row r="97" spans="1:6" x14ac:dyDescent="0.25">
      <c r="A97" s="12">
        <v>45957</v>
      </c>
      <c r="B97">
        <v>303.92200000000003</v>
      </c>
    </row>
    <row r="98" spans="1:6" x14ac:dyDescent="0.25">
      <c r="A98" s="12">
        <v>45964</v>
      </c>
      <c r="B98">
        <v>299.86400000000003</v>
      </c>
    </row>
    <row r="99" spans="1:6" x14ac:dyDescent="0.25">
      <c r="A99" s="12">
        <v>45971</v>
      </c>
      <c r="B99">
        <v>305.49599999999998</v>
      </c>
    </row>
    <row r="100" spans="1:6" x14ac:dyDescent="0.25">
      <c r="A100" s="12">
        <v>45978</v>
      </c>
      <c r="B100">
        <v>305.14800000000002</v>
      </c>
    </row>
    <row r="101" spans="1:6" x14ac:dyDescent="0.25">
      <c r="A101" s="12">
        <v>45985</v>
      </c>
      <c r="B101">
        <v>309.89249999999998</v>
      </c>
    </row>
    <row r="102" spans="1:6" x14ac:dyDescent="0.25">
      <c r="A102" s="12">
        <v>45992</v>
      </c>
      <c r="B102">
        <v>306.35399999999998</v>
      </c>
    </row>
    <row r="103" spans="1:6" x14ac:dyDescent="0.25">
      <c r="A103" s="12">
        <v>45999</v>
      </c>
      <c r="B103">
        <v>311.50799999999998</v>
      </c>
    </row>
    <row r="104" spans="1:6" x14ac:dyDescent="0.25">
      <c r="A104" s="12">
        <v>46006</v>
      </c>
      <c r="B104">
        <v>317.48199999999997</v>
      </c>
    </row>
    <row r="105" spans="1:6" x14ac:dyDescent="0.25">
      <c r="A105" s="12">
        <v>46013</v>
      </c>
      <c r="B105">
        <v>312.76749999999998</v>
      </c>
    </row>
    <row r="106" spans="1:6" x14ac:dyDescent="0.25">
      <c r="A106" s="12">
        <v>46020</v>
      </c>
      <c r="B106">
        <v>306.36249999999995</v>
      </c>
    </row>
    <row r="107" spans="1:6" x14ac:dyDescent="0.25">
      <c r="A107" s="12">
        <v>46027</v>
      </c>
      <c r="B107">
        <v>304.59800000000001</v>
      </c>
    </row>
    <row r="108" spans="1:6" x14ac:dyDescent="0.25">
      <c r="A108" s="12">
        <v>46034</v>
      </c>
      <c r="B108">
        <v>308.07400000000001</v>
      </c>
    </row>
    <row r="109" spans="1:6" x14ac:dyDescent="0.25">
      <c r="A109" s="12">
        <v>46041</v>
      </c>
      <c r="B109">
        <v>305.95249999999999</v>
      </c>
    </row>
    <row r="110" spans="1:6" x14ac:dyDescent="0.25">
      <c r="A110" s="12">
        <v>46048</v>
      </c>
      <c r="B110">
        <v>314.07799999999997</v>
      </c>
    </row>
    <row r="111" spans="1:6" x14ac:dyDescent="0.25">
      <c r="A111" s="12">
        <v>46055</v>
      </c>
      <c r="B111">
        <v>322.46800000000002</v>
      </c>
    </row>
    <row r="112" spans="1:6" x14ac:dyDescent="0.25">
      <c r="A112" s="12">
        <v>46062</v>
      </c>
      <c r="B112">
        <v>325.60000000000002</v>
      </c>
      <c r="C112">
        <f>_xlfn.FORECAST.ETS(A112,B2:B111,A2:A111,1,1,1)</f>
        <v>322.79214701166757</v>
      </c>
      <c r="D112">
        <f>_xlfn.FORECAST.ETS.CONFINT(Forecast[[#This Row],[Week]],B2:B111,A2:A111,0.95,1,1,1)</f>
        <v>11.406558211198568</v>
      </c>
      <c r="E112">
        <f t="shared" ref="E98:E129" si="0">C112-D112</f>
        <v>311.38558880046901</v>
      </c>
      <c r="F112">
        <f t="shared" ref="F98:F120" si="1">C112+D112</f>
        <v>334.19870522286612</v>
      </c>
    </row>
    <row r="113" spans="1:6" x14ac:dyDescent="0.25">
      <c r="A113" s="12">
        <v>46069</v>
      </c>
      <c r="C113">
        <f t="shared" ref="C113:C120" si="2">_xlfn.FORECAST.ETS(A113,B3:B112,A3:A112,1,1,1)</f>
        <v>324.80055140383092</v>
      </c>
      <c r="D113">
        <f>_xlfn.FORECAST.ETS.CONFINT(Forecast[[#This Row],[Week]],B3:B112,A3:A112,0.95,1,1,1)</f>
        <v>13.292101348373208</v>
      </c>
      <c r="E113">
        <f t="shared" si="0"/>
        <v>311.50845005545773</v>
      </c>
      <c r="F113">
        <f t="shared" si="1"/>
        <v>338.09265275220412</v>
      </c>
    </row>
    <row r="114" spans="1:6" x14ac:dyDescent="0.25">
      <c r="A114" s="12">
        <v>46076</v>
      </c>
      <c r="C114">
        <f t="shared" si="2"/>
        <v>338.51288742464152</v>
      </c>
      <c r="D114">
        <f>_xlfn.FORECAST.ETS.CONFINT(Forecast[[#This Row],[Week]],B4:B113,A4:A113,0.95,1,1,1)</f>
        <v>14.390471826446774</v>
      </c>
      <c r="E114">
        <f t="shared" si="0"/>
        <v>324.12241559819472</v>
      </c>
      <c r="F114">
        <f t="shared" si="1"/>
        <v>352.90335925108832</v>
      </c>
    </row>
    <row r="115" spans="1:6" x14ac:dyDescent="0.25">
      <c r="A115" s="12">
        <v>46083</v>
      </c>
      <c r="C115">
        <f t="shared" si="2"/>
        <v>334.10520382905435</v>
      </c>
      <c r="D115">
        <f>_xlfn.FORECAST.ETS.CONFINT(Forecast[[#This Row],[Week]],B5:B114,A5:A114,0.95,1,1,1)</f>
        <v>16.741701205017002</v>
      </c>
      <c r="E115">
        <f t="shared" si="0"/>
        <v>317.36350262403732</v>
      </c>
      <c r="F115">
        <f t="shared" si="1"/>
        <v>350.84690503407137</v>
      </c>
    </row>
    <row r="116" spans="1:6" x14ac:dyDescent="0.25">
      <c r="A116" s="12">
        <v>46090</v>
      </c>
      <c r="C116">
        <f t="shared" si="2"/>
        <v>340.98419974058493</v>
      </c>
      <c r="D116">
        <f>_xlfn.FORECAST.ETS.CONFINT(Forecast[[#This Row],[Week]],B6:B115,A6:A115,0.95,1,1,1)</f>
        <v>17.798388603985661</v>
      </c>
      <c r="E116">
        <f t="shared" si="0"/>
        <v>323.18581113659928</v>
      </c>
      <c r="F116">
        <f t="shared" si="1"/>
        <v>358.78258834457057</v>
      </c>
    </row>
    <row r="117" spans="1:6" x14ac:dyDescent="0.25">
      <c r="A117" s="12">
        <v>46097</v>
      </c>
      <c r="C117">
        <f t="shared" si="2"/>
        <v>330.72253920996974</v>
      </c>
      <c r="D117">
        <f>_xlfn.FORECAST.ETS.CONFINT(Forecast[[#This Row],[Week]],B7:B116,A7:A116,0.95,1,1,1)</f>
        <v>17.840309286177021</v>
      </c>
      <c r="E117">
        <f t="shared" si="0"/>
        <v>312.88222992379269</v>
      </c>
      <c r="F117">
        <f t="shared" si="1"/>
        <v>348.56284849614678</v>
      </c>
    </row>
    <row r="118" spans="1:6" x14ac:dyDescent="0.25">
      <c r="A118" s="12">
        <v>46104</v>
      </c>
      <c r="C118">
        <f t="shared" si="2"/>
        <v>338.81328566423201</v>
      </c>
      <c r="D118">
        <f>_xlfn.FORECAST.ETS.CONFINT(Forecast[[#This Row],[Week]],B8:B117,A8:A117,0.95,1,1,1)</f>
        <v>21.19753766428985</v>
      </c>
      <c r="E118">
        <f t="shared" si="0"/>
        <v>317.61574799994219</v>
      </c>
      <c r="F118">
        <f t="shared" si="1"/>
        <v>360.01082332852184</v>
      </c>
    </row>
    <row r="119" spans="1:6" x14ac:dyDescent="0.25">
      <c r="A119" s="12">
        <v>46111</v>
      </c>
      <c r="C119">
        <f t="shared" si="2"/>
        <v>343.56454366856053</v>
      </c>
      <c r="D119">
        <f>_xlfn.FORECAST.ETS.CONFINT(Forecast[[#This Row],[Week]],B9:B118,A9:A118,0.95,1,1,1)</f>
        <v>19.258875955346696</v>
      </c>
      <c r="E119">
        <f t="shared" si="0"/>
        <v>324.30566771321384</v>
      </c>
      <c r="F119">
        <f t="shared" si="1"/>
        <v>362.82341962390723</v>
      </c>
    </row>
    <row r="120" spans="1:6" x14ac:dyDescent="0.25">
      <c r="A120" s="12">
        <v>46118</v>
      </c>
      <c r="C120">
        <f t="shared" si="2"/>
        <v>339.76454120475586</v>
      </c>
      <c r="D120">
        <f>_xlfn.FORECAST.ETS.CONFINT(Forecast[[#This Row],[Week]],B10:B119,A10:A119,0.95,1,1,1)</f>
        <v>20.153595295939592</v>
      </c>
      <c r="E120">
        <f t="shared" si="0"/>
        <v>319.61094590881629</v>
      </c>
      <c r="F120">
        <f t="shared" si="1"/>
        <v>359.91813650069543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7A1C-4176-4FFD-8FF5-EE864F69FF0E}">
  <dimension ref="A1:B529"/>
  <sheetViews>
    <sheetView workbookViewId="0">
      <selection sqref="A1:B529"/>
    </sheetView>
  </sheetViews>
  <sheetFormatPr defaultRowHeight="15" x14ac:dyDescent="0.25"/>
  <cols>
    <col min="1" max="1" width="10.42578125" style="21" bestFit="1" customWidth="1"/>
  </cols>
  <sheetData>
    <row r="1" spans="1:2" x14ac:dyDescent="0.25">
      <c r="A1" s="21" t="s">
        <v>45</v>
      </c>
      <c r="B1" t="s">
        <v>43</v>
      </c>
    </row>
    <row r="2" spans="1:2" x14ac:dyDescent="0.25">
      <c r="A2" s="21">
        <v>45292</v>
      </c>
      <c r="B2" vm="2">
        <v>297.04000000000002</v>
      </c>
    </row>
    <row r="3" spans="1:2" x14ac:dyDescent="0.25">
      <c r="A3" s="21">
        <v>45292</v>
      </c>
      <c r="B3" vm="5">
        <v>294.39</v>
      </c>
    </row>
    <row r="4" spans="1:2" x14ac:dyDescent="0.25">
      <c r="A4" s="21">
        <v>45292</v>
      </c>
      <c r="B4" vm="8">
        <v>291.74</v>
      </c>
    </row>
    <row r="5" spans="1:2" x14ac:dyDescent="0.25">
      <c r="A5" s="21">
        <v>45292</v>
      </c>
      <c r="B5" vm="11">
        <v>288.99</v>
      </c>
    </row>
    <row r="6" spans="1:2" x14ac:dyDescent="0.25">
      <c r="A6" s="21">
        <v>45299</v>
      </c>
      <c r="B6" vm="14">
        <v>291.89999999999998</v>
      </c>
    </row>
    <row r="7" spans="1:2" x14ac:dyDescent="0.25">
      <c r="A7" s="21">
        <v>45299</v>
      </c>
      <c r="B7" vm="17">
        <v>290.87</v>
      </c>
    </row>
    <row r="8" spans="1:2" x14ac:dyDescent="0.25">
      <c r="A8" s="21">
        <v>45299</v>
      </c>
      <c r="B8" vm="20">
        <v>294.08999999999997</v>
      </c>
    </row>
    <row r="9" spans="1:2" x14ac:dyDescent="0.25">
      <c r="A9" s="21">
        <v>45299</v>
      </c>
      <c r="B9" vm="23">
        <v>294.14999999999998</v>
      </c>
    </row>
    <row r="10" spans="1:2" x14ac:dyDescent="0.25">
      <c r="A10" s="21">
        <v>45299</v>
      </c>
      <c r="B10" vm="26">
        <v>293.47000000000003</v>
      </c>
    </row>
    <row r="11" spans="1:2" x14ac:dyDescent="0.25">
      <c r="A11" s="21">
        <v>45306</v>
      </c>
      <c r="B11" vm="29">
        <v>291.08999999999997</v>
      </c>
    </row>
    <row r="12" spans="1:2" x14ac:dyDescent="0.25">
      <c r="A12" s="21">
        <v>45306</v>
      </c>
      <c r="B12" vm="32">
        <v>291.16000000000003</v>
      </c>
    </row>
    <row r="13" spans="1:2" x14ac:dyDescent="0.25">
      <c r="A13" s="21">
        <v>45306</v>
      </c>
      <c r="B13" vm="35">
        <v>294.36</v>
      </c>
    </row>
    <row r="14" spans="1:2" x14ac:dyDescent="0.25">
      <c r="A14" s="21">
        <v>45306</v>
      </c>
      <c r="B14" vm="38">
        <v>300.52999999999997</v>
      </c>
    </row>
    <row r="15" spans="1:2" x14ac:dyDescent="0.25">
      <c r="A15" s="21">
        <v>45313</v>
      </c>
      <c r="B15" vm="41">
        <v>298.41000000000003</v>
      </c>
    </row>
    <row r="16" spans="1:2" x14ac:dyDescent="0.25">
      <c r="A16" s="21">
        <v>45313</v>
      </c>
      <c r="B16" vm="44">
        <v>300.05</v>
      </c>
    </row>
    <row r="17" spans="1:2" x14ac:dyDescent="0.25">
      <c r="A17" s="21">
        <v>45313</v>
      </c>
      <c r="B17" vm="47">
        <v>300.44</v>
      </c>
    </row>
    <row r="18" spans="1:2" x14ac:dyDescent="0.25">
      <c r="A18" s="21">
        <v>45313</v>
      </c>
      <c r="B18" vm="50">
        <v>297.20999999999998</v>
      </c>
    </row>
    <row r="19" spans="1:2" x14ac:dyDescent="0.25">
      <c r="A19" s="21">
        <v>45313</v>
      </c>
      <c r="B19" vm="53">
        <v>292.26</v>
      </c>
    </row>
    <row r="20" spans="1:2" x14ac:dyDescent="0.25">
      <c r="A20" s="21">
        <v>45320</v>
      </c>
      <c r="B20" vm="56">
        <v>292.31</v>
      </c>
    </row>
    <row r="21" spans="1:2" x14ac:dyDescent="0.25">
      <c r="A21" s="21">
        <v>45320</v>
      </c>
      <c r="B21" vm="59">
        <v>294.64999999999998</v>
      </c>
    </row>
    <row r="22" spans="1:2" x14ac:dyDescent="0.25">
      <c r="A22" s="21">
        <v>45320</v>
      </c>
      <c r="B22" vm="62">
        <v>292.72000000000003</v>
      </c>
    </row>
    <row r="23" spans="1:2" x14ac:dyDescent="0.25">
      <c r="A23" s="21">
        <v>45320</v>
      </c>
      <c r="B23" vm="65">
        <v>298.08</v>
      </c>
    </row>
    <row r="24" spans="1:2" x14ac:dyDescent="0.25">
      <c r="A24" s="21">
        <v>45320</v>
      </c>
      <c r="B24" vm="68">
        <v>297.05</v>
      </c>
    </row>
    <row r="25" spans="1:2" x14ac:dyDescent="0.25">
      <c r="A25" s="21">
        <v>45327</v>
      </c>
      <c r="B25" vm="71">
        <v>285.97000000000003</v>
      </c>
    </row>
    <row r="26" spans="1:2" x14ac:dyDescent="0.25">
      <c r="A26" s="21">
        <v>45327</v>
      </c>
      <c r="B26" vm="74">
        <v>284.64999999999998</v>
      </c>
    </row>
    <row r="27" spans="1:2" x14ac:dyDescent="0.25">
      <c r="A27" s="21">
        <v>45327</v>
      </c>
      <c r="B27" vm="77">
        <v>287.33</v>
      </c>
    </row>
    <row r="28" spans="1:2" x14ac:dyDescent="0.25">
      <c r="A28" s="21">
        <v>45327</v>
      </c>
      <c r="B28" vm="80">
        <v>291.93</v>
      </c>
    </row>
    <row r="29" spans="1:2" x14ac:dyDescent="0.25">
      <c r="A29" s="21">
        <v>45327</v>
      </c>
      <c r="B29" vm="83">
        <v>289.47000000000003</v>
      </c>
    </row>
    <row r="30" spans="1:2" x14ac:dyDescent="0.25">
      <c r="A30" s="21">
        <v>45334</v>
      </c>
      <c r="B30" vm="86">
        <v>289.44</v>
      </c>
    </row>
    <row r="31" spans="1:2" x14ac:dyDescent="0.25">
      <c r="A31" s="21">
        <v>45334</v>
      </c>
      <c r="B31" vm="89">
        <v>287.11</v>
      </c>
    </row>
    <row r="32" spans="1:2" x14ac:dyDescent="0.25">
      <c r="A32" s="21">
        <v>45334</v>
      </c>
      <c r="B32" vm="92">
        <v>288.17</v>
      </c>
    </row>
    <row r="33" spans="1:2" x14ac:dyDescent="0.25">
      <c r="A33" s="21">
        <v>45334</v>
      </c>
      <c r="B33" vm="95">
        <v>291.86</v>
      </c>
    </row>
    <row r="34" spans="1:2" x14ac:dyDescent="0.25">
      <c r="A34" s="21">
        <v>45334</v>
      </c>
      <c r="B34" vm="98">
        <v>292.02</v>
      </c>
    </row>
    <row r="35" spans="1:2" x14ac:dyDescent="0.25">
      <c r="A35" s="21">
        <v>45341</v>
      </c>
      <c r="B35" vm="101">
        <v>292.64999999999998</v>
      </c>
    </row>
    <row r="36" spans="1:2" x14ac:dyDescent="0.25">
      <c r="A36" s="21">
        <v>45341</v>
      </c>
      <c r="B36" vm="104">
        <v>293.91000000000003</v>
      </c>
    </row>
    <row r="37" spans="1:2" x14ac:dyDescent="0.25">
      <c r="A37" s="21">
        <v>45341</v>
      </c>
      <c r="B37" vm="107">
        <v>295.92</v>
      </c>
    </row>
    <row r="38" spans="1:2" x14ac:dyDescent="0.25">
      <c r="A38" s="21">
        <v>45341</v>
      </c>
      <c r="B38" vm="110">
        <v>297.75</v>
      </c>
    </row>
    <row r="39" spans="1:2" x14ac:dyDescent="0.25">
      <c r="A39" s="21">
        <v>45348</v>
      </c>
      <c r="B39" vm="113">
        <v>297.12</v>
      </c>
    </row>
    <row r="40" spans="1:2" x14ac:dyDescent="0.25">
      <c r="A40" s="21">
        <v>45348</v>
      </c>
      <c r="B40" vm="116">
        <v>293.76</v>
      </c>
    </row>
    <row r="41" spans="1:2" x14ac:dyDescent="0.25">
      <c r="A41" s="21">
        <v>45348</v>
      </c>
      <c r="B41" vm="119">
        <v>295.19</v>
      </c>
    </row>
    <row r="42" spans="1:2" x14ac:dyDescent="0.25">
      <c r="A42" s="21">
        <v>45348</v>
      </c>
      <c r="B42" vm="122">
        <v>292.27999999999997</v>
      </c>
    </row>
    <row r="43" spans="1:2" x14ac:dyDescent="0.25">
      <c r="A43" s="21">
        <v>45348</v>
      </c>
      <c r="B43" vm="125">
        <v>290.73</v>
      </c>
    </row>
    <row r="44" spans="1:2" x14ac:dyDescent="0.25">
      <c r="A44" s="21">
        <v>45355</v>
      </c>
      <c r="B44" vm="128">
        <v>290.94</v>
      </c>
    </row>
    <row r="45" spans="1:2" x14ac:dyDescent="0.25">
      <c r="A45" s="21">
        <v>45355</v>
      </c>
      <c r="B45" vm="131">
        <v>292.54000000000002</v>
      </c>
    </row>
    <row r="46" spans="1:2" x14ac:dyDescent="0.25">
      <c r="A46" s="21">
        <v>45355</v>
      </c>
      <c r="B46" vm="134">
        <v>292.93</v>
      </c>
    </row>
    <row r="47" spans="1:2" x14ac:dyDescent="0.25">
      <c r="A47" s="21">
        <v>45355</v>
      </c>
      <c r="B47" vm="137">
        <v>291.11</v>
      </c>
    </row>
    <row r="48" spans="1:2" x14ac:dyDescent="0.25">
      <c r="A48" s="21">
        <v>45355</v>
      </c>
      <c r="B48" vm="140">
        <v>292.55</v>
      </c>
    </row>
    <row r="49" spans="1:2" x14ac:dyDescent="0.25">
      <c r="A49" s="21">
        <v>45362</v>
      </c>
      <c r="B49" vm="143">
        <v>294.82</v>
      </c>
    </row>
    <row r="50" spans="1:2" x14ac:dyDescent="0.25">
      <c r="A50" s="21">
        <v>45362</v>
      </c>
      <c r="B50" vm="146">
        <v>294.31</v>
      </c>
    </row>
    <row r="51" spans="1:2" x14ac:dyDescent="0.25">
      <c r="A51" s="21">
        <v>45362</v>
      </c>
      <c r="B51" vm="149">
        <v>282.86</v>
      </c>
    </row>
    <row r="52" spans="1:2" x14ac:dyDescent="0.25">
      <c r="A52" s="21">
        <v>45362</v>
      </c>
      <c r="B52" vm="152">
        <v>281.73</v>
      </c>
    </row>
    <row r="53" spans="1:2" x14ac:dyDescent="0.25">
      <c r="A53" s="21">
        <v>45362</v>
      </c>
      <c r="B53" vm="155">
        <v>279.14</v>
      </c>
    </row>
    <row r="54" spans="1:2" x14ac:dyDescent="0.25">
      <c r="A54" s="21">
        <v>45369</v>
      </c>
      <c r="B54" vm="158">
        <v>278.58</v>
      </c>
    </row>
    <row r="55" spans="1:2" x14ac:dyDescent="0.25">
      <c r="A55" s="21">
        <v>45369</v>
      </c>
      <c r="B55" vm="161">
        <v>282.87</v>
      </c>
    </row>
    <row r="56" spans="1:2" x14ac:dyDescent="0.25">
      <c r="A56" s="21">
        <v>45369</v>
      </c>
      <c r="B56" vm="164">
        <v>284.45</v>
      </c>
    </row>
    <row r="57" spans="1:2" x14ac:dyDescent="0.25">
      <c r="A57" s="21">
        <v>45369</v>
      </c>
      <c r="B57" vm="167">
        <v>283.52999999999997</v>
      </c>
    </row>
    <row r="58" spans="1:2" x14ac:dyDescent="0.25">
      <c r="A58" s="21">
        <v>45369</v>
      </c>
      <c r="B58" vm="170">
        <v>282.63</v>
      </c>
    </row>
    <row r="59" spans="1:2" x14ac:dyDescent="0.25">
      <c r="A59" s="21">
        <v>45376</v>
      </c>
      <c r="B59" vm="173">
        <v>278.62</v>
      </c>
    </row>
    <row r="60" spans="1:2" x14ac:dyDescent="0.25">
      <c r="A60" s="21">
        <v>45376</v>
      </c>
      <c r="B60" vm="173">
        <v>278.62</v>
      </c>
    </row>
    <row r="61" spans="1:2" x14ac:dyDescent="0.25">
      <c r="A61" s="21">
        <v>45376</v>
      </c>
      <c r="B61" vm="178">
        <v>282.02</v>
      </c>
    </row>
    <row r="62" spans="1:2" x14ac:dyDescent="0.25">
      <c r="A62" s="21">
        <v>45376</v>
      </c>
      <c r="B62" vm="181">
        <v>281.95</v>
      </c>
    </row>
    <row r="63" spans="1:2" x14ac:dyDescent="0.25">
      <c r="A63" s="21">
        <v>45383</v>
      </c>
      <c r="B63" vm="184">
        <v>280.22000000000003</v>
      </c>
    </row>
    <row r="64" spans="1:2" x14ac:dyDescent="0.25">
      <c r="A64" s="21">
        <v>45383</v>
      </c>
      <c r="B64" vm="187">
        <v>277.74</v>
      </c>
    </row>
    <row r="65" spans="1:2" x14ac:dyDescent="0.25">
      <c r="A65" s="21">
        <v>45383</v>
      </c>
      <c r="B65" vm="190">
        <v>275.54000000000002</v>
      </c>
    </row>
    <row r="66" spans="1:2" x14ac:dyDescent="0.25">
      <c r="A66" s="21">
        <v>45383</v>
      </c>
      <c r="B66" vm="193">
        <v>270.08999999999997</v>
      </c>
    </row>
    <row r="67" spans="1:2" x14ac:dyDescent="0.25">
      <c r="A67" s="21">
        <v>45383</v>
      </c>
      <c r="B67" vm="196">
        <v>266.69</v>
      </c>
    </row>
    <row r="68" spans="1:2" x14ac:dyDescent="0.25">
      <c r="A68" s="21">
        <v>45390</v>
      </c>
      <c r="B68" vm="199">
        <v>267.56</v>
      </c>
    </row>
    <row r="69" spans="1:2" x14ac:dyDescent="0.25">
      <c r="A69" s="21">
        <v>45390</v>
      </c>
      <c r="B69" vm="202">
        <v>269.44</v>
      </c>
    </row>
    <row r="70" spans="1:2" x14ac:dyDescent="0.25">
      <c r="A70" s="21">
        <v>45390</v>
      </c>
      <c r="B70" vm="205">
        <v>268.67</v>
      </c>
    </row>
    <row r="71" spans="1:2" x14ac:dyDescent="0.25">
      <c r="A71" s="21">
        <v>45390</v>
      </c>
      <c r="B71" vm="208">
        <v>268.62</v>
      </c>
    </row>
    <row r="72" spans="1:2" x14ac:dyDescent="0.25">
      <c r="A72" s="21">
        <v>45390</v>
      </c>
      <c r="B72" vm="211">
        <v>267.39</v>
      </c>
    </row>
    <row r="73" spans="1:2" x14ac:dyDescent="0.25">
      <c r="A73" s="21">
        <v>45397</v>
      </c>
      <c r="B73" vm="214">
        <v>266.23</v>
      </c>
    </row>
    <row r="74" spans="1:2" x14ac:dyDescent="0.25">
      <c r="A74" s="21">
        <v>45397</v>
      </c>
      <c r="B74" vm="217">
        <v>265.43</v>
      </c>
    </row>
    <row r="75" spans="1:2" x14ac:dyDescent="0.25">
      <c r="A75" s="21">
        <v>45397</v>
      </c>
      <c r="B75" vm="220">
        <v>269.95</v>
      </c>
    </row>
    <row r="76" spans="1:2" x14ac:dyDescent="0.25">
      <c r="A76" s="21">
        <v>45397</v>
      </c>
      <c r="B76" vm="223">
        <v>270.98</v>
      </c>
    </row>
    <row r="77" spans="1:2" x14ac:dyDescent="0.25">
      <c r="A77" s="21">
        <v>45397</v>
      </c>
      <c r="B77" vm="226">
        <v>271.99</v>
      </c>
    </row>
    <row r="78" spans="1:2" x14ac:dyDescent="0.25">
      <c r="A78" s="21">
        <v>45404</v>
      </c>
      <c r="B78" vm="229">
        <v>275.58</v>
      </c>
    </row>
    <row r="79" spans="1:2" x14ac:dyDescent="0.25">
      <c r="A79" s="21">
        <v>45404</v>
      </c>
      <c r="B79" vm="232">
        <v>276.88</v>
      </c>
    </row>
    <row r="80" spans="1:2" x14ac:dyDescent="0.25">
      <c r="A80" s="21">
        <v>45404</v>
      </c>
      <c r="B80" vm="235">
        <v>276.75</v>
      </c>
    </row>
    <row r="81" spans="1:2" x14ac:dyDescent="0.25">
      <c r="A81" s="21">
        <v>45404</v>
      </c>
      <c r="B81" vm="238">
        <v>275.60000000000002</v>
      </c>
    </row>
    <row r="82" spans="1:2" x14ac:dyDescent="0.25">
      <c r="A82" s="21">
        <v>45404</v>
      </c>
      <c r="B82" vm="241">
        <v>273.08999999999997</v>
      </c>
    </row>
    <row r="83" spans="1:2" x14ac:dyDescent="0.25">
      <c r="A83" s="21">
        <v>45411</v>
      </c>
      <c r="B83" vm="244">
        <v>273.55</v>
      </c>
    </row>
    <row r="84" spans="1:2" x14ac:dyDescent="0.25">
      <c r="A84" s="21">
        <v>45411</v>
      </c>
      <c r="B84" vm="247">
        <v>273.04000000000002</v>
      </c>
    </row>
    <row r="85" spans="1:2" x14ac:dyDescent="0.25">
      <c r="A85" s="21">
        <v>45411</v>
      </c>
      <c r="B85" vm="250">
        <v>274.43</v>
      </c>
    </row>
    <row r="86" spans="1:2" x14ac:dyDescent="0.25">
      <c r="A86" s="21">
        <v>45411</v>
      </c>
      <c r="B86" vm="253">
        <v>273.27999999999997</v>
      </c>
    </row>
    <row r="87" spans="1:2" x14ac:dyDescent="0.25">
      <c r="A87" s="21">
        <v>45411</v>
      </c>
      <c r="B87" vm="256">
        <v>270.32</v>
      </c>
    </row>
    <row r="88" spans="1:2" x14ac:dyDescent="0.25">
      <c r="A88" s="21">
        <v>45418</v>
      </c>
      <c r="B88" vm="259">
        <v>269.3</v>
      </c>
    </row>
    <row r="89" spans="1:2" x14ac:dyDescent="0.25">
      <c r="A89" s="21">
        <v>45418</v>
      </c>
      <c r="B89" vm="262">
        <v>267.5</v>
      </c>
    </row>
    <row r="90" spans="1:2" x14ac:dyDescent="0.25">
      <c r="A90" s="21">
        <v>45418</v>
      </c>
      <c r="B90" vm="265">
        <v>268.49</v>
      </c>
    </row>
    <row r="91" spans="1:2" x14ac:dyDescent="0.25">
      <c r="A91" s="21">
        <v>45418</v>
      </c>
      <c r="B91" vm="268">
        <v>267.95</v>
      </c>
    </row>
    <row r="92" spans="1:2" x14ac:dyDescent="0.25">
      <c r="A92" s="21">
        <v>45418</v>
      </c>
      <c r="B92" vm="271">
        <v>275</v>
      </c>
    </row>
    <row r="93" spans="1:2" x14ac:dyDescent="0.25">
      <c r="A93" s="21">
        <v>45425</v>
      </c>
      <c r="B93" vm="274">
        <v>271.32</v>
      </c>
    </row>
    <row r="94" spans="1:2" x14ac:dyDescent="0.25">
      <c r="A94" s="21">
        <v>45425</v>
      </c>
      <c r="B94" vm="277">
        <v>270.66000000000003</v>
      </c>
    </row>
    <row r="95" spans="1:2" x14ac:dyDescent="0.25">
      <c r="A95" s="21">
        <v>45425</v>
      </c>
      <c r="B95" vm="280">
        <v>273.87</v>
      </c>
    </row>
    <row r="96" spans="1:2" x14ac:dyDescent="0.25">
      <c r="A96" s="21">
        <v>45425</v>
      </c>
      <c r="B96" vm="283">
        <v>273.51</v>
      </c>
    </row>
    <row r="97" spans="1:2" x14ac:dyDescent="0.25">
      <c r="A97" s="21">
        <v>45425</v>
      </c>
      <c r="B97" vm="286">
        <v>272.38</v>
      </c>
    </row>
    <row r="98" spans="1:2" x14ac:dyDescent="0.25">
      <c r="A98" s="21">
        <v>45432</v>
      </c>
      <c r="B98" vm="289">
        <v>267.87</v>
      </c>
    </row>
    <row r="99" spans="1:2" x14ac:dyDescent="0.25">
      <c r="A99" s="21">
        <v>45432</v>
      </c>
      <c r="B99" vm="292">
        <v>265.87</v>
      </c>
    </row>
    <row r="100" spans="1:2" x14ac:dyDescent="0.25">
      <c r="A100" s="21">
        <v>45432</v>
      </c>
      <c r="B100" vm="295">
        <v>265.77</v>
      </c>
    </row>
    <row r="101" spans="1:2" x14ac:dyDescent="0.25">
      <c r="A101" s="21">
        <v>45432</v>
      </c>
      <c r="B101" vm="298">
        <v>257.93</v>
      </c>
    </row>
    <row r="102" spans="1:2" x14ac:dyDescent="0.25">
      <c r="A102" s="21">
        <v>45432</v>
      </c>
      <c r="B102" vm="301">
        <v>258.11</v>
      </c>
    </row>
    <row r="103" spans="1:2" x14ac:dyDescent="0.25">
      <c r="A103" s="21">
        <v>45439</v>
      </c>
      <c r="B103" vm="304">
        <v>253.54</v>
      </c>
    </row>
    <row r="104" spans="1:2" x14ac:dyDescent="0.25">
      <c r="A104" s="21">
        <v>45439</v>
      </c>
      <c r="B104" vm="307">
        <v>249.37</v>
      </c>
    </row>
    <row r="105" spans="1:2" x14ac:dyDescent="0.25">
      <c r="A105" s="21">
        <v>45439</v>
      </c>
      <c r="B105" vm="310">
        <v>252.07</v>
      </c>
    </row>
    <row r="106" spans="1:2" x14ac:dyDescent="0.25">
      <c r="A106" s="21">
        <v>45439</v>
      </c>
      <c r="B106" vm="313">
        <v>258.89</v>
      </c>
    </row>
    <row r="107" spans="1:2" x14ac:dyDescent="0.25">
      <c r="A107" s="21">
        <v>45446</v>
      </c>
      <c r="B107" vm="316">
        <v>259.75</v>
      </c>
    </row>
    <row r="108" spans="1:2" x14ac:dyDescent="0.25">
      <c r="A108" s="21">
        <v>45446</v>
      </c>
      <c r="B108" vm="319">
        <v>262.72000000000003</v>
      </c>
    </row>
    <row r="109" spans="1:2" x14ac:dyDescent="0.25">
      <c r="A109" s="21">
        <v>45446</v>
      </c>
      <c r="B109" vm="322">
        <v>259.99</v>
      </c>
    </row>
    <row r="110" spans="1:2" x14ac:dyDescent="0.25">
      <c r="A110" s="21">
        <v>45446</v>
      </c>
      <c r="B110" vm="325">
        <v>260.72000000000003</v>
      </c>
    </row>
    <row r="111" spans="1:2" x14ac:dyDescent="0.25">
      <c r="A111" s="21">
        <v>45446</v>
      </c>
      <c r="B111" vm="328">
        <v>256.20999999999998</v>
      </c>
    </row>
    <row r="112" spans="1:2" x14ac:dyDescent="0.25">
      <c r="A112" s="21">
        <v>45453</v>
      </c>
      <c r="B112" vm="331">
        <v>253.81</v>
      </c>
    </row>
    <row r="113" spans="1:2" x14ac:dyDescent="0.25">
      <c r="A113" s="21">
        <v>45453</v>
      </c>
      <c r="B113" vm="334">
        <v>254.28</v>
      </c>
    </row>
    <row r="114" spans="1:2" x14ac:dyDescent="0.25">
      <c r="A114" s="21">
        <v>45453</v>
      </c>
      <c r="B114" vm="337">
        <v>254.48</v>
      </c>
    </row>
    <row r="115" spans="1:2" x14ac:dyDescent="0.25">
      <c r="A115" s="21">
        <v>45453</v>
      </c>
      <c r="B115" vm="340">
        <v>253.7</v>
      </c>
    </row>
    <row r="116" spans="1:2" x14ac:dyDescent="0.25">
      <c r="A116" s="21">
        <v>45453</v>
      </c>
      <c r="B116" vm="343">
        <v>253.58</v>
      </c>
    </row>
    <row r="117" spans="1:2" x14ac:dyDescent="0.25">
      <c r="A117" s="21">
        <v>45460</v>
      </c>
      <c r="B117" vm="346">
        <v>253.51</v>
      </c>
    </row>
    <row r="118" spans="1:2" x14ac:dyDescent="0.25">
      <c r="A118" s="21">
        <v>45460</v>
      </c>
      <c r="B118" vm="349">
        <v>250.79</v>
      </c>
    </row>
    <row r="119" spans="1:2" x14ac:dyDescent="0.25">
      <c r="A119" s="21">
        <v>45460</v>
      </c>
      <c r="B119" vm="352">
        <v>253.8</v>
      </c>
    </row>
    <row r="120" spans="1:2" x14ac:dyDescent="0.25">
      <c r="A120" s="21">
        <v>45460</v>
      </c>
      <c r="B120" vm="355">
        <v>259.39</v>
      </c>
    </row>
    <row r="121" spans="1:2" x14ac:dyDescent="0.25">
      <c r="A121" s="21">
        <v>45467</v>
      </c>
      <c r="B121" vm="358">
        <v>260.38</v>
      </c>
    </row>
    <row r="122" spans="1:2" x14ac:dyDescent="0.25">
      <c r="A122" s="21">
        <v>45467</v>
      </c>
      <c r="B122" vm="361">
        <v>257.38</v>
      </c>
    </row>
    <row r="123" spans="1:2" x14ac:dyDescent="0.25">
      <c r="A123" s="21">
        <v>45467</v>
      </c>
      <c r="B123" vm="364">
        <v>257.83</v>
      </c>
    </row>
    <row r="124" spans="1:2" x14ac:dyDescent="0.25">
      <c r="A124" s="21">
        <v>45467</v>
      </c>
      <c r="B124" vm="367">
        <v>258.17</v>
      </c>
    </row>
    <row r="125" spans="1:2" x14ac:dyDescent="0.25">
      <c r="A125" s="21">
        <v>45467</v>
      </c>
      <c r="B125" vm="370">
        <v>254.84</v>
      </c>
    </row>
    <row r="126" spans="1:2" x14ac:dyDescent="0.25">
      <c r="A126" s="21">
        <v>45474</v>
      </c>
      <c r="B126" vm="373">
        <v>249.99</v>
      </c>
    </row>
    <row r="127" spans="1:2" x14ac:dyDescent="0.25">
      <c r="A127" s="21">
        <v>45474</v>
      </c>
      <c r="B127" vm="376">
        <v>247.79</v>
      </c>
    </row>
    <row r="128" spans="1:2" x14ac:dyDescent="0.25">
      <c r="A128" s="21">
        <v>45474</v>
      </c>
      <c r="B128" vm="379">
        <v>250</v>
      </c>
    </row>
    <row r="129" spans="1:2" x14ac:dyDescent="0.25">
      <c r="A129" s="21">
        <v>45474</v>
      </c>
      <c r="B129" vm="382">
        <v>251.09</v>
      </c>
    </row>
    <row r="130" spans="1:2" x14ac:dyDescent="0.25">
      <c r="A130" s="21">
        <v>45481</v>
      </c>
      <c r="B130" vm="385">
        <v>247.85</v>
      </c>
    </row>
    <row r="131" spans="1:2" x14ac:dyDescent="0.25">
      <c r="A131" s="21">
        <v>45481</v>
      </c>
      <c r="B131" vm="388">
        <v>245.82</v>
      </c>
    </row>
    <row r="132" spans="1:2" x14ac:dyDescent="0.25">
      <c r="A132" s="21">
        <v>45481</v>
      </c>
      <c r="B132" vm="391">
        <v>250.49</v>
      </c>
    </row>
    <row r="133" spans="1:2" x14ac:dyDescent="0.25">
      <c r="A133" s="21">
        <v>45481</v>
      </c>
      <c r="B133" vm="394">
        <v>254.8</v>
      </c>
    </row>
    <row r="134" spans="1:2" x14ac:dyDescent="0.25">
      <c r="A134" s="21">
        <v>45481</v>
      </c>
      <c r="B134" vm="397">
        <v>253.9</v>
      </c>
    </row>
    <row r="135" spans="1:2" x14ac:dyDescent="0.25">
      <c r="A135" s="21">
        <v>45488</v>
      </c>
      <c r="B135" vm="400">
        <v>251.53</v>
      </c>
    </row>
    <row r="136" spans="1:2" x14ac:dyDescent="0.25">
      <c r="A136" s="21">
        <v>45488</v>
      </c>
      <c r="B136" vm="403">
        <v>257.27</v>
      </c>
    </row>
    <row r="137" spans="1:2" x14ac:dyDescent="0.25">
      <c r="A137" s="21">
        <v>45488</v>
      </c>
      <c r="B137" vm="406">
        <v>261</v>
      </c>
    </row>
    <row r="138" spans="1:2" x14ac:dyDescent="0.25">
      <c r="A138" s="21">
        <v>45488</v>
      </c>
      <c r="B138" vm="409">
        <v>259.52</v>
      </c>
    </row>
    <row r="139" spans="1:2" x14ac:dyDescent="0.25">
      <c r="A139" s="21">
        <v>45488</v>
      </c>
      <c r="B139" vm="412">
        <v>257.27999999999997</v>
      </c>
    </row>
    <row r="140" spans="1:2" x14ac:dyDescent="0.25">
      <c r="A140" s="21">
        <v>45495</v>
      </c>
      <c r="B140" vm="415">
        <v>259.54000000000002</v>
      </c>
    </row>
    <row r="141" spans="1:2" x14ac:dyDescent="0.25">
      <c r="A141" s="21">
        <v>45495</v>
      </c>
      <c r="B141" vm="418">
        <v>254.05</v>
      </c>
    </row>
    <row r="142" spans="1:2" x14ac:dyDescent="0.25">
      <c r="A142" s="21">
        <v>45495</v>
      </c>
      <c r="B142" vm="421">
        <v>253.37</v>
      </c>
    </row>
    <row r="143" spans="1:2" x14ac:dyDescent="0.25">
      <c r="A143" s="21">
        <v>45495</v>
      </c>
      <c r="B143" vm="424">
        <v>251.46</v>
      </c>
    </row>
    <row r="144" spans="1:2" x14ac:dyDescent="0.25">
      <c r="A144" s="21">
        <v>45495</v>
      </c>
      <c r="B144" vm="427">
        <v>252</v>
      </c>
    </row>
    <row r="145" spans="1:2" x14ac:dyDescent="0.25">
      <c r="A145" s="21">
        <v>45502</v>
      </c>
      <c r="B145" vm="430">
        <v>261.42</v>
      </c>
    </row>
    <row r="146" spans="1:2" x14ac:dyDescent="0.25">
      <c r="A146" s="21">
        <v>45502</v>
      </c>
      <c r="B146" vm="433">
        <v>266.44</v>
      </c>
    </row>
    <row r="147" spans="1:2" x14ac:dyDescent="0.25">
      <c r="A147" s="21">
        <v>45502</v>
      </c>
      <c r="B147" vm="436">
        <v>265.39999999999998</v>
      </c>
    </row>
    <row r="148" spans="1:2" x14ac:dyDescent="0.25">
      <c r="A148" s="21">
        <v>45502</v>
      </c>
      <c r="B148" vm="439">
        <v>268.75</v>
      </c>
    </row>
    <row r="149" spans="1:2" x14ac:dyDescent="0.25">
      <c r="A149" s="21">
        <v>45502</v>
      </c>
      <c r="B149" vm="442">
        <v>276.69</v>
      </c>
    </row>
    <row r="150" spans="1:2" x14ac:dyDescent="0.25">
      <c r="A150" s="21">
        <v>45509</v>
      </c>
      <c r="B150" vm="445">
        <v>268.45</v>
      </c>
    </row>
    <row r="151" spans="1:2" x14ac:dyDescent="0.25">
      <c r="A151" s="21">
        <v>45509</v>
      </c>
      <c r="B151" vm="448">
        <v>270.06</v>
      </c>
    </row>
    <row r="152" spans="1:2" x14ac:dyDescent="0.25">
      <c r="A152" s="21">
        <v>45509</v>
      </c>
      <c r="B152" vm="451">
        <v>269.37</v>
      </c>
    </row>
    <row r="153" spans="1:2" x14ac:dyDescent="0.25">
      <c r="A153" s="21">
        <v>45509</v>
      </c>
      <c r="B153" vm="454">
        <v>271.19</v>
      </c>
    </row>
    <row r="154" spans="1:2" x14ac:dyDescent="0.25">
      <c r="A154" s="21">
        <v>45509</v>
      </c>
      <c r="B154" vm="457">
        <v>267.91000000000003</v>
      </c>
    </row>
    <row r="155" spans="1:2" x14ac:dyDescent="0.25">
      <c r="A155" s="21">
        <v>45516</v>
      </c>
      <c r="B155" vm="460">
        <v>269.45999999999998</v>
      </c>
    </row>
    <row r="156" spans="1:2" x14ac:dyDescent="0.25">
      <c r="A156" s="21">
        <v>45516</v>
      </c>
      <c r="B156" vm="463">
        <v>270.31</v>
      </c>
    </row>
    <row r="157" spans="1:2" x14ac:dyDescent="0.25">
      <c r="A157" s="21">
        <v>45516</v>
      </c>
      <c r="B157" vm="466">
        <v>271.14999999999998</v>
      </c>
    </row>
    <row r="158" spans="1:2" x14ac:dyDescent="0.25">
      <c r="A158" s="21">
        <v>45516</v>
      </c>
      <c r="B158" vm="469">
        <v>274.87</v>
      </c>
    </row>
    <row r="159" spans="1:2" x14ac:dyDescent="0.25">
      <c r="A159" s="21">
        <v>45516</v>
      </c>
      <c r="B159" vm="472">
        <v>278.49</v>
      </c>
    </row>
    <row r="160" spans="1:2" x14ac:dyDescent="0.25">
      <c r="A160" s="21">
        <v>45523</v>
      </c>
      <c r="B160" vm="475">
        <v>287.55</v>
      </c>
    </row>
    <row r="161" spans="1:2" x14ac:dyDescent="0.25">
      <c r="A161" s="21">
        <v>45523</v>
      </c>
      <c r="B161" vm="478">
        <v>285.63</v>
      </c>
    </row>
    <row r="162" spans="1:2" x14ac:dyDescent="0.25">
      <c r="A162" s="21">
        <v>45523</v>
      </c>
      <c r="B162" vm="481">
        <v>289.70999999999998</v>
      </c>
    </row>
    <row r="163" spans="1:2" x14ac:dyDescent="0.25">
      <c r="A163" s="21">
        <v>45523</v>
      </c>
      <c r="B163" vm="484">
        <v>289.20999999999998</v>
      </c>
    </row>
    <row r="164" spans="1:2" x14ac:dyDescent="0.25">
      <c r="A164" s="21">
        <v>45523</v>
      </c>
      <c r="B164" vm="487">
        <v>289.52</v>
      </c>
    </row>
    <row r="165" spans="1:2" x14ac:dyDescent="0.25">
      <c r="A165" s="21">
        <v>45530</v>
      </c>
      <c r="B165" vm="490">
        <v>288.68</v>
      </c>
    </row>
    <row r="166" spans="1:2" x14ac:dyDescent="0.25">
      <c r="A166" s="21">
        <v>45530</v>
      </c>
      <c r="B166" vm="493">
        <v>289.64</v>
      </c>
    </row>
    <row r="167" spans="1:2" x14ac:dyDescent="0.25">
      <c r="A167" s="21">
        <v>45530</v>
      </c>
      <c r="B167" vm="496">
        <v>287.05</v>
      </c>
    </row>
    <row r="168" spans="1:2" x14ac:dyDescent="0.25">
      <c r="A168" s="21">
        <v>45530</v>
      </c>
      <c r="B168" vm="499">
        <v>287.86</v>
      </c>
    </row>
    <row r="169" spans="1:2" x14ac:dyDescent="0.25">
      <c r="A169" s="21">
        <v>45530</v>
      </c>
      <c r="B169" vm="502">
        <v>288.66000000000003</v>
      </c>
    </row>
    <row r="170" spans="1:2" x14ac:dyDescent="0.25">
      <c r="A170" s="21">
        <v>45537</v>
      </c>
      <c r="B170" vm="505">
        <v>285.52</v>
      </c>
    </row>
    <row r="171" spans="1:2" x14ac:dyDescent="0.25">
      <c r="A171" s="21">
        <v>45537</v>
      </c>
      <c r="B171" vm="508">
        <v>288.02999999999997</v>
      </c>
    </row>
    <row r="172" spans="1:2" x14ac:dyDescent="0.25">
      <c r="A172" s="21">
        <v>45537</v>
      </c>
      <c r="B172" vm="511">
        <v>287.97000000000003</v>
      </c>
    </row>
    <row r="173" spans="1:2" x14ac:dyDescent="0.25">
      <c r="A173" s="21">
        <v>45537</v>
      </c>
      <c r="B173" vm="514">
        <v>289.51</v>
      </c>
    </row>
    <row r="174" spans="1:2" x14ac:dyDescent="0.25">
      <c r="A174" s="21">
        <v>45544</v>
      </c>
      <c r="B174" vm="517">
        <v>291.29000000000002</v>
      </c>
    </row>
    <row r="175" spans="1:2" x14ac:dyDescent="0.25">
      <c r="A175" s="21">
        <v>45544</v>
      </c>
      <c r="B175" vm="520">
        <v>291.27</v>
      </c>
    </row>
    <row r="176" spans="1:2" x14ac:dyDescent="0.25">
      <c r="A176" s="21">
        <v>45544</v>
      </c>
      <c r="B176" vm="523">
        <v>290.23</v>
      </c>
    </row>
    <row r="177" spans="1:2" x14ac:dyDescent="0.25">
      <c r="A177" s="21">
        <v>45544</v>
      </c>
      <c r="B177" vm="526">
        <v>292.35000000000002</v>
      </c>
    </row>
    <row r="178" spans="1:2" x14ac:dyDescent="0.25">
      <c r="A178" s="21">
        <v>45544</v>
      </c>
      <c r="B178" vm="529">
        <v>296.52999999999997</v>
      </c>
    </row>
    <row r="179" spans="1:2" x14ac:dyDescent="0.25">
      <c r="A179" s="21">
        <v>45551</v>
      </c>
      <c r="B179" vm="532">
        <v>296.69</v>
      </c>
    </row>
    <row r="180" spans="1:2" x14ac:dyDescent="0.25">
      <c r="A180" s="21">
        <v>45551</v>
      </c>
      <c r="B180" vm="535">
        <v>293.75</v>
      </c>
    </row>
    <row r="181" spans="1:2" x14ac:dyDescent="0.25">
      <c r="A181" s="21">
        <v>45551</v>
      </c>
      <c r="B181" vm="538">
        <v>292.02999999999997</v>
      </c>
    </row>
    <row r="182" spans="1:2" x14ac:dyDescent="0.25">
      <c r="A182" s="21">
        <v>45551</v>
      </c>
      <c r="B182" vm="541">
        <v>293.85000000000002</v>
      </c>
    </row>
    <row r="183" spans="1:2" x14ac:dyDescent="0.25">
      <c r="A183" s="21">
        <v>45551</v>
      </c>
      <c r="B183" vm="544">
        <v>296.83</v>
      </c>
    </row>
    <row r="184" spans="1:2" x14ac:dyDescent="0.25">
      <c r="A184" s="21">
        <v>45558</v>
      </c>
      <c r="B184" vm="547">
        <v>299.06</v>
      </c>
    </row>
    <row r="185" spans="1:2" x14ac:dyDescent="0.25">
      <c r="A185" s="21">
        <v>45558</v>
      </c>
      <c r="B185" vm="550">
        <v>300.27</v>
      </c>
    </row>
    <row r="186" spans="1:2" x14ac:dyDescent="0.25">
      <c r="A186" s="21">
        <v>45558</v>
      </c>
      <c r="B186" vm="553">
        <v>300.47000000000003</v>
      </c>
    </row>
    <row r="187" spans="1:2" x14ac:dyDescent="0.25">
      <c r="A187" s="21">
        <v>45558</v>
      </c>
      <c r="B187" vm="556">
        <v>303.64999999999998</v>
      </c>
    </row>
    <row r="188" spans="1:2" x14ac:dyDescent="0.25">
      <c r="A188" s="21">
        <v>45558</v>
      </c>
      <c r="B188" vm="559">
        <v>303.69</v>
      </c>
    </row>
    <row r="189" spans="1:2" x14ac:dyDescent="0.25">
      <c r="A189" s="21">
        <v>45565</v>
      </c>
      <c r="B189" vm="562">
        <v>304.51</v>
      </c>
    </row>
    <row r="190" spans="1:2" x14ac:dyDescent="0.25">
      <c r="A190" s="21">
        <v>45565</v>
      </c>
      <c r="B190" vm="565">
        <v>302.98</v>
      </c>
    </row>
    <row r="191" spans="1:2" x14ac:dyDescent="0.25">
      <c r="A191" s="21">
        <v>45565</v>
      </c>
      <c r="B191" vm="568">
        <v>303.76</v>
      </c>
    </row>
    <row r="192" spans="1:2" x14ac:dyDescent="0.25">
      <c r="A192" s="21">
        <v>45565</v>
      </c>
      <c r="B192" vm="571">
        <v>303.45</v>
      </c>
    </row>
    <row r="193" spans="1:2" x14ac:dyDescent="0.25">
      <c r="A193" s="21">
        <v>45565</v>
      </c>
      <c r="B193" vm="568">
        <v>303.76</v>
      </c>
    </row>
    <row r="194" spans="1:2" x14ac:dyDescent="0.25">
      <c r="A194" s="21">
        <v>45572</v>
      </c>
      <c r="B194" vm="576">
        <v>300.85000000000002</v>
      </c>
    </row>
    <row r="195" spans="1:2" x14ac:dyDescent="0.25">
      <c r="A195" s="21">
        <v>45572</v>
      </c>
      <c r="B195" vm="579">
        <v>301.89999999999998</v>
      </c>
    </row>
    <row r="196" spans="1:2" x14ac:dyDescent="0.25">
      <c r="A196" s="21">
        <v>45572</v>
      </c>
      <c r="B196" vm="582">
        <v>303.83</v>
      </c>
    </row>
    <row r="197" spans="1:2" x14ac:dyDescent="0.25">
      <c r="A197" s="21">
        <v>45572</v>
      </c>
      <c r="B197" vm="585">
        <v>304.04000000000002</v>
      </c>
    </row>
    <row r="198" spans="1:2" x14ac:dyDescent="0.25">
      <c r="A198" s="21">
        <v>45572</v>
      </c>
      <c r="B198" vm="588">
        <v>305.04000000000002</v>
      </c>
    </row>
    <row r="199" spans="1:2" x14ac:dyDescent="0.25">
      <c r="A199" s="21">
        <v>45579</v>
      </c>
      <c r="B199" vm="591">
        <v>309.83999999999997</v>
      </c>
    </row>
    <row r="200" spans="1:2" x14ac:dyDescent="0.25">
      <c r="A200" s="21">
        <v>45579</v>
      </c>
      <c r="B200" vm="594">
        <v>313.33999999999997</v>
      </c>
    </row>
    <row r="201" spans="1:2" x14ac:dyDescent="0.25">
      <c r="A201" s="21">
        <v>45579</v>
      </c>
      <c r="B201" vm="597">
        <v>312.92</v>
      </c>
    </row>
    <row r="202" spans="1:2" x14ac:dyDescent="0.25">
      <c r="A202" s="21">
        <v>45579</v>
      </c>
      <c r="B202" vm="600">
        <v>314.7</v>
      </c>
    </row>
    <row r="203" spans="1:2" x14ac:dyDescent="0.25">
      <c r="A203" s="21">
        <v>45579</v>
      </c>
      <c r="B203" vm="603">
        <v>316.56</v>
      </c>
    </row>
    <row r="204" spans="1:2" x14ac:dyDescent="0.25">
      <c r="A204" s="21">
        <v>45586</v>
      </c>
      <c r="B204" vm="606">
        <v>314.89</v>
      </c>
    </row>
    <row r="205" spans="1:2" x14ac:dyDescent="0.25">
      <c r="A205" s="21">
        <v>45586</v>
      </c>
      <c r="B205" vm="609">
        <v>314.69</v>
      </c>
    </row>
    <row r="206" spans="1:2" x14ac:dyDescent="0.25">
      <c r="A206" s="21">
        <v>45586</v>
      </c>
      <c r="B206" vm="612">
        <v>298.57</v>
      </c>
    </row>
    <row r="207" spans="1:2" x14ac:dyDescent="0.25">
      <c r="A207" s="21">
        <v>45586</v>
      </c>
      <c r="B207" vm="615">
        <v>301.58</v>
      </c>
    </row>
    <row r="208" spans="1:2" x14ac:dyDescent="0.25">
      <c r="A208" s="21">
        <v>45586</v>
      </c>
      <c r="B208" vm="618">
        <v>292.61</v>
      </c>
    </row>
    <row r="209" spans="1:2" x14ac:dyDescent="0.25">
      <c r="A209" s="21">
        <v>45593</v>
      </c>
      <c r="B209" vm="621">
        <v>296.79000000000002</v>
      </c>
    </row>
    <row r="210" spans="1:2" x14ac:dyDescent="0.25">
      <c r="A210" s="21">
        <v>45593</v>
      </c>
      <c r="B210" vm="624">
        <v>295</v>
      </c>
    </row>
    <row r="211" spans="1:2" x14ac:dyDescent="0.25">
      <c r="A211" s="21">
        <v>45593</v>
      </c>
      <c r="B211" vm="627">
        <v>291.52</v>
      </c>
    </row>
    <row r="212" spans="1:2" x14ac:dyDescent="0.25">
      <c r="A212" s="21">
        <v>45593</v>
      </c>
      <c r="B212" vm="630">
        <v>292.11</v>
      </c>
    </row>
    <row r="213" spans="1:2" x14ac:dyDescent="0.25">
      <c r="A213" s="21">
        <v>45593</v>
      </c>
      <c r="B213" vm="633">
        <v>295.20999999999998</v>
      </c>
    </row>
    <row r="214" spans="1:2" x14ac:dyDescent="0.25">
      <c r="A214" s="21">
        <v>45600</v>
      </c>
      <c r="B214" vm="636">
        <v>292.85000000000002</v>
      </c>
    </row>
    <row r="215" spans="1:2" x14ac:dyDescent="0.25">
      <c r="A215" s="21">
        <v>45600</v>
      </c>
      <c r="B215" vm="639">
        <v>297.32</v>
      </c>
    </row>
    <row r="216" spans="1:2" x14ac:dyDescent="0.25">
      <c r="A216" s="21">
        <v>45600</v>
      </c>
      <c r="B216" vm="642">
        <v>294</v>
      </c>
    </row>
    <row r="217" spans="1:2" x14ac:dyDescent="0.25">
      <c r="A217" s="21">
        <v>45600</v>
      </c>
      <c r="B217" vm="645">
        <v>294.66000000000003</v>
      </c>
    </row>
    <row r="218" spans="1:2" x14ac:dyDescent="0.25">
      <c r="A218" s="21">
        <v>45600</v>
      </c>
      <c r="B218" vm="648">
        <v>298.97000000000003</v>
      </c>
    </row>
    <row r="219" spans="1:2" x14ac:dyDescent="0.25">
      <c r="A219" s="21">
        <v>45607</v>
      </c>
      <c r="B219" vm="651">
        <v>301.52999999999997</v>
      </c>
    </row>
    <row r="220" spans="1:2" x14ac:dyDescent="0.25">
      <c r="A220" s="21">
        <v>45607</v>
      </c>
      <c r="B220" vm="654">
        <v>298.64999999999998</v>
      </c>
    </row>
    <row r="221" spans="1:2" x14ac:dyDescent="0.25">
      <c r="A221" s="21">
        <v>45607</v>
      </c>
      <c r="B221" vm="657">
        <v>297.35000000000002</v>
      </c>
    </row>
    <row r="222" spans="1:2" x14ac:dyDescent="0.25">
      <c r="A222" s="21">
        <v>45607</v>
      </c>
      <c r="B222" vm="660">
        <v>298.56</v>
      </c>
    </row>
    <row r="223" spans="1:2" x14ac:dyDescent="0.25">
      <c r="A223" s="21">
        <v>45607</v>
      </c>
      <c r="B223" vm="663">
        <v>292.63</v>
      </c>
    </row>
    <row r="224" spans="1:2" x14ac:dyDescent="0.25">
      <c r="A224" s="21">
        <v>45614</v>
      </c>
      <c r="B224" vm="666">
        <v>291.10000000000002</v>
      </c>
    </row>
    <row r="225" spans="1:2" x14ac:dyDescent="0.25">
      <c r="A225" s="21">
        <v>45614</v>
      </c>
      <c r="B225" vm="125">
        <v>290.73</v>
      </c>
    </row>
    <row r="226" spans="1:2" x14ac:dyDescent="0.25">
      <c r="A226" s="21">
        <v>45614</v>
      </c>
      <c r="B226" vm="671">
        <v>290.91000000000003</v>
      </c>
    </row>
    <row r="227" spans="1:2" x14ac:dyDescent="0.25">
      <c r="A227" s="21">
        <v>45614</v>
      </c>
      <c r="B227" vm="674">
        <v>288.47000000000003</v>
      </c>
    </row>
    <row r="228" spans="1:2" x14ac:dyDescent="0.25">
      <c r="A228" s="21">
        <v>45614</v>
      </c>
      <c r="B228" vm="677">
        <v>290.27999999999997</v>
      </c>
    </row>
    <row r="229" spans="1:2" x14ac:dyDescent="0.25">
      <c r="A229" s="21">
        <v>45621</v>
      </c>
      <c r="B229" vm="680">
        <v>296.19</v>
      </c>
    </row>
    <row r="230" spans="1:2" x14ac:dyDescent="0.25">
      <c r="A230" s="21">
        <v>45621</v>
      </c>
      <c r="B230" vm="683">
        <v>296.33</v>
      </c>
    </row>
    <row r="231" spans="1:2" x14ac:dyDescent="0.25">
      <c r="A231" s="21">
        <v>45621</v>
      </c>
      <c r="B231" vm="686">
        <v>295.08</v>
      </c>
    </row>
    <row r="232" spans="1:2" x14ac:dyDescent="0.25">
      <c r="A232" s="21">
        <v>45621</v>
      </c>
      <c r="B232" vm="689">
        <v>296.01</v>
      </c>
    </row>
    <row r="233" spans="1:2" x14ac:dyDescent="0.25">
      <c r="A233" s="21">
        <v>45628</v>
      </c>
      <c r="B233" vm="692">
        <v>292.44</v>
      </c>
    </row>
    <row r="234" spans="1:2" x14ac:dyDescent="0.25">
      <c r="A234" s="21">
        <v>45628</v>
      </c>
      <c r="B234" vm="695">
        <v>294.5</v>
      </c>
    </row>
    <row r="235" spans="1:2" x14ac:dyDescent="0.25">
      <c r="A235" s="21">
        <v>45628</v>
      </c>
      <c r="B235" vm="698">
        <v>295.08999999999997</v>
      </c>
    </row>
    <row r="236" spans="1:2" x14ac:dyDescent="0.25">
      <c r="A236" s="21">
        <v>45628</v>
      </c>
      <c r="B236" vm="701">
        <v>299.47000000000003</v>
      </c>
    </row>
    <row r="237" spans="1:2" x14ac:dyDescent="0.25">
      <c r="A237" s="21">
        <v>45628</v>
      </c>
      <c r="B237" vm="704">
        <v>298.98</v>
      </c>
    </row>
    <row r="238" spans="1:2" x14ac:dyDescent="0.25">
      <c r="A238" s="21">
        <v>45635</v>
      </c>
      <c r="B238" vm="707">
        <v>301.37</v>
      </c>
    </row>
    <row r="239" spans="1:2" x14ac:dyDescent="0.25">
      <c r="A239" s="21">
        <v>45635</v>
      </c>
      <c r="B239" vm="710">
        <v>300.70999999999998</v>
      </c>
    </row>
    <row r="240" spans="1:2" x14ac:dyDescent="0.25">
      <c r="A240" s="21">
        <v>45635</v>
      </c>
      <c r="B240" vm="713">
        <v>296.10000000000002</v>
      </c>
    </row>
    <row r="241" spans="1:2" x14ac:dyDescent="0.25">
      <c r="A241" s="21">
        <v>45635</v>
      </c>
      <c r="B241" vm="716">
        <v>296.63</v>
      </c>
    </row>
    <row r="242" spans="1:2" x14ac:dyDescent="0.25">
      <c r="A242" s="21">
        <v>45635</v>
      </c>
      <c r="B242" vm="719">
        <v>296.60000000000002</v>
      </c>
    </row>
    <row r="243" spans="1:2" x14ac:dyDescent="0.25">
      <c r="A243" s="21">
        <v>45642</v>
      </c>
      <c r="B243" vm="722">
        <v>297.70999999999998</v>
      </c>
    </row>
    <row r="244" spans="1:2" x14ac:dyDescent="0.25">
      <c r="A244" s="21">
        <v>45642</v>
      </c>
      <c r="B244" vm="725">
        <v>296.08</v>
      </c>
    </row>
    <row r="245" spans="1:2" x14ac:dyDescent="0.25">
      <c r="A245" s="21">
        <v>45642</v>
      </c>
      <c r="B245" vm="728">
        <v>290.88</v>
      </c>
    </row>
    <row r="246" spans="1:2" x14ac:dyDescent="0.25">
      <c r="A246" s="21">
        <v>45642</v>
      </c>
      <c r="B246" vm="523">
        <v>290.23</v>
      </c>
    </row>
    <row r="247" spans="1:2" x14ac:dyDescent="0.25">
      <c r="A247" s="21">
        <v>45642</v>
      </c>
      <c r="B247" vm="733">
        <v>292.68</v>
      </c>
    </row>
    <row r="248" spans="1:2" x14ac:dyDescent="0.25">
      <c r="A248" s="21">
        <v>45649</v>
      </c>
      <c r="B248" vm="517">
        <v>291.29000000000002</v>
      </c>
    </row>
    <row r="249" spans="1:2" x14ac:dyDescent="0.25">
      <c r="A249" s="21">
        <v>45649</v>
      </c>
      <c r="B249" vm="738">
        <v>293.99</v>
      </c>
    </row>
    <row r="250" spans="1:2" x14ac:dyDescent="0.25">
      <c r="A250" s="21">
        <v>45649</v>
      </c>
      <c r="B250" vm="741">
        <v>294.8</v>
      </c>
    </row>
    <row r="251" spans="1:2" x14ac:dyDescent="0.25">
      <c r="A251" s="21">
        <v>45649</v>
      </c>
      <c r="B251" vm="744">
        <v>293.62</v>
      </c>
    </row>
    <row r="252" spans="1:2" x14ac:dyDescent="0.25">
      <c r="A252" s="21">
        <v>45656</v>
      </c>
      <c r="B252" vm="747">
        <v>289.60000000000002</v>
      </c>
    </row>
    <row r="253" spans="1:2" x14ac:dyDescent="0.25">
      <c r="A253" s="21">
        <v>45656</v>
      </c>
      <c r="B253" vm="750">
        <v>289.89</v>
      </c>
    </row>
    <row r="254" spans="1:2" x14ac:dyDescent="0.25">
      <c r="A254" s="21">
        <v>45656</v>
      </c>
      <c r="B254" vm="753">
        <v>292.51</v>
      </c>
    </row>
    <row r="255" spans="1:2" x14ac:dyDescent="0.25">
      <c r="A255" s="21">
        <v>45656</v>
      </c>
      <c r="B255" vm="756">
        <v>294.77999999999997</v>
      </c>
    </row>
    <row r="256" spans="1:2" x14ac:dyDescent="0.25">
      <c r="A256" s="21">
        <v>45663</v>
      </c>
      <c r="B256" vm="759">
        <v>292.18</v>
      </c>
    </row>
    <row r="257" spans="1:2" x14ac:dyDescent="0.25">
      <c r="A257" s="21">
        <v>45663</v>
      </c>
      <c r="B257" vm="762">
        <v>289.33999999999997</v>
      </c>
    </row>
    <row r="258" spans="1:2" x14ac:dyDescent="0.25">
      <c r="A258" s="21">
        <v>45663</v>
      </c>
      <c r="B258" vm="765">
        <v>286.89999999999998</v>
      </c>
    </row>
    <row r="259" spans="1:2" x14ac:dyDescent="0.25">
      <c r="A259" s="21">
        <v>45663</v>
      </c>
      <c r="B259" vm="768">
        <v>282.31</v>
      </c>
    </row>
    <row r="260" spans="1:2" x14ac:dyDescent="0.25">
      <c r="A260" s="21">
        <v>45670</v>
      </c>
      <c r="B260" vm="771">
        <v>283.63</v>
      </c>
    </row>
    <row r="261" spans="1:2" x14ac:dyDescent="0.25">
      <c r="A261" s="21">
        <v>45670</v>
      </c>
      <c r="B261" vm="774">
        <v>281.58</v>
      </c>
    </row>
    <row r="262" spans="1:2" x14ac:dyDescent="0.25">
      <c r="A262" s="21">
        <v>45670</v>
      </c>
      <c r="B262" vm="777">
        <v>282.3</v>
      </c>
    </row>
    <row r="263" spans="1:2" x14ac:dyDescent="0.25">
      <c r="A263" s="21">
        <v>45670</v>
      </c>
      <c r="B263" vm="780">
        <v>279.74</v>
      </c>
    </row>
    <row r="264" spans="1:2" x14ac:dyDescent="0.25">
      <c r="A264" s="21">
        <v>45670</v>
      </c>
      <c r="B264" vm="783">
        <v>280.95</v>
      </c>
    </row>
    <row r="265" spans="1:2" x14ac:dyDescent="0.25">
      <c r="A265" s="21">
        <v>45677</v>
      </c>
      <c r="B265" vm="786">
        <v>282.61</v>
      </c>
    </row>
    <row r="266" spans="1:2" x14ac:dyDescent="0.25">
      <c r="A266" s="21">
        <v>45677</v>
      </c>
      <c r="B266" vm="789">
        <v>281.35000000000002</v>
      </c>
    </row>
    <row r="267" spans="1:2" x14ac:dyDescent="0.25">
      <c r="A267" s="21">
        <v>45677</v>
      </c>
      <c r="B267" vm="792">
        <v>284.43</v>
      </c>
    </row>
    <row r="268" spans="1:2" x14ac:dyDescent="0.25">
      <c r="A268" s="21">
        <v>45677</v>
      </c>
      <c r="B268" vm="795">
        <v>285.45999999999998</v>
      </c>
    </row>
    <row r="269" spans="1:2" x14ac:dyDescent="0.25">
      <c r="A269" s="21">
        <v>45684</v>
      </c>
      <c r="B269" vm="798">
        <v>293.08999999999997</v>
      </c>
    </row>
    <row r="270" spans="1:2" x14ac:dyDescent="0.25">
      <c r="A270" s="21">
        <v>45684</v>
      </c>
      <c r="B270" vm="801">
        <v>291.14999999999998</v>
      </c>
    </row>
    <row r="271" spans="1:2" x14ac:dyDescent="0.25">
      <c r="A271" s="21">
        <v>45684</v>
      </c>
      <c r="B271" vm="804">
        <v>290.11</v>
      </c>
    </row>
    <row r="272" spans="1:2" x14ac:dyDescent="0.25">
      <c r="A272" s="21">
        <v>45684</v>
      </c>
      <c r="B272" vm="807">
        <v>290.32</v>
      </c>
    </row>
    <row r="273" spans="1:2" x14ac:dyDescent="0.25">
      <c r="A273" s="21">
        <v>45684</v>
      </c>
      <c r="B273" vm="810">
        <v>288.7</v>
      </c>
    </row>
    <row r="274" spans="1:2" x14ac:dyDescent="0.25">
      <c r="A274" s="21">
        <v>45691</v>
      </c>
      <c r="B274" vm="813">
        <v>290.05</v>
      </c>
    </row>
    <row r="275" spans="1:2" x14ac:dyDescent="0.25">
      <c r="A275" s="21">
        <v>45691</v>
      </c>
      <c r="B275" vm="816">
        <v>289.77</v>
      </c>
    </row>
    <row r="276" spans="1:2" x14ac:dyDescent="0.25">
      <c r="A276" s="21">
        <v>45691</v>
      </c>
      <c r="B276" vm="819">
        <v>288.83</v>
      </c>
    </row>
    <row r="277" spans="1:2" x14ac:dyDescent="0.25">
      <c r="A277" s="21">
        <v>45691</v>
      </c>
      <c r="B277" vm="35">
        <v>294.36</v>
      </c>
    </row>
    <row r="278" spans="1:2" x14ac:dyDescent="0.25">
      <c r="A278" s="21">
        <v>45691</v>
      </c>
      <c r="B278" vm="824">
        <v>294.3</v>
      </c>
    </row>
    <row r="279" spans="1:2" x14ac:dyDescent="0.25">
      <c r="A279" s="21">
        <v>45698</v>
      </c>
      <c r="B279" vm="827">
        <v>308.42</v>
      </c>
    </row>
    <row r="280" spans="1:2" x14ac:dyDescent="0.25">
      <c r="A280" s="21">
        <v>45698</v>
      </c>
      <c r="B280" vm="830">
        <v>310.20999999999998</v>
      </c>
    </row>
    <row r="281" spans="1:2" x14ac:dyDescent="0.25">
      <c r="A281" s="21">
        <v>45698</v>
      </c>
      <c r="B281" vm="833">
        <v>307.60000000000002</v>
      </c>
    </row>
    <row r="282" spans="1:2" x14ac:dyDescent="0.25">
      <c r="A282" s="21">
        <v>45698</v>
      </c>
      <c r="B282" vm="836">
        <v>310.02</v>
      </c>
    </row>
    <row r="283" spans="1:2" x14ac:dyDescent="0.25">
      <c r="A283" s="21">
        <v>45698</v>
      </c>
      <c r="B283" vm="839">
        <v>308.55</v>
      </c>
    </row>
    <row r="284" spans="1:2" x14ac:dyDescent="0.25">
      <c r="A284" s="21">
        <v>45705</v>
      </c>
      <c r="B284" vm="842">
        <v>304.83</v>
      </c>
    </row>
    <row r="285" spans="1:2" x14ac:dyDescent="0.25">
      <c r="A285" s="21">
        <v>45705</v>
      </c>
      <c r="B285" vm="845">
        <v>301.94</v>
      </c>
    </row>
    <row r="286" spans="1:2" x14ac:dyDescent="0.25">
      <c r="A286" s="21">
        <v>45705</v>
      </c>
      <c r="B286" vm="848">
        <v>303.05</v>
      </c>
    </row>
    <row r="287" spans="1:2" x14ac:dyDescent="0.25">
      <c r="A287" s="21">
        <v>45705</v>
      </c>
      <c r="B287" vm="851">
        <v>304.81</v>
      </c>
    </row>
    <row r="288" spans="1:2" x14ac:dyDescent="0.25">
      <c r="A288" s="21">
        <v>45712</v>
      </c>
      <c r="B288" vm="854">
        <v>307.57</v>
      </c>
    </row>
    <row r="289" spans="1:2" x14ac:dyDescent="0.25">
      <c r="A289" s="21">
        <v>45712</v>
      </c>
      <c r="B289" vm="857">
        <v>310.72000000000003</v>
      </c>
    </row>
    <row r="290" spans="1:2" x14ac:dyDescent="0.25">
      <c r="A290" s="21">
        <v>45712</v>
      </c>
      <c r="B290" vm="860">
        <v>304.27</v>
      </c>
    </row>
    <row r="291" spans="1:2" x14ac:dyDescent="0.25">
      <c r="A291" s="21">
        <v>45712</v>
      </c>
      <c r="B291" vm="863">
        <v>309.95</v>
      </c>
    </row>
    <row r="292" spans="1:2" x14ac:dyDescent="0.25">
      <c r="A292" s="21">
        <v>45712</v>
      </c>
      <c r="B292" vm="866">
        <v>308.33</v>
      </c>
    </row>
    <row r="293" spans="1:2" x14ac:dyDescent="0.25">
      <c r="A293" s="21">
        <v>45719</v>
      </c>
      <c r="B293" vm="869">
        <v>304.29000000000002</v>
      </c>
    </row>
    <row r="294" spans="1:2" x14ac:dyDescent="0.25">
      <c r="A294" s="21">
        <v>45719</v>
      </c>
      <c r="B294" vm="872">
        <v>305.77</v>
      </c>
    </row>
    <row r="295" spans="1:2" x14ac:dyDescent="0.25">
      <c r="A295" s="21">
        <v>45719</v>
      </c>
      <c r="B295" vm="875">
        <v>307.45</v>
      </c>
    </row>
    <row r="296" spans="1:2" x14ac:dyDescent="0.25">
      <c r="A296" s="21">
        <v>45719</v>
      </c>
      <c r="B296" vm="878">
        <v>310.37</v>
      </c>
    </row>
    <row r="297" spans="1:2" x14ac:dyDescent="0.25">
      <c r="A297" s="21">
        <v>45719</v>
      </c>
      <c r="B297" vm="881">
        <v>321.29000000000002</v>
      </c>
    </row>
    <row r="298" spans="1:2" x14ac:dyDescent="0.25">
      <c r="A298" s="21">
        <v>45726</v>
      </c>
      <c r="B298" vm="884">
        <v>317.25</v>
      </c>
    </row>
    <row r="299" spans="1:2" x14ac:dyDescent="0.25">
      <c r="A299" s="21">
        <v>45726</v>
      </c>
      <c r="B299" vm="887">
        <v>306.76</v>
      </c>
    </row>
    <row r="300" spans="1:2" x14ac:dyDescent="0.25">
      <c r="A300" s="21">
        <v>45726</v>
      </c>
      <c r="B300" vm="890">
        <v>299.39999999999998</v>
      </c>
    </row>
    <row r="301" spans="1:2" x14ac:dyDescent="0.25">
      <c r="A301" s="21">
        <v>45726</v>
      </c>
      <c r="B301" vm="893">
        <v>297.5</v>
      </c>
    </row>
    <row r="302" spans="1:2" x14ac:dyDescent="0.25">
      <c r="A302" s="21">
        <v>45726</v>
      </c>
      <c r="B302" vm="896">
        <v>299.83</v>
      </c>
    </row>
    <row r="303" spans="1:2" x14ac:dyDescent="0.25">
      <c r="A303" s="21">
        <v>45733</v>
      </c>
      <c r="B303" vm="899">
        <v>303.97000000000003</v>
      </c>
    </row>
    <row r="304" spans="1:2" x14ac:dyDescent="0.25">
      <c r="A304" s="21">
        <v>45733</v>
      </c>
      <c r="B304" vm="902">
        <v>303.60000000000002</v>
      </c>
    </row>
    <row r="305" spans="1:2" x14ac:dyDescent="0.25">
      <c r="A305" s="21">
        <v>45733</v>
      </c>
      <c r="B305" vm="905">
        <v>306.92</v>
      </c>
    </row>
    <row r="306" spans="1:2" x14ac:dyDescent="0.25">
      <c r="A306" s="21">
        <v>45733</v>
      </c>
      <c r="B306" vm="908">
        <v>307</v>
      </c>
    </row>
    <row r="307" spans="1:2" x14ac:dyDescent="0.25">
      <c r="A307" s="21">
        <v>45733</v>
      </c>
      <c r="B307" vm="911">
        <v>305.44</v>
      </c>
    </row>
    <row r="308" spans="1:2" x14ac:dyDescent="0.25">
      <c r="A308" s="21">
        <v>45740</v>
      </c>
      <c r="B308" vm="914">
        <v>305.67</v>
      </c>
    </row>
    <row r="309" spans="1:2" x14ac:dyDescent="0.25">
      <c r="A309" s="21">
        <v>45740</v>
      </c>
      <c r="B309" vm="905">
        <v>306.92</v>
      </c>
    </row>
    <row r="310" spans="1:2" x14ac:dyDescent="0.25">
      <c r="A310" s="21">
        <v>45740</v>
      </c>
      <c r="B310" vm="919">
        <v>313.58</v>
      </c>
    </row>
    <row r="311" spans="1:2" x14ac:dyDescent="0.25">
      <c r="A311" s="21">
        <v>45740</v>
      </c>
      <c r="B311" vm="922">
        <v>312.69</v>
      </c>
    </row>
    <row r="312" spans="1:2" x14ac:dyDescent="0.25">
      <c r="A312" s="21">
        <v>45740</v>
      </c>
      <c r="B312" vm="925">
        <v>307.08999999999997</v>
      </c>
    </row>
    <row r="313" spans="1:2" x14ac:dyDescent="0.25">
      <c r="A313" s="21">
        <v>45747</v>
      </c>
      <c r="B313" vm="928">
        <v>312.37</v>
      </c>
    </row>
    <row r="314" spans="1:2" x14ac:dyDescent="0.25">
      <c r="A314" s="21">
        <v>45747</v>
      </c>
      <c r="B314" vm="931">
        <v>313.63</v>
      </c>
    </row>
    <row r="315" spans="1:2" x14ac:dyDescent="0.25">
      <c r="A315" s="21">
        <v>45747</v>
      </c>
      <c r="B315" vm="934">
        <v>311.58</v>
      </c>
    </row>
    <row r="316" spans="1:2" x14ac:dyDescent="0.25">
      <c r="A316" s="21">
        <v>45747</v>
      </c>
      <c r="B316" vm="937">
        <v>318.27</v>
      </c>
    </row>
    <row r="317" spans="1:2" x14ac:dyDescent="0.25">
      <c r="A317" s="21">
        <v>45747</v>
      </c>
      <c r="B317" vm="940">
        <v>300.11</v>
      </c>
    </row>
    <row r="318" spans="1:2" x14ac:dyDescent="0.25">
      <c r="A318" s="21">
        <v>45754</v>
      </c>
      <c r="B318" vm="943">
        <v>299.89</v>
      </c>
    </row>
    <row r="319" spans="1:2" x14ac:dyDescent="0.25">
      <c r="A319" s="21">
        <v>45754</v>
      </c>
      <c r="B319" vm="896">
        <v>299.83</v>
      </c>
    </row>
    <row r="320" spans="1:2" x14ac:dyDescent="0.25">
      <c r="A320" s="21">
        <v>45754</v>
      </c>
      <c r="B320" vm="948">
        <v>303.95999999999998</v>
      </c>
    </row>
    <row r="321" spans="1:2" x14ac:dyDescent="0.25">
      <c r="A321" s="21">
        <v>45754</v>
      </c>
      <c r="B321" vm="951">
        <v>306.77999999999997</v>
      </c>
    </row>
    <row r="322" spans="1:2" x14ac:dyDescent="0.25">
      <c r="A322" s="21">
        <v>45754</v>
      </c>
      <c r="B322" vm="954">
        <v>309.89999999999998</v>
      </c>
    </row>
    <row r="323" spans="1:2" x14ac:dyDescent="0.25">
      <c r="A323" s="21">
        <v>45761</v>
      </c>
      <c r="B323" vm="957">
        <v>316.07</v>
      </c>
    </row>
    <row r="324" spans="1:2" x14ac:dyDescent="0.25">
      <c r="A324" s="21">
        <v>45761</v>
      </c>
      <c r="B324" vm="960">
        <v>312.48</v>
      </c>
    </row>
    <row r="325" spans="1:2" x14ac:dyDescent="0.25">
      <c r="A325" s="21">
        <v>45761</v>
      </c>
      <c r="B325" vm="963">
        <v>309.10000000000002</v>
      </c>
    </row>
    <row r="326" spans="1:2" x14ac:dyDescent="0.25">
      <c r="A326" s="21">
        <v>45761</v>
      </c>
      <c r="B326" vm="966">
        <v>311.3</v>
      </c>
    </row>
    <row r="327" spans="1:2" x14ac:dyDescent="0.25">
      <c r="A327" s="21">
        <v>45768</v>
      </c>
      <c r="B327" vm="969">
        <v>308.72000000000003</v>
      </c>
    </row>
    <row r="328" spans="1:2" x14ac:dyDescent="0.25">
      <c r="A328" s="21">
        <v>45768</v>
      </c>
      <c r="B328" vm="972">
        <v>319.08</v>
      </c>
    </row>
    <row r="329" spans="1:2" x14ac:dyDescent="0.25">
      <c r="A329" s="21">
        <v>45768</v>
      </c>
      <c r="B329" vm="975">
        <v>318.48</v>
      </c>
    </row>
    <row r="330" spans="1:2" x14ac:dyDescent="0.25">
      <c r="A330" s="21">
        <v>45768</v>
      </c>
      <c r="B330" vm="978">
        <v>316.22000000000003</v>
      </c>
    </row>
    <row r="331" spans="1:2" x14ac:dyDescent="0.25">
      <c r="A331" s="21">
        <v>45768</v>
      </c>
      <c r="B331" vm="981">
        <v>316.74</v>
      </c>
    </row>
    <row r="332" spans="1:2" x14ac:dyDescent="0.25">
      <c r="A332" s="21">
        <v>45775</v>
      </c>
      <c r="B332" vm="984">
        <v>316.81</v>
      </c>
    </row>
    <row r="333" spans="1:2" x14ac:dyDescent="0.25">
      <c r="A333" s="21">
        <v>45775</v>
      </c>
      <c r="B333" vm="987">
        <v>314.5</v>
      </c>
    </row>
    <row r="334" spans="1:2" x14ac:dyDescent="0.25">
      <c r="A334" s="21">
        <v>45775</v>
      </c>
      <c r="B334" vm="990">
        <v>319.64999999999998</v>
      </c>
    </row>
    <row r="335" spans="1:2" x14ac:dyDescent="0.25">
      <c r="A335" s="21">
        <v>45775</v>
      </c>
      <c r="B335" vm="993">
        <v>313.64</v>
      </c>
    </row>
    <row r="336" spans="1:2" x14ac:dyDescent="0.25">
      <c r="A336" s="21">
        <v>45775</v>
      </c>
      <c r="B336" vm="996">
        <v>311.95999999999998</v>
      </c>
    </row>
    <row r="337" spans="1:2" x14ac:dyDescent="0.25">
      <c r="A337" s="21">
        <v>45782</v>
      </c>
      <c r="B337" vm="999">
        <v>315.72000000000003</v>
      </c>
    </row>
    <row r="338" spans="1:2" x14ac:dyDescent="0.25">
      <c r="A338" s="21">
        <v>45782</v>
      </c>
      <c r="B338" vm="1002">
        <v>316.79000000000002</v>
      </c>
    </row>
    <row r="339" spans="1:2" x14ac:dyDescent="0.25">
      <c r="A339" s="21">
        <v>45782</v>
      </c>
      <c r="B339" vm="1005">
        <v>318.13</v>
      </c>
    </row>
    <row r="340" spans="1:2" x14ac:dyDescent="0.25">
      <c r="A340" s="21">
        <v>45782</v>
      </c>
      <c r="B340" vm="1008">
        <v>313.49</v>
      </c>
    </row>
    <row r="341" spans="1:2" x14ac:dyDescent="0.25">
      <c r="A341" s="21">
        <v>45782</v>
      </c>
      <c r="B341" vm="1011">
        <v>313.68</v>
      </c>
    </row>
    <row r="342" spans="1:2" x14ac:dyDescent="0.25">
      <c r="A342" s="21">
        <v>45789</v>
      </c>
      <c r="B342" vm="1014">
        <v>311.92</v>
      </c>
    </row>
    <row r="343" spans="1:2" x14ac:dyDescent="0.25">
      <c r="A343" s="21">
        <v>45789</v>
      </c>
      <c r="B343" vm="1017">
        <v>308.69</v>
      </c>
    </row>
    <row r="344" spans="1:2" x14ac:dyDescent="0.25">
      <c r="A344" s="21">
        <v>45789</v>
      </c>
      <c r="B344" vm="1020">
        <v>307.5</v>
      </c>
    </row>
    <row r="345" spans="1:2" x14ac:dyDescent="0.25">
      <c r="A345" s="21">
        <v>45789</v>
      </c>
      <c r="B345" vm="1023">
        <v>314.48</v>
      </c>
    </row>
    <row r="346" spans="1:2" x14ac:dyDescent="0.25">
      <c r="A346" s="21">
        <v>45789</v>
      </c>
      <c r="B346" vm="1026">
        <v>318.61</v>
      </c>
    </row>
    <row r="347" spans="1:2" x14ac:dyDescent="0.25">
      <c r="A347" s="21">
        <v>45796</v>
      </c>
      <c r="B347" vm="1029">
        <v>321.23</v>
      </c>
    </row>
    <row r="348" spans="1:2" x14ac:dyDescent="0.25">
      <c r="A348" s="21">
        <v>45796</v>
      </c>
      <c r="B348" vm="1032">
        <v>319.8</v>
      </c>
    </row>
    <row r="349" spans="1:2" x14ac:dyDescent="0.25">
      <c r="A349" s="21">
        <v>45796</v>
      </c>
      <c r="B349" vm="1035">
        <v>316.44</v>
      </c>
    </row>
    <row r="350" spans="1:2" x14ac:dyDescent="0.25">
      <c r="A350" s="21">
        <v>45796</v>
      </c>
      <c r="B350" vm="1038">
        <v>314.31</v>
      </c>
    </row>
    <row r="351" spans="1:2" x14ac:dyDescent="0.25">
      <c r="A351" s="21">
        <v>45796</v>
      </c>
      <c r="B351" vm="1041">
        <v>314.57</v>
      </c>
    </row>
    <row r="352" spans="1:2" x14ac:dyDescent="0.25">
      <c r="A352" s="21">
        <v>45803</v>
      </c>
      <c r="B352" vm="1044">
        <v>314.95</v>
      </c>
    </row>
    <row r="353" spans="1:2" x14ac:dyDescent="0.25">
      <c r="A353" s="21">
        <v>45803</v>
      </c>
      <c r="B353" vm="1047">
        <v>312.83999999999997</v>
      </c>
    </row>
    <row r="354" spans="1:2" x14ac:dyDescent="0.25">
      <c r="A354" s="21">
        <v>45803</v>
      </c>
      <c r="B354" vm="1050">
        <v>311.86</v>
      </c>
    </row>
    <row r="355" spans="1:2" x14ac:dyDescent="0.25">
      <c r="A355" s="21">
        <v>45803</v>
      </c>
      <c r="B355" vm="1053">
        <v>313.85000000000002</v>
      </c>
    </row>
    <row r="356" spans="1:2" x14ac:dyDescent="0.25">
      <c r="A356" s="21">
        <v>45810</v>
      </c>
      <c r="B356" vm="1056">
        <v>312.68</v>
      </c>
    </row>
    <row r="357" spans="1:2" x14ac:dyDescent="0.25">
      <c r="A357" s="21">
        <v>45810</v>
      </c>
      <c r="B357" vm="1059">
        <v>312.39</v>
      </c>
    </row>
    <row r="358" spans="1:2" x14ac:dyDescent="0.25">
      <c r="A358" s="21">
        <v>45810</v>
      </c>
      <c r="B358" vm="1062">
        <v>311.57</v>
      </c>
    </row>
    <row r="359" spans="1:2" x14ac:dyDescent="0.25">
      <c r="A359" s="21">
        <v>45810</v>
      </c>
      <c r="B359" vm="1065">
        <v>308.98</v>
      </c>
    </row>
    <row r="360" spans="1:2" x14ac:dyDescent="0.25">
      <c r="A360" s="21">
        <v>45810</v>
      </c>
      <c r="B360" vm="1068">
        <v>307.36</v>
      </c>
    </row>
    <row r="361" spans="1:2" x14ac:dyDescent="0.25">
      <c r="A361" s="21">
        <v>45817</v>
      </c>
      <c r="B361" vm="1071">
        <v>304.77999999999997</v>
      </c>
    </row>
    <row r="362" spans="1:2" x14ac:dyDescent="0.25">
      <c r="A362" s="21">
        <v>45817</v>
      </c>
      <c r="B362" vm="1074">
        <v>300.43</v>
      </c>
    </row>
    <row r="363" spans="1:2" x14ac:dyDescent="0.25">
      <c r="A363" s="21">
        <v>45817</v>
      </c>
      <c r="B363" vm="1077">
        <v>301.72000000000003</v>
      </c>
    </row>
    <row r="364" spans="1:2" x14ac:dyDescent="0.25">
      <c r="A364" s="21">
        <v>45817</v>
      </c>
      <c r="B364" vm="1080">
        <v>303.16000000000003</v>
      </c>
    </row>
    <row r="365" spans="1:2" x14ac:dyDescent="0.25">
      <c r="A365" s="21">
        <v>45817</v>
      </c>
      <c r="B365" vm="1083">
        <v>301.91000000000003</v>
      </c>
    </row>
    <row r="366" spans="1:2" x14ac:dyDescent="0.25">
      <c r="A366" s="21">
        <v>45824</v>
      </c>
      <c r="B366" vm="1086">
        <v>296.29000000000002</v>
      </c>
    </row>
    <row r="367" spans="1:2" x14ac:dyDescent="0.25">
      <c r="A367" s="21">
        <v>45824</v>
      </c>
      <c r="B367" vm="56">
        <v>292.31</v>
      </c>
    </row>
    <row r="368" spans="1:2" x14ac:dyDescent="0.25">
      <c r="A368" s="21">
        <v>45824</v>
      </c>
      <c r="B368" vm="1091">
        <v>289.63</v>
      </c>
    </row>
    <row r="369" spans="1:2" x14ac:dyDescent="0.25">
      <c r="A369" s="21">
        <v>45824</v>
      </c>
      <c r="B369" vm="1094">
        <v>287.45999999999998</v>
      </c>
    </row>
    <row r="370" spans="1:2" x14ac:dyDescent="0.25">
      <c r="A370" s="21">
        <v>45831</v>
      </c>
      <c r="B370" vm="487">
        <v>289.52</v>
      </c>
    </row>
    <row r="371" spans="1:2" x14ac:dyDescent="0.25">
      <c r="A371" s="21">
        <v>45831</v>
      </c>
      <c r="B371" vm="1099">
        <v>291.47000000000003</v>
      </c>
    </row>
    <row r="372" spans="1:2" x14ac:dyDescent="0.25">
      <c r="A372" s="21">
        <v>45831</v>
      </c>
      <c r="B372" vm="1102">
        <v>285.55</v>
      </c>
    </row>
    <row r="373" spans="1:2" x14ac:dyDescent="0.25">
      <c r="A373" s="21">
        <v>45831</v>
      </c>
      <c r="B373" vm="478">
        <v>285.63</v>
      </c>
    </row>
    <row r="374" spans="1:2" x14ac:dyDescent="0.25">
      <c r="A374" s="21">
        <v>45831</v>
      </c>
      <c r="B374" vm="1107">
        <v>291.55</v>
      </c>
    </row>
    <row r="375" spans="1:2" x14ac:dyDescent="0.25">
      <c r="A375" s="21">
        <v>45838</v>
      </c>
      <c r="B375" vm="1110">
        <v>292.17</v>
      </c>
    </row>
    <row r="376" spans="1:2" x14ac:dyDescent="0.25">
      <c r="A376" s="21">
        <v>45838</v>
      </c>
      <c r="B376" vm="1113">
        <v>297.49</v>
      </c>
    </row>
    <row r="377" spans="1:2" x14ac:dyDescent="0.25">
      <c r="A377" s="21">
        <v>45838</v>
      </c>
      <c r="B377" vm="1116">
        <v>294.63</v>
      </c>
    </row>
    <row r="378" spans="1:2" x14ac:dyDescent="0.25">
      <c r="A378" s="21">
        <v>45838</v>
      </c>
      <c r="B378" vm="1119">
        <v>294.08</v>
      </c>
    </row>
    <row r="379" spans="1:2" x14ac:dyDescent="0.25">
      <c r="A379" s="21">
        <v>45845</v>
      </c>
      <c r="B379" vm="1122">
        <v>293.52999999999997</v>
      </c>
    </row>
    <row r="380" spans="1:2" x14ac:dyDescent="0.25">
      <c r="A380" s="21">
        <v>45845</v>
      </c>
      <c r="B380" vm="1125">
        <v>291.67</v>
      </c>
    </row>
    <row r="381" spans="1:2" x14ac:dyDescent="0.25">
      <c r="A381" s="21">
        <v>45845</v>
      </c>
      <c r="B381" vm="1128">
        <v>293.02</v>
      </c>
    </row>
    <row r="382" spans="1:2" x14ac:dyDescent="0.25">
      <c r="A382" s="21">
        <v>45845</v>
      </c>
      <c r="B382" vm="1131">
        <v>298.39</v>
      </c>
    </row>
    <row r="383" spans="1:2" x14ac:dyDescent="0.25">
      <c r="A383" s="21">
        <v>45845</v>
      </c>
      <c r="B383" vm="1134">
        <v>299.91000000000003</v>
      </c>
    </row>
    <row r="384" spans="1:2" x14ac:dyDescent="0.25">
      <c r="A384" s="21">
        <v>45852</v>
      </c>
      <c r="B384" vm="1137">
        <v>301.88</v>
      </c>
    </row>
    <row r="385" spans="1:2" x14ac:dyDescent="0.25">
      <c r="A385" s="21">
        <v>45852</v>
      </c>
      <c r="B385" vm="1140">
        <v>299.62</v>
      </c>
    </row>
    <row r="386" spans="1:2" x14ac:dyDescent="0.25">
      <c r="A386" s="21">
        <v>45852</v>
      </c>
      <c r="B386" vm="1143">
        <v>298.89999999999998</v>
      </c>
    </row>
    <row r="387" spans="1:2" x14ac:dyDescent="0.25">
      <c r="A387" s="21">
        <v>45852</v>
      </c>
      <c r="B387" vm="1146">
        <v>300.37</v>
      </c>
    </row>
    <row r="388" spans="1:2" x14ac:dyDescent="0.25">
      <c r="A388" s="21">
        <v>45852</v>
      </c>
      <c r="B388" vm="1149">
        <v>297.07</v>
      </c>
    </row>
    <row r="389" spans="1:2" x14ac:dyDescent="0.25">
      <c r="A389" s="21">
        <v>45859</v>
      </c>
      <c r="B389" vm="1152">
        <v>295.74</v>
      </c>
    </row>
    <row r="390" spans="1:2" x14ac:dyDescent="0.25">
      <c r="A390" s="21">
        <v>45859</v>
      </c>
      <c r="B390" vm="1155">
        <v>299.17</v>
      </c>
    </row>
    <row r="391" spans="1:2" x14ac:dyDescent="0.25">
      <c r="A391" s="21">
        <v>45859</v>
      </c>
      <c r="B391" vm="1158">
        <v>298.12</v>
      </c>
    </row>
    <row r="392" spans="1:2" x14ac:dyDescent="0.25">
      <c r="A392" s="21">
        <v>45859</v>
      </c>
      <c r="B392" vm="1161">
        <v>294.48</v>
      </c>
    </row>
    <row r="393" spans="1:2" x14ac:dyDescent="0.25">
      <c r="A393" s="21">
        <v>45859</v>
      </c>
      <c r="B393" vm="1164">
        <v>298.47000000000003</v>
      </c>
    </row>
    <row r="394" spans="1:2" x14ac:dyDescent="0.25">
      <c r="A394" s="21">
        <v>45866</v>
      </c>
      <c r="B394" vm="1167">
        <v>299.22000000000003</v>
      </c>
    </row>
    <row r="395" spans="1:2" x14ac:dyDescent="0.25">
      <c r="A395" s="21">
        <v>45866</v>
      </c>
      <c r="B395" vm="1170">
        <v>302.67</v>
      </c>
    </row>
    <row r="396" spans="1:2" x14ac:dyDescent="0.25">
      <c r="A396" s="21">
        <v>45866</v>
      </c>
      <c r="B396" vm="1173">
        <v>303.61</v>
      </c>
    </row>
    <row r="397" spans="1:2" x14ac:dyDescent="0.25">
      <c r="A397" s="21">
        <v>45866</v>
      </c>
      <c r="B397" vm="1176">
        <v>300.07</v>
      </c>
    </row>
    <row r="398" spans="1:2" x14ac:dyDescent="0.25">
      <c r="A398" s="21">
        <v>45866</v>
      </c>
      <c r="B398" vm="1179">
        <v>302.89</v>
      </c>
    </row>
    <row r="399" spans="1:2" x14ac:dyDescent="0.25">
      <c r="A399" s="21">
        <v>45873</v>
      </c>
      <c r="B399" vm="1182">
        <v>304.23</v>
      </c>
    </row>
    <row r="400" spans="1:2" x14ac:dyDescent="0.25">
      <c r="A400" s="21">
        <v>45873</v>
      </c>
      <c r="B400" vm="1185">
        <v>298.77</v>
      </c>
    </row>
    <row r="401" spans="1:2" x14ac:dyDescent="0.25">
      <c r="A401" s="21">
        <v>45873</v>
      </c>
      <c r="B401" vm="1188">
        <v>307.66000000000003</v>
      </c>
    </row>
    <row r="402" spans="1:2" x14ac:dyDescent="0.25">
      <c r="A402" s="21">
        <v>45873</v>
      </c>
      <c r="B402" vm="1191">
        <v>307.91000000000003</v>
      </c>
    </row>
    <row r="403" spans="1:2" x14ac:dyDescent="0.25">
      <c r="A403" s="21">
        <v>45873</v>
      </c>
      <c r="B403" vm="1194">
        <v>305.45</v>
      </c>
    </row>
    <row r="404" spans="1:2" x14ac:dyDescent="0.25">
      <c r="A404" s="21">
        <v>45880</v>
      </c>
      <c r="B404" vm="1197">
        <v>304.36</v>
      </c>
    </row>
    <row r="405" spans="1:2" x14ac:dyDescent="0.25">
      <c r="A405" s="21">
        <v>45880</v>
      </c>
      <c r="B405" vm="1200">
        <v>301.64</v>
      </c>
    </row>
    <row r="406" spans="1:2" x14ac:dyDescent="0.25">
      <c r="A406" s="21">
        <v>45880</v>
      </c>
      <c r="B406" vm="1203">
        <v>305.07</v>
      </c>
    </row>
    <row r="407" spans="1:2" x14ac:dyDescent="0.25">
      <c r="A407" s="21">
        <v>45880</v>
      </c>
      <c r="B407" vm="1206">
        <v>308.95</v>
      </c>
    </row>
    <row r="408" spans="1:2" x14ac:dyDescent="0.25">
      <c r="A408" s="21">
        <v>45880</v>
      </c>
      <c r="B408" vm="1209">
        <v>308.93</v>
      </c>
    </row>
    <row r="409" spans="1:2" x14ac:dyDescent="0.25">
      <c r="A409" s="21">
        <v>45887</v>
      </c>
      <c r="B409" vm="1212">
        <v>308.7</v>
      </c>
    </row>
    <row r="410" spans="1:2" x14ac:dyDescent="0.25">
      <c r="A410" s="21">
        <v>45887</v>
      </c>
      <c r="B410" vm="1215">
        <v>310.93</v>
      </c>
    </row>
    <row r="411" spans="1:2" x14ac:dyDescent="0.25">
      <c r="A411" s="21">
        <v>45887</v>
      </c>
      <c r="B411" vm="1218">
        <v>313.08</v>
      </c>
    </row>
    <row r="412" spans="1:2" x14ac:dyDescent="0.25">
      <c r="A412" s="21">
        <v>45887</v>
      </c>
      <c r="B412" vm="1221">
        <v>313.22000000000003</v>
      </c>
    </row>
    <row r="413" spans="1:2" x14ac:dyDescent="0.25">
      <c r="A413" s="21">
        <v>45887</v>
      </c>
      <c r="B413" vm="1224">
        <v>314.07</v>
      </c>
    </row>
    <row r="414" spans="1:2" x14ac:dyDescent="0.25">
      <c r="A414" s="21">
        <v>45894</v>
      </c>
      <c r="B414" vm="1227">
        <v>313.44</v>
      </c>
    </row>
    <row r="415" spans="1:2" x14ac:dyDescent="0.25">
      <c r="A415" s="21">
        <v>45894</v>
      </c>
      <c r="B415" vm="1230">
        <v>312.94</v>
      </c>
    </row>
    <row r="416" spans="1:2" x14ac:dyDescent="0.25">
      <c r="A416" s="21">
        <v>45894</v>
      </c>
      <c r="B416" vm="1233">
        <v>311.43</v>
      </c>
    </row>
    <row r="417" spans="1:2" x14ac:dyDescent="0.25">
      <c r="A417" s="21">
        <v>45894</v>
      </c>
      <c r="B417" vm="1236">
        <v>312.22000000000003</v>
      </c>
    </row>
    <row r="418" spans="1:2" x14ac:dyDescent="0.25">
      <c r="A418" s="21">
        <v>45894</v>
      </c>
      <c r="B418" vm="1239">
        <v>313.54000000000002</v>
      </c>
    </row>
    <row r="419" spans="1:2" x14ac:dyDescent="0.25">
      <c r="A419" s="21">
        <v>45901</v>
      </c>
      <c r="B419" vm="1242">
        <v>315.76</v>
      </c>
    </row>
    <row r="420" spans="1:2" x14ac:dyDescent="0.25">
      <c r="A420" s="21">
        <v>45901</v>
      </c>
      <c r="B420" vm="1245">
        <v>316.39</v>
      </c>
    </row>
    <row r="421" spans="1:2" x14ac:dyDescent="0.25">
      <c r="A421" s="21">
        <v>45901</v>
      </c>
      <c r="B421" vm="1248">
        <v>316.99</v>
      </c>
    </row>
    <row r="422" spans="1:2" x14ac:dyDescent="0.25">
      <c r="A422" s="21">
        <v>45901</v>
      </c>
      <c r="B422" vm="1251">
        <v>314.38</v>
      </c>
    </row>
    <row r="423" spans="1:2" x14ac:dyDescent="0.25">
      <c r="A423" s="21">
        <v>45908</v>
      </c>
      <c r="B423" vm="1254">
        <v>312.8</v>
      </c>
    </row>
    <row r="424" spans="1:2" x14ac:dyDescent="0.25">
      <c r="A424" s="21">
        <v>45908</v>
      </c>
      <c r="B424" vm="1257">
        <v>312.52</v>
      </c>
    </row>
    <row r="425" spans="1:2" x14ac:dyDescent="0.25">
      <c r="A425" s="21">
        <v>45908</v>
      </c>
      <c r="B425" vm="1260">
        <v>305.94</v>
      </c>
    </row>
    <row r="426" spans="1:2" x14ac:dyDescent="0.25">
      <c r="A426" s="21">
        <v>45908</v>
      </c>
      <c r="B426" vm="1263">
        <v>308.43</v>
      </c>
    </row>
    <row r="427" spans="1:2" x14ac:dyDescent="0.25">
      <c r="A427" s="21">
        <v>45908</v>
      </c>
      <c r="B427" vm="1266">
        <v>305.39999999999998</v>
      </c>
    </row>
    <row r="428" spans="1:2" x14ac:dyDescent="0.25">
      <c r="A428" s="21">
        <v>45915</v>
      </c>
      <c r="B428" vm="1269">
        <v>302.07</v>
      </c>
    </row>
    <row r="429" spans="1:2" x14ac:dyDescent="0.25">
      <c r="A429" s="21">
        <v>45915</v>
      </c>
      <c r="B429" vm="1272">
        <v>303.29000000000002</v>
      </c>
    </row>
    <row r="430" spans="1:2" x14ac:dyDescent="0.25">
      <c r="A430" s="21">
        <v>45915</v>
      </c>
      <c r="B430" vm="1275">
        <v>304.97000000000003</v>
      </c>
    </row>
    <row r="431" spans="1:2" x14ac:dyDescent="0.25">
      <c r="A431" s="21">
        <v>45915</v>
      </c>
      <c r="B431" vm="1278">
        <v>301.14</v>
      </c>
    </row>
    <row r="432" spans="1:2" x14ac:dyDescent="0.25">
      <c r="A432" s="21">
        <v>45915</v>
      </c>
      <c r="B432" vm="1281">
        <v>302.38</v>
      </c>
    </row>
    <row r="433" spans="1:2" x14ac:dyDescent="0.25">
      <c r="A433" s="21">
        <v>45922</v>
      </c>
      <c r="B433" vm="1284">
        <v>302.99</v>
      </c>
    </row>
    <row r="434" spans="1:2" x14ac:dyDescent="0.25">
      <c r="A434" s="21">
        <v>45922</v>
      </c>
      <c r="B434" vm="1287">
        <v>303.19</v>
      </c>
    </row>
    <row r="435" spans="1:2" x14ac:dyDescent="0.25">
      <c r="A435" s="21">
        <v>45922</v>
      </c>
      <c r="B435" vm="1290">
        <v>304.33</v>
      </c>
    </row>
    <row r="436" spans="1:2" x14ac:dyDescent="0.25">
      <c r="A436" s="21">
        <v>45922</v>
      </c>
      <c r="B436" vm="1293">
        <v>302.3</v>
      </c>
    </row>
    <row r="437" spans="1:2" x14ac:dyDescent="0.25">
      <c r="A437" s="21">
        <v>45922</v>
      </c>
      <c r="B437" vm="1296">
        <v>305.24</v>
      </c>
    </row>
    <row r="438" spans="1:2" x14ac:dyDescent="0.25">
      <c r="A438" s="21">
        <v>45929</v>
      </c>
      <c r="B438" vm="1284">
        <v>302.99</v>
      </c>
    </row>
    <row r="439" spans="1:2" x14ac:dyDescent="0.25">
      <c r="A439" s="21">
        <v>45929</v>
      </c>
      <c r="B439" vm="1301">
        <v>303.89</v>
      </c>
    </row>
    <row r="440" spans="1:2" x14ac:dyDescent="0.25">
      <c r="A440" s="21">
        <v>45929</v>
      </c>
      <c r="B440" vm="1304">
        <v>300.52</v>
      </c>
    </row>
    <row r="441" spans="1:2" x14ac:dyDescent="0.25">
      <c r="A441" s="21">
        <v>45929</v>
      </c>
      <c r="B441" vm="1307">
        <v>299.88</v>
      </c>
    </row>
    <row r="442" spans="1:2" x14ac:dyDescent="0.25">
      <c r="A442" s="21">
        <v>45929</v>
      </c>
      <c r="B442" vm="1310">
        <v>300.98</v>
      </c>
    </row>
    <row r="443" spans="1:2" x14ac:dyDescent="0.25">
      <c r="A443" s="21">
        <v>45936</v>
      </c>
      <c r="B443" vm="1313">
        <v>296.04000000000002</v>
      </c>
    </row>
    <row r="444" spans="1:2" x14ac:dyDescent="0.25">
      <c r="A444" s="21">
        <v>45936</v>
      </c>
      <c r="B444" vm="1316">
        <v>296.32</v>
      </c>
    </row>
    <row r="445" spans="1:2" x14ac:dyDescent="0.25">
      <c r="A445" s="21">
        <v>45936</v>
      </c>
      <c r="B445" vm="1319">
        <v>294.39999999999998</v>
      </c>
    </row>
    <row r="446" spans="1:2" x14ac:dyDescent="0.25">
      <c r="A446" s="21">
        <v>45936</v>
      </c>
      <c r="B446" vm="1322">
        <v>293.81</v>
      </c>
    </row>
    <row r="447" spans="1:2" x14ac:dyDescent="0.25">
      <c r="A447" s="21">
        <v>45936</v>
      </c>
      <c r="B447" vm="1325">
        <v>297.01</v>
      </c>
    </row>
    <row r="448" spans="1:2" x14ac:dyDescent="0.25">
      <c r="A448" s="21">
        <v>45943</v>
      </c>
      <c r="B448" vm="940">
        <v>300.11</v>
      </c>
    </row>
    <row r="449" spans="1:2" x14ac:dyDescent="0.25">
      <c r="A449" s="21">
        <v>45943</v>
      </c>
      <c r="B449" vm="1330">
        <v>304.56</v>
      </c>
    </row>
    <row r="450" spans="1:2" x14ac:dyDescent="0.25">
      <c r="A450" s="21">
        <v>45943</v>
      </c>
      <c r="B450" vm="1333">
        <v>305.25</v>
      </c>
    </row>
    <row r="451" spans="1:2" x14ac:dyDescent="0.25">
      <c r="A451" s="21">
        <v>45943</v>
      </c>
      <c r="B451" vm="1336">
        <v>305.33</v>
      </c>
    </row>
    <row r="452" spans="1:2" x14ac:dyDescent="0.25">
      <c r="A452" s="21">
        <v>45943</v>
      </c>
      <c r="B452" vm="1339">
        <v>308.08999999999997</v>
      </c>
    </row>
    <row r="453" spans="1:2" x14ac:dyDescent="0.25">
      <c r="A453" s="21">
        <v>45950</v>
      </c>
      <c r="B453" vm="1342">
        <v>307.77</v>
      </c>
    </row>
    <row r="454" spans="1:2" x14ac:dyDescent="0.25">
      <c r="A454" s="21">
        <v>45950</v>
      </c>
      <c r="B454" vm="1345">
        <v>307.48</v>
      </c>
    </row>
    <row r="455" spans="1:2" x14ac:dyDescent="0.25">
      <c r="A455" s="21">
        <v>45950</v>
      </c>
      <c r="B455" vm="1348">
        <v>310.11</v>
      </c>
    </row>
    <row r="456" spans="1:2" x14ac:dyDescent="0.25">
      <c r="A456" s="21">
        <v>45950</v>
      </c>
      <c r="B456" vm="1351">
        <v>306.97000000000003</v>
      </c>
    </row>
    <row r="457" spans="1:2" x14ac:dyDescent="0.25">
      <c r="A457" s="21">
        <v>45950</v>
      </c>
      <c r="B457" vm="1354">
        <v>305.79000000000002</v>
      </c>
    </row>
    <row r="458" spans="1:2" x14ac:dyDescent="0.25">
      <c r="A458" s="21">
        <v>45957</v>
      </c>
      <c r="B458" vm="1357">
        <v>310</v>
      </c>
    </row>
    <row r="459" spans="1:2" x14ac:dyDescent="0.25">
      <c r="A459" s="21">
        <v>45957</v>
      </c>
      <c r="B459" vm="1360">
        <v>306.39999999999998</v>
      </c>
    </row>
    <row r="460" spans="1:2" x14ac:dyDescent="0.25">
      <c r="A460" s="21">
        <v>45957</v>
      </c>
      <c r="B460" vm="1363">
        <v>302.35000000000002</v>
      </c>
    </row>
    <row r="461" spans="1:2" x14ac:dyDescent="0.25">
      <c r="A461" s="21">
        <v>45957</v>
      </c>
      <c r="B461" vm="1366">
        <v>302.43</v>
      </c>
    </row>
    <row r="462" spans="1:2" x14ac:dyDescent="0.25">
      <c r="A462" s="21">
        <v>45957</v>
      </c>
      <c r="B462" vm="1369">
        <v>298.43</v>
      </c>
    </row>
    <row r="463" spans="1:2" x14ac:dyDescent="0.25">
      <c r="A463" s="21">
        <v>45964</v>
      </c>
      <c r="B463" vm="1372">
        <v>296.37</v>
      </c>
    </row>
    <row r="464" spans="1:2" x14ac:dyDescent="0.25">
      <c r="A464" s="21">
        <v>45964</v>
      </c>
      <c r="B464" vm="1375">
        <v>299.20999999999998</v>
      </c>
    </row>
    <row r="465" spans="1:2" x14ac:dyDescent="0.25">
      <c r="A465" s="21">
        <v>45964</v>
      </c>
      <c r="B465" vm="914">
        <v>305.67</v>
      </c>
    </row>
    <row r="466" spans="1:2" x14ac:dyDescent="0.25">
      <c r="A466" s="21">
        <v>45964</v>
      </c>
      <c r="B466" vm="41">
        <v>298.41000000000003</v>
      </c>
    </row>
    <row r="467" spans="1:2" x14ac:dyDescent="0.25">
      <c r="A467" s="21">
        <v>45964</v>
      </c>
      <c r="B467" vm="1382">
        <v>299.66000000000003</v>
      </c>
    </row>
    <row r="468" spans="1:2" x14ac:dyDescent="0.25">
      <c r="A468" s="21">
        <v>45971</v>
      </c>
      <c r="B468" vm="1385">
        <v>299.10000000000002</v>
      </c>
    </row>
    <row r="469" spans="1:2" x14ac:dyDescent="0.25">
      <c r="A469" s="21">
        <v>45971</v>
      </c>
      <c r="B469" vm="1388">
        <v>306.83</v>
      </c>
    </row>
    <row r="470" spans="1:2" x14ac:dyDescent="0.25">
      <c r="A470" s="21">
        <v>45971</v>
      </c>
      <c r="B470" vm="1391">
        <v>306.94</v>
      </c>
    </row>
    <row r="471" spans="1:2" x14ac:dyDescent="0.25">
      <c r="A471" s="21">
        <v>45971</v>
      </c>
      <c r="B471" vm="1394">
        <v>307.58</v>
      </c>
    </row>
    <row r="472" spans="1:2" x14ac:dyDescent="0.25">
      <c r="A472" s="21">
        <v>45971</v>
      </c>
      <c r="B472" vm="1397">
        <v>307.02999999999997</v>
      </c>
    </row>
    <row r="473" spans="1:2" x14ac:dyDescent="0.25">
      <c r="A473" s="21">
        <v>45978</v>
      </c>
      <c r="B473" vm="1400">
        <v>304.89999999999998</v>
      </c>
    </row>
    <row r="474" spans="1:2" x14ac:dyDescent="0.25">
      <c r="A474" s="21">
        <v>45978</v>
      </c>
      <c r="B474" vm="1403">
        <v>304.58999999999997</v>
      </c>
    </row>
    <row r="475" spans="1:2" x14ac:dyDescent="0.25">
      <c r="A475" s="21">
        <v>45978</v>
      </c>
      <c r="B475" vm="1406">
        <v>302.74</v>
      </c>
    </row>
    <row r="476" spans="1:2" x14ac:dyDescent="0.25">
      <c r="A476" s="21">
        <v>45978</v>
      </c>
      <c r="B476" vm="1409">
        <v>304.16000000000003</v>
      </c>
    </row>
    <row r="477" spans="1:2" x14ac:dyDescent="0.25">
      <c r="A477" s="21">
        <v>45978</v>
      </c>
      <c r="B477" vm="1412">
        <v>309.35000000000002</v>
      </c>
    </row>
    <row r="478" spans="1:2" x14ac:dyDescent="0.25">
      <c r="A478" s="21">
        <v>45985</v>
      </c>
      <c r="B478" vm="1400">
        <v>304.89999999999998</v>
      </c>
    </row>
    <row r="479" spans="1:2" x14ac:dyDescent="0.25">
      <c r="A479" s="21">
        <v>45985</v>
      </c>
      <c r="B479" vm="1417">
        <v>310.45</v>
      </c>
    </row>
    <row r="480" spans="1:2" x14ac:dyDescent="0.25">
      <c r="A480" s="21">
        <v>45985</v>
      </c>
      <c r="B480" vm="1420">
        <v>312.39999999999998</v>
      </c>
    </row>
    <row r="481" spans="1:2" x14ac:dyDescent="0.25">
      <c r="A481" s="21">
        <v>45985</v>
      </c>
      <c r="B481" vm="1423">
        <v>311.82</v>
      </c>
    </row>
    <row r="482" spans="1:2" x14ac:dyDescent="0.25">
      <c r="A482" s="21">
        <v>45992</v>
      </c>
      <c r="B482" vm="1426">
        <v>303.57</v>
      </c>
    </row>
    <row r="483" spans="1:2" x14ac:dyDescent="0.25">
      <c r="A483" s="21">
        <v>45992</v>
      </c>
      <c r="B483" vm="1429">
        <v>300.72000000000003</v>
      </c>
    </row>
    <row r="484" spans="1:2" x14ac:dyDescent="0.25">
      <c r="A484" s="21">
        <v>45992</v>
      </c>
      <c r="B484" vm="1432">
        <v>307.70999999999998</v>
      </c>
    </row>
    <row r="485" spans="1:2" x14ac:dyDescent="0.25">
      <c r="A485" s="21">
        <v>45992</v>
      </c>
      <c r="B485" vm="1435">
        <v>308.54000000000002</v>
      </c>
    </row>
    <row r="486" spans="1:2" x14ac:dyDescent="0.25">
      <c r="A486" s="21">
        <v>45992</v>
      </c>
      <c r="B486" vm="1438">
        <v>311.23</v>
      </c>
    </row>
    <row r="487" spans="1:2" x14ac:dyDescent="0.25">
      <c r="A487" s="21">
        <v>45999</v>
      </c>
      <c r="B487" vm="1441">
        <v>309.79000000000002</v>
      </c>
    </row>
    <row r="488" spans="1:2" x14ac:dyDescent="0.25">
      <c r="A488" s="21">
        <v>45999</v>
      </c>
      <c r="B488" vm="1444">
        <v>310.79000000000002</v>
      </c>
    </row>
    <row r="489" spans="1:2" x14ac:dyDescent="0.25">
      <c r="A489" s="21">
        <v>45999</v>
      </c>
      <c r="B489" vm="1447">
        <v>310.52999999999997</v>
      </c>
    </row>
    <row r="490" spans="1:2" x14ac:dyDescent="0.25">
      <c r="A490" s="21">
        <v>45999</v>
      </c>
      <c r="B490" vm="1450">
        <v>309.70999999999998</v>
      </c>
    </row>
    <row r="491" spans="1:2" x14ac:dyDescent="0.25">
      <c r="A491" s="21">
        <v>45999</v>
      </c>
      <c r="B491" vm="1453">
        <v>316.72000000000003</v>
      </c>
    </row>
    <row r="492" spans="1:2" x14ac:dyDescent="0.25">
      <c r="A492" s="21">
        <v>46006</v>
      </c>
      <c r="B492" vm="1456">
        <v>318.73</v>
      </c>
    </row>
    <row r="493" spans="1:2" x14ac:dyDescent="0.25">
      <c r="A493" s="21">
        <v>46006</v>
      </c>
      <c r="B493" vm="987">
        <v>314.5</v>
      </c>
    </row>
    <row r="494" spans="1:2" x14ac:dyDescent="0.25">
      <c r="A494" s="21">
        <v>46006</v>
      </c>
      <c r="B494" vm="1461">
        <v>318.69</v>
      </c>
    </row>
    <row r="495" spans="1:2" x14ac:dyDescent="0.25">
      <c r="A495" s="21">
        <v>46006</v>
      </c>
      <c r="B495" vm="990">
        <v>319.64999999999998</v>
      </c>
    </row>
    <row r="496" spans="1:2" x14ac:dyDescent="0.25">
      <c r="A496" s="21">
        <v>46006</v>
      </c>
      <c r="B496" vm="1466">
        <v>315.83999999999997</v>
      </c>
    </row>
    <row r="497" spans="1:2" x14ac:dyDescent="0.25">
      <c r="A497" s="21">
        <v>46013</v>
      </c>
      <c r="B497" vm="978">
        <v>316.22000000000003</v>
      </c>
    </row>
    <row r="498" spans="1:2" x14ac:dyDescent="0.25">
      <c r="A498" s="21">
        <v>46013</v>
      </c>
      <c r="B498" vm="1471">
        <v>310.83999999999997</v>
      </c>
    </row>
    <row r="499" spans="1:2" x14ac:dyDescent="0.25">
      <c r="A499" s="21">
        <v>46013</v>
      </c>
      <c r="B499" vm="1474">
        <v>313.33</v>
      </c>
    </row>
    <row r="500" spans="1:2" x14ac:dyDescent="0.25">
      <c r="A500" s="21">
        <v>46013</v>
      </c>
      <c r="B500" vm="1477">
        <v>310.68</v>
      </c>
    </row>
    <row r="501" spans="1:2" x14ac:dyDescent="0.25">
      <c r="A501" s="21">
        <v>46020</v>
      </c>
      <c r="B501" vm="1480">
        <v>308.52999999999997</v>
      </c>
    </row>
    <row r="502" spans="1:2" x14ac:dyDescent="0.25">
      <c r="A502" s="21">
        <v>46020</v>
      </c>
      <c r="B502" vm="1483">
        <v>308.02999999999997</v>
      </c>
    </row>
    <row r="503" spans="1:2" x14ac:dyDescent="0.25">
      <c r="A503" s="21">
        <v>46020</v>
      </c>
      <c r="B503" vm="1486">
        <v>305.63</v>
      </c>
    </row>
    <row r="504" spans="1:2" x14ac:dyDescent="0.25">
      <c r="A504" s="21">
        <v>46020</v>
      </c>
      <c r="B504" vm="1489">
        <v>303.26</v>
      </c>
    </row>
    <row r="505" spans="1:2" x14ac:dyDescent="0.25">
      <c r="A505" s="21">
        <v>46027</v>
      </c>
      <c r="B505" vm="1492">
        <v>299.86</v>
      </c>
    </row>
    <row r="506" spans="1:2" x14ac:dyDescent="0.25">
      <c r="A506" s="21">
        <v>46027</v>
      </c>
      <c r="B506" vm="1495">
        <v>302.77</v>
      </c>
    </row>
    <row r="507" spans="1:2" x14ac:dyDescent="0.25">
      <c r="A507" s="21">
        <v>46027</v>
      </c>
      <c r="B507" vm="1409">
        <v>304.16000000000003</v>
      </c>
    </row>
    <row r="508" spans="1:2" x14ac:dyDescent="0.25">
      <c r="A508" s="21">
        <v>46027</v>
      </c>
      <c r="B508" vm="1500">
        <v>308.88</v>
      </c>
    </row>
    <row r="509" spans="1:2" x14ac:dyDescent="0.25">
      <c r="A509" s="21">
        <v>46027</v>
      </c>
      <c r="B509" vm="1503">
        <v>307.32</v>
      </c>
    </row>
    <row r="510" spans="1:2" x14ac:dyDescent="0.25">
      <c r="A510" s="21">
        <v>46034</v>
      </c>
      <c r="B510" vm="1506">
        <v>306.75</v>
      </c>
    </row>
    <row r="511" spans="1:2" x14ac:dyDescent="0.25">
      <c r="A511" s="21">
        <v>46034</v>
      </c>
      <c r="B511" vm="1509">
        <v>309.44</v>
      </c>
    </row>
    <row r="512" spans="1:2" x14ac:dyDescent="0.25">
      <c r="A512" s="21">
        <v>46034</v>
      </c>
      <c r="B512" vm="1512">
        <v>308.13</v>
      </c>
    </row>
    <row r="513" spans="1:2" x14ac:dyDescent="0.25">
      <c r="A513" s="21">
        <v>46034</v>
      </c>
      <c r="B513" vm="1515">
        <v>308.62</v>
      </c>
    </row>
    <row r="514" spans="1:2" x14ac:dyDescent="0.25">
      <c r="A514" s="21">
        <v>46034</v>
      </c>
      <c r="B514" vm="1518">
        <v>307.43</v>
      </c>
    </row>
    <row r="515" spans="1:2" x14ac:dyDescent="0.25">
      <c r="A515" s="21">
        <v>46041</v>
      </c>
      <c r="B515" vm="1521">
        <v>302.83999999999997</v>
      </c>
    </row>
    <row r="516" spans="1:2" x14ac:dyDescent="0.25">
      <c r="A516" s="21">
        <v>46041</v>
      </c>
      <c r="B516" vm="1524">
        <v>305.69</v>
      </c>
    </row>
    <row r="517" spans="1:2" x14ac:dyDescent="0.25">
      <c r="A517" s="21">
        <v>46041</v>
      </c>
      <c r="B517" vm="1527">
        <v>306.02999999999997</v>
      </c>
    </row>
    <row r="518" spans="1:2" x14ac:dyDescent="0.25">
      <c r="A518" s="21">
        <v>46041</v>
      </c>
      <c r="B518" vm="1530">
        <v>309.25</v>
      </c>
    </row>
    <row r="519" spans="1:2" x14ac:dyDescent="0.25">
      <c r="A519" s="21">
        <v>46048</v>
      </c>
      <c r="B519" vm="1533">
        <v>312.95</v>
      </c>
    </row>
    <row r="520" spans="1:2" x14ac:dyDescent="0.25">
      <c r="A520" s="21">
        <v>46048</v>
      </c>
      <c r="B520" vm="1536">
        <v>314.13</v>
      </c>
    </row>
    <row r="521" spans="1:2" x14ac:dyDescent="0.25">
      <c r="A521" s="21">
        <v>46048</v>
      </c>
      <c r="B521" vm="1254">
        <v>312.8</v>
      </c>
    </row>
    <row r="522" spans="1:2" x14ac:dyDescent="0.25">
      <c r="A522" s="21">
        <v>46048</v>
      </c>
      <c r="B522" vm="1541">
        <v>315.51</v>
      </c>
    </row>
    <row r="523" spans="1:2" x14ac:dyDescent="0.25">
      <c r="A523" s="21">
        <v>46048</v>
      </c>
      <c r="B523" vm="1544">
        <v>315</v>
      </c>
    </row>
    <row r="524" spans="1:2" x14ac:dyDescent="0.25">
      <c r="A524" s="21">
        <v>46055</v>
      </c>
      <c r="B524" vm="1547">
        <v>318.52999999999997</v>
      </c>
    </row>
    <row r="525" spans="1:2" x14ac:dyDescent="0.25">
      <c r="A525" s="21">
        <v>46055</v>
      </c>
      <c r="B525" vm="1550">
        <v>319.48</v>
      </c>
    </row>
    <row r="526" spans="1:2" x14ac:dyDescent="0.25">
      <c r="A526" s="21">
        <v>46055</v>
      </c>
      <c r="B526" vm="1553">
        <v>323.69</v>
      </c>
    </row>
    <row r="527" spans="1:2" x14ac:dyDescent="0.25">
      <c r="A527" s="21">
        <v>46055</v>
      </c>
      <c r="B527" vm="1556">
        <v>323.48</v>
      </c>
    </row>
    <row r="528" spans="1:2" x14ac:dyDescent="0.25">
      <c r="A528" s="21">
        <v>46055</v>
      </c>
      <c r="B528" vm="1559">
        <v>327.16000000000003</v>
      </c>
    </row>
    <row r="529" spans="1:2" x14ac:dyDescent="0.25">
      <c r="A529" s="21">
        <v>46062</v>
      </c>
      <c r="B529" vm="1562">
        <v>325.60000000000002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77" workbookViewId="0">
      <selection activeCell="P10" sqref="P10"/>
    </sheetView>
  </sheetViews>
  <sheetFormatPr defaultRowHeight="15" x14ac:dyDescent="0.25"/>
  <cols>
    <col min="1" max="16384" width="9.140625" style="22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D8E3-A8DD-464A-9CD1-A23C46ED77E6}">
  <dimension ref="A1:B81"/>
  <sheetViews>
    <sheetView workbookViewId="0">
      <selection activeCell="R16" sqref="R16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48</v>
      </c>
      <c r="B1" t="s">
        <v>49</v>
      </c>
    </row>
    <row r="2" spans="1:2" x14ac:dyDescent="0.25">
      <c r="A2" s="12">
        <v>36843</v>
      </c>
      <c r="B2">
        <v>0.215</v>
      </c>
    </row>
    <row r="3" spans="1:2" x14ac:dyDescent="0.25">
      <c r="A3" s="12">
        <v>37208</v>
      </c>
      <c r="B3">
        <v>0.22500000000000001</v>
      </c>
    </row>
    <row r="4" spans="1:2" x14ac:dyDescent="0.25">
      <c r="A4" s="12">
        <v>37573</v>
      </c>
      <c r="B4">
        <v>0.23499999999999999</v>
      </c>
    </row>
    <row r="5" spans="1:2" x14ac:dyDescent="0.25">
      <c r="A5" s="12">
        <v>37937</v>
      </c>
      <c r="B5">
        <v>0.4</v>
      </c>
    </row>
    <row r="6" spans="1:2" x14ac:dyDescent="0.25">
      <c r="A6" s="12">
        <v>38301</v>
      </c>
      <c r="B6">
        <v>0.55000000000000004</v>
      </c>
    </row>
    <row r="7" spans="1:2" x14ac:dyDescent="0.25">
      <c r="A7" s="12">
        <v>38666</v>
      </c>
      <c r="B7">
        <v>0.67</v>
      </c>
    </row>
    <row r="8" spans="1:2" x14ac:dyDescent="0.25">
      <c r="A8" s="12">
        <v>39034</v>
      </c>
      <c r="B8">
        <v>1</v>
      </c>
    </row>
    <row r="9" spans="1:2" x14ac:dyDescent="0.25">
      <c r="A9" s="12">
        <v>39399</v>
      </c>
      <c r="B9">
        <v>1.5</v>
      </c>
    </row>
    <row r="10" spans="1:2" x14ac:dyDescent="0.25">
      <c r="A10" s="12">
        <v>39506</v>
      </c>
      <c r="B10">
        <v>0.375</v>
      </c>
    </row>
    <row r="11" spans="1:2" x14ac:dyDescent="0.25">
      <c r="A11" s="12">
        <v>39604</v>
      </c>
      <c r="B11">
        <v>0.375</v>
      </c>
    </row>
    <row r="12" spans="1:2" x14ac:dyDescent="0.25">
      <c r="A12" s="12">
        <v>39688</v>
      </c>
      <c r="B12">
        <v>0.375</v>
      </c>
    </row>
    <row r="13" spans="1:2" x14ac:dyDescent="0.25">
      <c r="A13" s="12">
        <v>39778</v>
      </c>
      <c r="B13">
        <v>0.5</v>
      </c>
    </row>
    <row r="14" spans="1:2" x14ac:dyDescent="0.25">
      <c r="A14" s="12">
        <v>39870</v>
      </c>
      <c r="B14">
        <v>0.5</v>
      </c>
    </row>
    <row r="15" spans="1:2" x14ac:dyDescent="0.25">
      <c r="A15" s="12">
        <v>39968</v>
      </c>
      <c r="B15">
        <v>0.5</v>
      </c>
    </row>
    <row r="16" spans="1:2" x14ac:dyDescent="0.25">
      <c r="A16" s="12">
        <v>40053</v>
      </c>
      <c r="B16">
        <v>0.5</v>
      </c>
    </row>
    <row r="17" spans="1:2" x14ac:dyDescent="0.25">
      <c r="A17" s="12">
        <v>40144</v>
      </c>
      <c r="B17">
        <v>0.55000000000000004</v>
      </c>
    </row>
    <row r="18" spans="1:2" x14ac:dyDescent="0.25">
      <c r="A18" s="12">
        <v>40234</v>
      </c>
      <c r="B18">
        <v>0.55000000000000004</v>
      </c>
    </row>
    <row r="19" spans="1:2" x14ac:dyDescent="0.25">
      <c r="A19" s="12">
        <v>40325</v>
      </c>
      <c r="B19">
        <v>0.55000000000000004</v>
      </c>
    </row>
    <row r="20" spans="1:2" x14ac:dyDescent="0.25">
      <c r="A20" s="12">
        <v>40420</v>
      </c>
      <c r="B20">
        <v>0.55000000000000004</v>
      </c>
    </row>
    <row r="21" spans="1:2" x14ac:dyDescent="0.25">
      <c r="A21" s="12">
        <v>40511</v>
      </c>
      <c r="B21">
        <v>0.61</v>
      </c>
    </row>
    <row r="22" spans="1:2" x14ac:dyDescent="0.25">
      <c r="A22" s="12">
        <v>40599</v>
      </c>
      <c r="B22">
        <v>0.61</v>
      </c>
    </row>
    <row r="23" spans="1:2" x14ac:dyDescent="0.25">
      <c r="A23" s="12">
        <v>40690</v>
      </c>
      <c r="B23">
        <v>0.61</v>
      </c>
    </row>
    <row r="24" spans="1:2" x14ac:dyDescent="0.25">
      <c r="A24" s="12">
        <v>40785</v>
      </c>
      <c r="B24">
        <v>0.61</v>
      </c>
    </row>
    <row r="25" spans="1:2" x14ac:dyDescent="0.25">
      <c r="A25" s="12">
        <v>40876</v>
      </c>
      <c r="B25">
        <v>0.7</v>
      </c>
    </row>
    <row r="26" spans="1:2" x14ac:dyDescent="0.25">
      <c r="A26" s="12">
        <v>40967</v>
      </c>
      <c r="B26">
        <v>0.7</v>
      </c>
    </row>
    <row r="27" spans="1:2" x14ac:dyDescent="0.25">
      <c r="A27" s="12">
        <v>41060</v>
      </c>
      <c r="B27">
        <v>0.7</v>
      </c>
    </row>
    <row r="28" spans="1:2" x14ac:dyDescent="0.25">
      <c r="A28" s="12">
        <v>41151</v>
      </c>
      <c r="B28">
        <v>0.7</v>
      </c>
    </row>
    <row r="29" spans="1:2" x14ac:dyDescent="0.25">
      <c r="A29" s="12">
        <v>41242</v>
      </c>
      <c r="B29">
        <v>0.77</v>
      </c>
    </row>
    <row r="30" spans="1:2" x14ac:dyDescent="0.25">
      <c r="A30" s="12">
        <v>41332</v>
      </c>
      <c r="B30">
        <v>0.77</v>
      </c>
    </row>
    <row r="31" spans="1:2" x14ac:dyDescent="0.25">
      <c r="A31" s="12">
        <v>41424</v>
      </c>
      <c r="B31">
        <v>0.77</v>
      </c>
    </row>
    <row r="32" spans="1:2" x14ac:dyDescent="0.25">
      <c r="A32" s="12">
        <v>41515</v>
      </c>
      <c r="B32">
        <v>0.77</v>
      </c>
    </row>
    <row r="33" spans="1:2" x14ac:dyDescent="0.25">
      <c r="A33" s="12">
        <v>41605</v>
      </c>
      <c r="B33">
        <v>0.81</v>
      </c>
    </row>
    <row r="34" spans="1:2" x14ac:dyDescent="0.25">
      <c r="A34" s="12">
        <v>41697</v>
      </c>
      <c r="B34">
        <v>0.81</v>
      </c>
    </row>
    <row r="35" spans="1:2" x14ac:dyDescent="0.25">
      <c r="A35" s="12">
        <v>41788</v>
      </c>
      <c r="B35">
        <v>0.81</v>
      </c>
    </row>
    <row r="36" spans="1:2" x14ac:dyDescent="0.25">
      <c r="A36" s="12">
        <v>41879</v>
      </c>
      <c r="B36">
        <v>0.81</v>
      </c>
    </row>
    <row r="37" spans="1:2" x14ac:dyDescent="0.25">
      <c r="A37" s="12">
        <v>41969</v>
      </c>
      <c r="B37">
        <v>0.85</v>
      </c>
    </row>
    <row r="38" spans="1:2" x14ac:dyDescent="0.25">
      <c r="A38" s="12">
        <v>42061</v>
      </c>
      <c r="B38">
        <v>0.85</v>
      </c>
    </row>
    <row r="39" spans="1:2" x14ac:dyDescent="0.25">
      <c r="A39" s="12">
        <v>42152</v>
      </c>
      <c r="B39">
        <v>0.85</v>
      </c>
    </row>
    <row r="40" spans="1:2" x14ac:dyDescent="0.25">
      <c r="A40" s="12">
        <v>42244</v>
      </c>
      <c r="B40">
        <v>0.85</v>
      </c>
    </row>
    <row r="41" spans="1:2" x14ac:dyDescent="0.25">
      <c r="A41" s="12">
        <v>42335</v>
      </c>
      <c r="B41">
        <v>0.89</v>
      </c>
    </row>
    <row r="42" spans="1:2" x14ac:dyDescent="0.25">
      <c r="A42" s="12">
        <v>42426</v>
      </c>
      <c r="B42">
        <v>0.89</v>
      </c>
    </row>
    <row r="43" spans="1:2" x14ac:dyDescent="0.25">
      <c r="A43" s="12">
        <v>42523</v>
      </c>
      <c r="B43">
        <v>0.89</v>
      </c>
    </row>
    <row r="44" spans="1:2" x14ac:dyDescent="0.25">
      <c r="A44" s="12">
        <v>42612</v>
      </c>
      <c r="B44">
        <v>0.89</v>
      </c>
    </row>
    <row r="45" spans="1:2" x14ac:dyDescent="0.25">
      <c r="A45" s="12">
        <v>42703</v>
      </c>
      <c r="B45">
        <v>0.94</v>
      </c>
    </row>
    <row r="46" spans="1:2" x14ac:dyDescent="0.25">
      <c r="A46" s="12">
        <v>42793</v>
      </c>
      <c r="B46">
        <v>0.94</v>
      </c>
    </row>
    <row r="47" spans="1:2" x14ac:dyDescent="0.25">
      <c r="A47" s="12">
        <v>42887</v>
      </c>
      <c r="B47">
        <v>0.94</v>
      </c>
    </row>
    <row r="48" spans="1:2" x14ac:dyDescent="0.25">
      <c r="A48" s="12">
        <v>42977</v>
      </c>
      <c r="B48">
        <v>0.94</v>
      </c>
    </row>
    <row r="49" spans="1:2" x14ac:dyDescent="0.25">
      <c r="A49" s="12">
        <v>43069</v>
      </c>
      <c r="B49">
        <v>1.01</v>
      </c>
    </row>
    <row r="50" spans="1:2" x14ac:dyDescent="0.25">
      <c r="A50" s="12">
        <v>43159</v>
      </c>
      <c r="B50">
        <v>1.01</v>
      </c>
    </row>
    <row r="51" spans="1:2" x14ac:dyDescent="0.25">
      <c r="A51" s="12">
        <v>43252</v>
      </c>
      <c r="B51">
        <v>1.01</v>
      </c>
    </row>
    <row r="52" spans="1:2" x14ac:dyDescent="0.25">
      <c r="A52" s="12">
        <v>43343</v>
      </c>
      <c r="B52">
        <v>1.01</v>
      </c>
    </row>
    <row r="53" spans="1:2" x14ac:dyDescent="0.25">
      <c r="A53" s="12">
        <v>43434</v>
      </c>
      <c r="B53">
        <v>1.1599999999999999</v>
      </c>
    </row>
    <row r="54" spans="1:2" x14ac:dyDescent="0.25">
      <c r="A54" s="12">
        <v>43524</v>
      </c>
      <c r="B54">
        <v>1.1599999999999999</v>
      </c>
    </row>
    <row r="55" spans="1:2" x14ac:dyDescent="0.25">
      <c r="A55" s="12">
        <v>43616</v>
      </c>
      <c r="B55">
        <v>1.1599999999999999</v>
      </c>
    </row>
    <row r="56" spans="1:2" x14ac:dyDescent="0.25">
      <c r="A56" s="12">
        <v>43707</v>
      </c>
      <c r="B56">
        <v>1.1599999999999999</v>
      </c>
    </row>
    <row r="57" spans="1:2" x14ac:dyDescent="0.25">
      <c r="A57" s="12">
        <v>43798</v>
      </c>
      <c r="B57">
        <v>1.25</v>
      </c>
    </row>
    <row r="58" spans="1:2" x14ac:dyDescent="0.25">
      <c r="A58" s="12">
        <v>43889</v>
      </c>
      <c r="B58">
        <v>1.25</v>
      </c>
    </row>
    <row r="59" spans="1:2" x14ac:dyDescent="0.25">
      <c r="A59" s="12">
        <v>43980</v>
      </c>
      <c r="B59">
        <v>1.25</v>
      </c>
    </row>
    <row r="60" spans="1:2" x14ac:dyDescent="0.25">
      <c r="A60" s="12">
        <v>44074</v>
      </c>
      <c r="B60">
        <v>1.25</v>
      </c>
    </row>
    <row r="61" spans="1:2" x14ac:dyDescent="0.25">
      <c r="A61" s="12">
        <v>44165</v>
      </c>
      <c r="B61">
        <v>1.29</v>
      </c>
    </row>
    <row r="62" spans="1:2" x14ac:dyDescent="0.25">
      <c r="A62" s="12">
        <v>44253</v>
      </c>
      <c r="B62">
        <v>1.29</v>
      </c>
    </row>
    <row r="63" spans="1:2" x14ac:dyDescent="0.25">
      <c r="A63" s="12">
        <v>44344</v>
      </c>
      <c r="B63">
        <v>1.29</v>
      </c>
    </row>
    <row r="64" spans="1:2" x14ac:dyDescent="0.25">
      <c r="A64" s="12">
        <v>44439</v>
      </c>
      <c r="B64">
        <v>1.29</v>
      </c>
    </row>
    <row r="65" spans="1:2" x14ac:dyDescent="0.25">
      <c r="A65" s="12">
        <v>44530</v>
      </c>
      <c r="B65">
        <v>1.38</v>
      </c>
    </row>
    <row r="66" spans="1:2" x14ac:dyDescent="0.25">
      <c r="A66" s="12">
        <v>44620</v>
      </c>
      <c r="B66">
        <v>1.38</v>
      </c>
    </row>
    <row r="67" spans="1:2" x14ac:dyDescent="0.25">
      <c r="A67" s="12">
        <v>44715</v>
      </c>
      <c r="B67">
        <v>1.38</v>
      </c>
    </row>
    <row r="68" spans="1:2" x14ac:dyDescent="0.25">
      <c r="A68" s="12">
        <v>44804</v>
      </c>
      <c r="B68">
        <v>1.38</v>
      </c>
    </row>
    <row r="69" spans="1:2" x14ac:dyDescent="0.25">
      <c r="A69" s="12">
        <v>44895</v>
      </c>
      <c r="B69">
        <v>1.52</v>
      </c>
    </row>
    <row r="70" spans="1:2" x14ac:dyDescent="0.25">
      <c r="A70" s="12">
        <v>44985</v>
      </c>
      <c r="B70">
        <v>1.52</v>
      </c>
    </row>
    <row r="71" spans="1:2" x14ac:dyDescent="0.25">
      <c r="A71" s="12">
        <v>45079</v>
      </c>
      <c r="B71">
        <v>1.52</v>
      </c>
    </row>
    <row r="72" spans="1:2" x14ac:dyDescent="0.25">
      <c r="A72" s="12">
        <v>45169</v>
      </c>
      <c r="B72">
        <v>1.52</v>
      </c>
    </row>
    <row r="73" spans="1:2" x14ac:dyDescent="0.25">
      <c r="A73" s="12">
        <v>45260</v>
      </c>
      <c r="B73">
        <v>1.67</v>
      </c>
    </row>
    <row r="74" spans="1:2" x14ac:dyDescent="0.25">
      <c r="A74" s="12">
        <v>45351</v>
      </c>
      <c r="B74">
        <v>1.67</v>
      </c>
    </row>
    <row r="75" spans="1:2" x14ac:dyDescent="0.25">
      <c r="A75" s="12">
        <v>45446</v>
      </c>
      <c r="B75">
        <v>1.67</v>
      </c>
    </row>
    <row r="76" spans="1:2" x14ac:dyDescent="0.25">
      <c r="A76" s="12">
        <v>45538</v>
      </c>
      <c r="B76">
        <v>1.67</v>
      </c>
    </row>
    <row r="77" spans="1:2" x14ac:dyDescent="0.25">
      <c r="A77" s="12">
        <v>45628</v>
      </c>
      <c r="B77">
        <v>1.77</v>
      </c>
    </row>
    <row r="78" spans="1:2" x14ac:dyDescent="0.25">
      <c r="A78" s="12">
        <v>45719</v>
      </c>
      <c r="B78">
        <v>1.77</v>
      </c>
    </row>
    <row r="79" spans="1:2" x14ac:dyDescent="0.25">
      <c r="A79" s="12">
        <v>45810</v>
      </c>
      <c r="B79">
        <v>1.77</v>
      </c>
    </row>
    <row r="80" spans="1:2" x14ac:dyDescent="0.25">
      <c r="A80" s="12">
        <v>45902</v>
      </c>
      <c r="B80">
        <v>1.77</v>
      </c>
    </row>
    <row r="81" spans="1:2" x14ac:dyDescent="0.25">
      <c r="A81" s="12">
        <v>45992</v>
      </c>
      <c r="B81">
        <v>1.86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Intro</vt:lpstr>
      <vt:lpstr>Data</vt:lpstr>
      <vt:lpstr>Forecast</vt:lpstr>
      <vt:lpstr>Weekly</vt:lpstr>
      <vt:lpstr>Dashboard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2026-02-10T02:54:06Z</dcterms:modified>
</cp:coreProperties>
</file>